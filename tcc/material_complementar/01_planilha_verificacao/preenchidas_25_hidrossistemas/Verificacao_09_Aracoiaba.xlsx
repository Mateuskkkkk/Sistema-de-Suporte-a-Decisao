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<sst xmlns="http://schemas.openxmlformats.org/spreadsheetml/2006/main" count="478" uniqueCount="368">
  <si>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</si>
  <si>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</si>
  <si>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</si>
  <si>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</si>
  <si>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</si>
  <si>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</si>
  <si>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</si>
  <si>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</si>
  <si>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Aracoiaba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</si>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</sst>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497777"/>
        <c:axId val="59939769"/>
      </c:lineChart>
      <c:catAx>
        <c:axId val="384977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59939769"/>
        <c:crosses val="autoZero"/>
        <c:auto val="1"/>
        <c:lblAlgn val="ctr"/>
        <c:lblOffset val="100"/>
        <c:noMultiLvlLbl val="0"/>
      </c:catAx>
      <c:valAx>
        <c:axId val="5993976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384977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234</v>
      </c>
      <c r="D7" s="5" t="s">
        <v>13</v>
      </c>
      <c r="E7" s="7" t="n">
        <f aca="false">COUNTIF($V$24:$V$1367,"Sim")</f>
        <v>0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162</v>
      </c>
      <c r="D8" s="5" t="s">
        <v>16</v>
      </c>
      <c r="E8" s="9" t="n">
        <f aca="false">IFERROR(SUM($Q$24:$Q$1367)/SUM($K$24:$K$1367)*100,0)</f>
        <v>100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10</v>
      </c>
      <c r="D9" s="5" t="s">
        <v>18</v>
      </c>
      <c r="E9" s="9" t="n">
        <f aca="false">SUM($T$24:$T$1367)</f>
        <v>4590.26311440001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3230.47646934436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81</v>
      </c>
      <c r="D11" s="5" t="s">
        <v>22</v>
      </c>
      <c r="E11" s="9" t="n">
        <f aca="false">IF(E6=0,0,MAX($X$24:$X$1367))</f>
        <v>0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0.432</v>
      </c>
      <c r="D12" s="5" t="s">
        <v>24</v>
      </c>
      <c r="E12" s="9" t="n">
        <f aca="false">IF(E6=0,0,MIN($U$24:$U$1367))</f>
        <v>50.7345190840304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432</v>
      </c>
      <c r="D13" s="5" t="s">
        <v>26</v>
      </c>
      <c r="E13" s="9" t="n">
        <f aca="false">IF(E6=0,0,MAX($U$24:$U$1367))</f>
        <v>162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267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24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3430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24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0.117026370554293</v>
      </c>
      <c r="E36" s="16" t="n">
        <f aca="false">IF(D36="","",D36*$B$15)</f>
        <v>0.303332352476727</v>
      </c>
      <c r="F36" s="16" t="n">
        <f aca="false" t="array" ref="F36:F36">IF(D36="","",IFERROR(INDEX(Dados_Evap!$C$2:$N$15,MATCH($B$9,Dados_Evap!$A$2:$A$15,0),C36),0))</f>
        <v>189</v>
      </c>
      <c r="G36" s="16" t="n">
        <f aca="false">IF(F36="","",F36/1000)</f>
        <v>0.189</v>
      </c>
      <c r="H36" s="16" t="n">
        <f aca="false">IF(D36="","",MAX(0,MIN($B$8,IFERROR(LOOKUP(2,1/($U$24:U35&lt;&gt;""),$U$24:U35),$B$11))))</f>
        <v>81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9.81050032162892</v>
      </c>
      <c r="J36" s="16" t="n">
        <f aca="false">IF(D36="","",$B$12)</f>
        <v>0.432</v>
      </c>
      <c r="K36" s="16" t="n">
        <f aca="false">IF(J36="","",J36*$B$15)</f>
        <v>1.119744</v>
      </c>
      <c r="L36" s="16" t="n">
        <f aca="false">IF(D36="","",H36+E36-K36-G36*I36)</f>
        <v>78.3294037916889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9.58411277685623</v>
      </c>
      <c r="N36" s="16" t="n">
        <f aca="false">IF(D36="","",(I36+M36)/2)</f>
        <v>9.69730654924258</v>
      </c>
      <c r="O36" s="16" t="n">
        <f aca="false">IF(D36="","",G36*N36)</f>
        <v>1.83279093780685</v>
      </c>
      <c r="P36" s="16" t="n">
        <f aca="false">IF(D36="","",H36+E36-K36-O36)</f>
        <v>78.3507974146699</v>
      </c>
      <c r="Q36" s="16" t="n">
        <f aca="false">IF(D36="","",IF(P36&gt;=0,K36,MAX(0,K36+P36)))</f>
        <v>1.119744</v>
      </c>
      <c r="R36" s="16" t="n">
        <f aca="false">IF(D36="","",Q36/$B$15)</f>
        <v>0.432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78.3507974146699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48.3646897621419</v>
      </c>
      <c r="Z36" s="18" t="n">
        <f aca="false">IF(D36="","",MAX(0,IF(P36&gt;=0,P36,IF(K36+P36&gt;=0,0,P36+K36))))</f>
        <v>78.3507974146699</v>
      </c>
      <c r="AA36" s="18" t="n">
        <f aca="false">IF(D36="","",IF(H36&lt;=$B$16,1,IF(H36&gt;=$B$17,$B$21,MATCH(H36,Aux_CAV!$A$2:$A$121,1))))</f>
        <v>21</v>
      </c>
      <c r="AB36" s="18" t="n">
        <f aca="false">IF(D36="","",IF(L36&lt;=$B$16,1,IF(L36&gt;=$B$17,$B$21,MATCH(L36,Aux_CAV!$A$2:$A$121,1))))</f>
        <v>21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0.0720437022850591</v>
      </c>
      <c r="E37" s="16" t="n">
        <f aca="false">IF(D37="","",D37*$B$15)</f>
        <v>0.186737276322873</v>
      </c>
      <c r="F37" s="16" t="n">
        <f aca="false" t="array" ref="F37:F37">IF(D37="","",IFERROR(INDEX(Dados_Evap!$C$2:$N$15,MATCH($B$9,Dados_Evap!$A$2:$A$15,0),C37),0))</f>
        <v>136.9</v>
      </c>
      <c r="G37" s="16" t="n">
        <f aca="false">IF(F37="","",F37/1000)</f>
        <v>0.1369</v>
      </c>
      <c r="H37" s="16" t="n">
        <f aca="false">IF(D37="","",MAX(0,MIN($B$8,IFERROR(LOOKUP(2,1/($U$24:U36&lt;&gt;""),$U$24:U36),$B$11))))</f>
        <v>78.3507974146699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9.58592632312182</v>
      </c>
      <c r="J37" s="16" t="n">
        <f aca="false">IF(D37="","",$B$12)</f>
        <v>0.432</v>
      </c>
      <c r="K37" s="16" t="n">
        <f aca="false">IF(J37="","",J37*$B$15)</f>
        <v>1.119744</v>
      </c>
      <c r="L37" s="16" t="n">
        <f aca="false">IF(D37="","",H37+E37-K37-G37*I37)</f>
        <v>76.1054773773574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9.39558961520088</v>
      </c>
      <c r="N37" s="16" t="n">
        <f aca="false">IF(D37="","",(I37+M37)/2)</f>
        <v>9.49075796916135</v>
      </c>
      <c r="O37" s="16" t="n">
        <f aca="false">IF(D37="","",G37*N37)</f>
        <v>1.29928476597819</v>
      </c>
      <c r="P37" s="16" t="n">
        <f aca="false">IF(D37="","",H37+E37-K37-O37)</f>
        <v>76.1185059250146</v>
      </c>
      <c r="Q37" s="16" t="n">
        <f aca="false">IF(D37="","",IF(P37&gt;=0,K37,MAX(0,K37+P37)))</f>
        <v>1.119744</v>
      </c>
      <c r="R37" s="16" t="n">
        <f aca="false">IF(D37="","",Q37/$B$15)</f>
        <v>0.432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76.1185059250146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46.9867320524781</v>
      </c>
      <c r="Z37" s="18" t="n">
        <f aca="false">IF(D37="","",MAX(0,IF(P37&gt;=0,P37,IF(K37+P37&gt;=0,0,P37+K37))))</f>
        <v>76.1185059250146</v>
      </c>
      <c r="AA37" s="18" t="n">
        <f aca="false">IF(D37="","",IF(H37&lt;=$B$16,1,IF(H37&gt;=$B$17,$B$21,MATCH(H37,Aux_CAV!$A$2:$A$121,1))))</f>
        <v>21</v>
      </c>
      <c r="AB37" s="18" t="n">
        <f aca="false">IF(D37="","",IF(L37&lt;=$B$16,1,IF(L37&gt;=$B$17,$B$21,MATCH(L37,Aux_CAV!$A$2:$A$121,1))))</f>
        <v>21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1.13662822791323</v>
      </c>
      <c r="E38" s="16" t="n">
        <f aca="false">IF(D38="","",D38*$B$15)</f>
        <v>2.94614036675109</v>
      </c>
      <c r="F38" s="16" t="n">
        <f aca="false" t="array" ref="F38:F38">IF(D38="","",IFERROR(INDEX(Dados_Evap!$C$2:$N$15,MATCH($B$9,Dados_Evap!$A$2:$A$15,0),C38),0))</f>
        <v>102.9</v>
      </c>
      <c r="G38" s="16" t="n">
        <f aca="false">IF(F38="","",F38/1000)</f>
        <v>0.1029</v>
      </c>
      <c r="H38" s="16" t="n">
        <f aca="false">IF(D38="","",MAX(0,MIN($B$8,IFERROR(LOOKUP(2,1/($U$24:U37&lt;&gt;""),$U$24:U37),$B$11))))</f>
        <v>76.1185059250146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9.39669405057261</v>
      </c>
      <c r="J38" s="16" t="n">
        <f aca="false">IF(D38="","",$B$12)</f>
        <v>0.432</v>
      </c>
      <c r="K38" s="16" t="n">
        <f aca="false">IF(J38="","",J38*$B$15)</f>
        <v>1.119744</v>
      </c>
      <c r="L38" s="16" t="n">
        <f aca="false">IF(D38="","",H38+E38-K38-G38*I38)</f>
        <v>76.9779824739618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9.46955223298907</v>
      </c>
      <c r="N38" s="16" t="n">
        <f aca="false">IF(D38="","",(I38+M38)/2)</f>
        <v>9.43312314178084</v>
      </c>
      <c r="O38" s="16" t="n">
        <f aca="false">IF(D38="","",G38*N38)</f>
        <v>0.970668371289248</v>
      </c>
      <c r="P38" s="16" t="n">
        <f aca="false">IF(D38="","",H38+E38-K38-O38)</f>
        <v>76.9742339204764</v>
      </c>
      <c r="Q38" s="16" t="n">
        <f aca="false">IF(D38="","",IF(P38&gt;=0,K38,MAX(0,K38+P38)))</f>
        <v>1.119744</v>
      </c>
      <c r="R38" s="16" t="n">
        <f aca="false">IF(D38="","",Q38/$B$15)</f>
        <v>0.432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76.9742339204764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47.5149592101706</v>
      </c>
      <c r="Z38" s="18" t="n">
        <f aca="false">IF(D38="","",MAX(0,IF(P38&gt;=0,P38,IF(K38+P38&gt;=0,0,P38+K38))))</f>
        <v>76.9742339204764</v>
      </c>
      <c r="AA38" s="18" t="n">
        <f aca="false">IF(D38="","",IF(H38&lt;=$B$16,1,IF(H38&gt;=$B$17,$B$21,MATCH(H38,Aux_CAV!$A$2:$A$121,1))))</f>
        <v>21</v>
      </c>
      <c r="AB38" s="18" t="n">
        <f aca="false">IF(D38="","",IF(L38&lt;=$B$16,1,IF(L38&gt;=$B$17,$B$21,MATCH(L38,Aux_CAV!$A$2:$A$121,1))))</f>
        <v>21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1.33879743230966</v>
      </c>
      <c r="E39" s="16" t="n">
        <f aca="false">IF(D39="","",D39*$B$15)</f>
        <v>3.47016294454664</v>
      </c>
      <c r="F39" s="16" t="n">
        <f aca="false" t="array" ref="F39:F39">IF(D39="","",IFERROR(INDEX(Dados_Evap!$C$2:$N$15,MATCH($B$9,Dados_Evap!$A$2:$A$15,0),C39),0))</f>
        <v>81.8</v>
      </c>
      <c r="G39" s="16" t="n">
        <f aca="false">IF(F39="","",F39/1000)</f>
        <v>0.0818</v>
      </c>
      <c r="H39" s="16" t="n">
        <f aca="false">IF(D39="","",MAX(0,MIN($B$8,IFERROR(LOOKUP(2,1/($U$24:U38&lt;&gt;""),$U$24:U38),$B$11))))</f>
        <v>76.9742339204764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9.46923446656023</v>
      </c>
      <c r="J39" s="16" t="n">
        <f aca="false">IF(D39="","",$B$12)</f>
        <v>0.432</v>
      </c>
      <c r="K39" s="16" t="n">
        <f aca="false">IF(J39="","",J39*$B$15)</f>
        <v>1.119744</v>
      </c>
      <c r="L39" s="16" t="n">
        <f aca="false">IF(D39="","",H39+E39-K39-G39*I39)</f>
        <v>78.5500694856584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9.60281869897125</v>
      </c>
      <c r="N39" s="16" t="n">
        <f aca="false">IF(D39="","",(I39+M39)/2)</f>
        <v>9.53602658276574</v>
      </c>
      <c r="O39" s="16" t="n">
        <f aca="false">IF(D39="","",G39*N39)</f>
        <v>0.780046974470238</v>
      </c>
      <c r="P39" s="16" t="n">
        <f aca="false">IF(D39="","",H39+E39-K39-O39)</f>
        <v>78.5446058905528</v>
      </c>
      <c r="Q39" s="16" t="n">
        <f aca="false">IF(D39="","",IF(P39&gt;=0,K39,MAX(0,K39+P39)))</f>
        <v>1.119744</v>
      </c>
      <c r="R39" s="16" t="n">
        <f aca="false">IF(D39="","",Q39/$B$15)</f>
        <v>0.432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78.5446058905528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48.484324623798</v>
      </c>
      <c r="Z39" s="18" t="n">
        <f aca="false">IF(D39="","",MAX(0,IF(P39&gt;=0,P39,IF(K39+P39&gt;=0,0,P39+K39))))</f>
        <v>78.5446058905528</v>
      </c>
      <c r="AA39" s="18" t="n">
        <f aca="false">IF(D39="","",IF(H39&lt;=$B$16,1,IF(H39&gt;=$B$17,$B$21,MATCH(H39,Aux_CAV!$A$2:$A$121,1))))</f>
        <v>21</v>
      </c>
      <c r="AB39" s="18" t="n">
        <f aca="false">IF(D39="","",IF(L39&lt;=$B$16,1,IF(L39&gt;=$B$17,$B$21,MATCH(L39,Aux_CAV!$A$2:$A$121,1))))</f>
        <v>21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0.675165324719859</v>
      </c>
      <c r="E40" s="16" t="n">
        <f aca="false">IF(D40="","",D40*$B$15)</f>
        <v>1.75002852167387</v>
      </c>
      <c r="F40" s="16" t="n">
        <f aca="false" t="array" ref="F40:F40">IF(D40="","",IFERROR(INDEX(Dados_Evap!$C$2:$N$15,MATCH($B$9,Dados_Evap!$A$2:$A$15,0),C40),0))</f>
        <v>83.6</v>
      </c>
      <c r="G40" s="16" t="n">
        <f aca="false">IF(F40="","",F40/1000)</f>
        <v>0.0836</v>
      </c>
      <c r="H40" s="16" t="n">
        <f aca="false">IF(D40="","",MAX(0,MIN($B$8,IFERROR(LOOKUP(2,1/($U$24:U39&lt;&gt;""),$U$24:U39),$B$11))))</f>
        <v>78.5446058905528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9.60235554775515</v>
      </c>
      <c r="J40" s="16" t="n">
        <f aca="false">IF(D40="","",$B$12)</f>
        <v>0.432</v>
      </c>
      <c r="K40" s="16" t="n">
        <f aca="false">IF(J40="","",J40*$B$15)</f>
        <v>1.119744</v>
      </c>
      <c r="L40" s="16" t="n">
        <f aca="false">IF(D40="","",H40+E40-K40-G40*I40)</f>
        <v>78.3721334884344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9.58773499091652</v>
      </c>
      <c r="N40" s="16" t="n">
        <f aca="false">IF(D40="","",(I40+M40)/2)</f>
        <v>9.59504526933584</v>
      </c>
      <c r="O40" s="16" t="n">
        <f aca="false">IF(D40="","",G40*N40)</f>
        <v>0.802145784516476</v>
      </c>
      <c r="P40" s="16" t="n">
        <f aca="false">IF(D40="","",H40+E40-K40-O40)</f>
        <v>78.3727446277102</v>
      </c>
      <c r="Q40" s="16" t="n">
        <f aca="false">IF(D40="","",IF(P40&gt;=0,K40,MAX(0,K40+P40)))</f>
        <v>1.119744</v>
      </c>
      <c r="R40" s="16" t="n">
        <f aca="false">IF(D40="","",Q40/$B$15)</f>
        <v>0.432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78.3727446277102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48.3782374245125</v>
      </c>
      <c r="Z40" s="18" t="n">
        <f aca="false">IF(D40="","",MAX(0,IF(P40&gt;=0,P40,IF(K40+P40&gt;=0,0,P40+K40))))</f>
        <v>78.3727446277102</v>
      </c>
      <c r="AA40" s="18" t="n">
        <f aca="false">IF(D40="","",IF(H40&lt;=$B$16,1,IF(H40&gt;=$B$17,$B$21,MATCH(H40,Aux_CAV!$A$2:$A$121,1))))</f>
        <v>21</v>
      </c>
      <c r="AB40" s="18" t="n">
        <f aca="false">IF(D40="","",IF(L40&lt;=$B$16,1,IF(L40&gt;=$B$17,$B$21,MATCH(L40,Aux_CAV!$A$2:$A$121,1))))</f>
        <v>21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0.462614925442387</v>
      </c>
      <c r="E41" s="16" t="n">
        <f aca="false">IF(D41="","",D41*$B$15)</f>
        <v>1.19909788674667</v>
      </c>
      <c r="F41" s="16" t="n">
        <f aca="false" t="array" ref="F41:F41">IF(D41="","",IFERROR(INDEX(Dados_Evap!$C$2:$N$15,MATCH($B$9,Dados_Evap!$A$2:$A$15,0),C41),0))</f>
        <v>108.2</v>
      </c>
      <c r="G41" s="16" t="n">
        <f aca="false">IF(F41="","",F41/1000)</f>
        <v>0.1082</v>
      </c>
      <c r="H41" s="16" t="n">
        <f aca="false">IF(D41="","",MAX(0,MIN($B$8,IFERROR(LOOKUP(2,1/($U$24:U40&lt;&gt;""),$U$24:U40),$B$11))))</f>
        <v>78.3727446277102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9.58778679744562</v>
      </c>
      <c r="J41" s="16" t="n">
        <f aca="false">IF(D41="","",$B$12)</f>
        <v>0.432</v>
      </c>
      <c r="K41" s="16" t="n">
        <f aca="false">IF(J41="","",J41*$B$15)</f>
        <v>1.119744</v>
      </c>
      <c r="L41" s="16" t="n">
        <f aca="false">IF(D41="","",H41+E41-K41-G41*I41)</f>
        <v>77.4146999829733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9.50657295679475</v>
      </c>
      <c r="N41" s="16" t="n">
        <f aca="false">IF(D41="","",(I41+M41)/2)</f>
        <v>9.54717987712018</v>
      </c>
      <c r="O41" s="16" t="n">
        <f aca="false">IF(D41="","",G41*N41)</f>
        <v>1.0330048627044</v>
      </c>
      <c r="P41" s="16" t="n">
        <f aca="false">IF(D41="","",H41+E41-K41-O41)</f>
        <v>77.4190936517525</v>
      </c>
      <c r="Q41" s="16" t="n">
        <f aca="false">IF(D41="","",IF(P41&gt;=0,K41,MAX(0,K41+P41)))</f>
        <v>1.119744</v>
      </c>
      <c r="R41" s="16" t="n">
        <f aca="false">IF(D41="","",Q41/$B$15)</f>
        <v>0.432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77.4190936517525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47.7895639825633</v>
      </c>
      <c r="Z41" s="18" t="n">
        <f aca="false">IF(D41="","",MAX(0,IF(P41&gt;=0,P41,IF(K41+P41&gt;=0,0,P41+K41))))</f>
        <v>77.4190936517525</v>
      </c>
      <c r="AA41" s="18" t="n">
        <f aca="false">IF(D41="","",IF(H41&lt;=$B$16,1,IF(H41&gt;=$B$17,$B$21,MATCH(H41,Aux_CAV!$A$2:$A$121,1))))</f>
        <v>21</v>
      </c>
      <c r="AB41" s="18" t="n">
        <f aca="false">IF(D41="","",IF(L41&lt;=$B$16,1,IF(L41&gt;=$B$17,$B$21,MATCH(L41,Aux_CAV!$A$2:$A$121,1))))</f>
        <v>21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0.258642967008413</v>
      </c>
      <c r="E42" s="16" t="n">
        <f aca="false">IF(D42="","",D42*$B$15)</f>
        <v>0.670402570485807</v>
      </c>
      <c r="F42" s="16" t="n">
        <f aca="false" t="array" ref="F42:F42">IF(D42="","",IFERROR(INDEX(Dados_Evap!$C$2:$N$15,MATCH($B$9,Dados_Evap!$A$2:$A$15,0),C42),0))</f>
        <v>149</v>
      </c>
      <c r="G42" s="16" t="n">
        <f aca="false">IF(F42="","",F42/1000)</f>
        <v>0.149</v>
      </c>
      <c r="H42" s="16" t="n">
        <f aca="false">IF(D42="","",MAX(0,MIN($B$8,IFERROR(LOOKUP(2,1/($U$24:U41&lt;&gt;""),$U$24:U41),$B$11))))</f>
        <v>77.4190936517525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9.50694540991378</v>
      </c>
      <c r="J42" s="16" t="n">
        <f aca="false">IF(D42="","",$B$12)</f>
        <v>0.432</v>
      </c>
      <c r="K42" s="16" t="n">
        <f aca="false">IF(J42="","",J42*$B$15)</f>
        <v>1.119744</v>
      </c>
      <c r="L42" s="16" t="n">
        <f aca="false">IF(D42="","",H42+E42-K42-G42*I42)</f>
        <v>75.5532173561612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9.34877430486469</v>
      </c>
      <c r="N42" s="16" t="n">
        <f aca="false">IF(D42="","",(I42+M42)/2)</f>
        <v>9.42785985738924</v>
      </c>
      <c r="O42" s="16" t="n">
        <f aca="false">IF(D42="","",G42*N42)</f>
        <v>1.404751118751</v>
      </c>
      <c r="P42" s="16" t="n">
        <f aca="false">IF(D42="","",H42+E42-K42-O42)</f>
        <v>75.5650011034873</v>
      </c>
      <c r="Q42" s="16" t="n">
        <f aca="false">IF(D42="","",IF(P42&gt;=0,K42,MAX(0,K42+P42)))</f>
        <v>1.119744</v>
      </c>
      <c r="R42" s="16" t="n">
        <f aca="false">IF(D42="","",Q42/$B$15)</f>
        <v>0.432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75.5650011034873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46.6450624095601</v>
      </c>
      <c r="Z42" s="18" t="n">
        <f aca="false">IF(D42="","",MAX(0,IF(P42&gt;=0,P42,IF(K42+P42&gt;=0,0,P42+K42))))</f>
        <v>75.5650011034873</v>
      </c>
      <c r="AA42" s="18" t="n">
        <f aca="false">IF(D42="","",IF(H42&lt;=$B$16,1,IF(H42&gt;=$B$17,$B$21,MATCH(H42,Aux_CAV!$A$2:$A$121,1))))</f>
        <v>21</v>
      </c>
      <c r="AB42" s="18" t="n">
        <f aca="false">IF(D42="","",IF(L42&lt;=$B$16,1,IF(L42&gt;=$B$17,$B$21,MATCH(L42,Aux_CAV!$A$2:$A$121,1))))</f>
        <v>21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0.391476160702025</v>
      </c>
      <c r="E43" s="16" t="n">
        <f aca="false">IF(D43="","",D43*$B$15)</f>
        <v>1.01470620853965</v>
      </c>
      <c r="F43" s="16" t="n">
        <f aca="false" t="array" ref="F43:F43">IF(D43="","",IFERROR(INDEX(Dados_Evap!$C$2:$N$15,MATCH($B$9,Dados_Evap!$A$2:$A$15,0),C43),0))</f>
        <v>206.8</v>
      </c>
      <c r="G43" s="16" t="n">
        <f aca="false">IF(F43="","",F43/1000)</f>
        <v>0.2068</v>
      </c>
      <c r="H43" s="16" t="n">
        <f aca="false">IF(D43="","",MAX(0,MIN($B$8,IFERROR(LOOKUP(2,1/($U$24:U42&lt;&gt;""),$U$24:U42),$B$11))))</f>
        <v>75.5650011034873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9.34977321799768</v>
      </c>
      <c r="J43" s="16" t="n">
        <f aca="false">IF(D43="","",$B$12)</f>
        <v>0.432</v>
      </c>
      <c r="K43" s="16" t="n">
        <f aca="false">IF(J43="","",J43*$B$15)</f>
        <v>1.119744</v>
      </c>
      <c r="L43" s="16" t="n">
        <f aca="false">IF(D43="","",H43+E43-K43-G43*I43)</f>
        <v>73.5264302105451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9.17696272052823</v>
      </c>
      <c r="N43" s="16" t="n">
        <f aca="false">IF(D43="","",(I43+M43)/2)</f>
        <v>9.26336796926296</v>
      </c>
      <c r="O43" s="16" t="n">
        <f aca="false">IF(D43="","",G43*N43)</f>
        <v>1.91566449604358</v>
      </c>
      <c r="P43" s="16" t="n">
        <f aca="false">IF(D43="","",H43+E43-K43-O43)</f>
        <v>73.5442988159834</v>
      </c>
      <c r="Q43" s="16" t="n">
        <f aca="false">IF(D43="","",IF(P43&gt;=0,K43,MAX(0,K43+P43)))</f>
        <v>1.119744</v>
      </c>
      <c r="R43" s="16" t="n">
        <f aca="false">IF(D43="","",Q43/$B$15)</f>
        <v>0.432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73.5442988159834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45.3977153185083</v>
      </c>
      <c r="Z43" s="18" t="n">
        <f aca="false">IF(D43="","",MAX(0,IF(P43&gt;=0,P43,IF(K43+P43&gt;=0,0,P43+K43))))</f>
        <v>73.5442988159834</v>
      </c>
      <c r="AA43" s="18" t="n">
        <f aca="false">IF(D43="","",IF(H43&lt;=$B$16,1,IF(H43&gt;=$B$17,$B$21,MATCH(H43,Aux_CAV!$A$2:$A$121,1))))</f>
        <v>21</v>
      </c>
      <c r="AB43" s="18" t="n">
        <f aca="false">IF(D43="","",IF(L43&lt;=$B$16,1,IF(L43&gt;=$B$17,$B$21,MATCH(L43,Aux_CAV!$A$2:$A$121,1))))</f>
        <v>21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0.167089815725152</v>
      </c>
      <c r="E44" s="16" t="n">
        <f aca="false">IF(D44="","",D44*$B$15)</f>
        <v>0.433096802359594</v>
      </c>
      <c r="F44" s="16" t="n">
        <f aca="false" t="array" ref="F44:F44">IF(D44="","",IFERROR(INDEX(Dados_Evap!$C$2:$N$15,MATCH($B$9,Dados_Evap!$A$2:$A$15,0),C44),0))</f>
        <v>245.9</v>
      </c>
      <c r="G44" s="16" t="n">
        <f aca="false">IF(F44="","",F44/1000)</f>
        <v>0.2459</v>
      </c>
      <c r="H44" s="16" t="n">
        <f aca="false">IF(D44="","",MAX(0,MIN($B$8,IFERROR(LOOKUP(2,1/($U$24:U43&lt;&gt;""),$U$24:U43),$B$11))))</f>
        <v>73.5442988159834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9.17847744959926</v>
      </c>
      <c r="J44" s="16" t="n">
        <f aca="false">IF(D44="","",$B$12)</f>
        <v>0.432</v>
      </c>
      <c r="K44" s="16" t="n">
        <f aca="false">IF(J44="","",J44*$B$15)</f>
        <v>1.119744</v>
      </c>
      <c r="L44" s="16" t="n">
        <f aca="false">IF(D44="","",H44+E44-K44-G44*I44)</f>
        <v>70.6006640134865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8.92894431030594</v>
      </c>
      <c r="N44" s="16" t="n">
        <f aca="false">IF(D44="","",(I44+M44)/2)</f>
        <v>9.0537108799526</v>
      </c>
      <c r="O44" s="16" t="n">
        <f aca="false">IF(D44="","",G44*N44)</f>
        <v>2.22630750538034</v>
      </c>
      <c r="P44" s="16" t="n">
        <f aca="false">IF(D44="","",H44+E44-K44-O44)</f>
        <v>70.6313441129627</v>
      </c>
      <c r="Q44" s="16" t="n">
        <f aca="false">IF(D44="","",IF(P44&gt;=0,K44,MAX(0,K44+P44)))</f>
        <v>1.119744</v>
      </c>
      <c r="R44" s="16" t="n">
        <f aca="false">IF(D44="","",Q44/$B$15)</f>
        <v>0.432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70.6313441129627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43.5995951314584</v>
      </c>
      <c r="Z44" s="18" t="n">
        <f aca="false">IF(D44="","",MAX(0,IF(P44&gt;=0,P44,IF(K44+P44&gt;=0,0,P44+K44))))</f>
        <v>70.6313441129627</v>
      </c>
      <c r="AA44" s="18" t="n">
        <f aca="false">IF(D44="","",IF(H44&lt;=$B$16,1,IF(H44&gt;=$B$17,$B$21,MATCH(H44,Aux_CAV!$A$2:$A$121,1))))</f>
        <v>21</v>
      </c>
      <c r="AB44" s="18" t="n">
        <f aca="false">IF(D44="","",IF(L44&lt;=$B$16,1,IF(L44&gt;=$B$17,$B$21,MATCH(L44,Aux_CAV!$A$2:$A$121,1))))</f>
        <v>21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0.0856036507738744</v>
      </c>
      <c r="E45" s="16" t="n">
        <f aca="false">IF(D45="","",D45*$B$15)</f>
        <v>0.221884662805882</v>
      </c>
      <c r="F45" s="16" t="n">
        <f aca="false" t="array" ref="F45:F45">IF(D45="","",IFERROR(INDEX(Dados_Evap!$C$2:$N$15,MATCH($B$9,Dados_Evap!$A$2:$A$15,0),C45),0))</f>
        <v>282.3</v>
      </c>
      <c r="G45" s="16" t="n">
        <f aca="false">IF(F45="","",F45/1000)</f>
        <v>0.2823</v>
      </c>
      <c r="H45" s="16" t="n">
        <f aca="false">IF(D45="","",MAX(0,MIN($B$8,IFERROR(LOOKUP(2,1/($U$24:U44&lt;&gt;""),$U$24:U44),$B$11))))</f>
        <v>70.6313441129627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8.93154507502364</v>
      </c>
      <c r="J45" s="16" t="n">
        <f aca="false">IF(D45="","",$B$12)</f>
        <v>0.432</v>
      </c>
      <c r="K45" s="16" t="n">
        <f aca="false">IF(J45="","",J45*$B$15)</f>
        <v>1.119744</v>
      </c>
      <c r="L45" s="16" t="n">
        <f aca="false">IF(D45="","",H45+E45-K45-G45*I45)</f>
        <v>67.2121096010894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8.64169515172334</v>
      </c>
      <c r="N45" s="16" t="n">
        <f aca="false">IF(D45="","",(I45+M45)/2)</f>
        <v>8.78662011337349</v>
      </c>
      <c r="O45" s="16" t="n">
        <f aca="false">IF(D45="","",G45*N45)</f>
        <v>2.48046285800534</v>
      </c>
      <c r="P45" s="16" t="n">
        <f aca="false">IF(D45="","",H45+E45-K45-O45)</f>
        <v>67.2530219177632</v>
      </c>
      <c r="Q45" s="16" t="n">
        <f aca="false">IF(D45="","",IF(P45&gt;=0,K45,MAX(0,K45+P45)))</f>
        <v>1.119744</v>
      </c>
      <c r="R45" s="16" t="n">
        <f aca="false">IF(D45="","",Q45/$B$15)</f>
        <v>0.432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67.2530219177632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41.5142110603477</v>
      </c>
      <c r="Z45" s="18" t="n">
        <f aca="false">IF(D45="","",MAX(0,IF(P45&gt;=0,P45,IF(K45+P45&gt;=0,0,P45+K45))))</f>
        <v>67.2530219177632</v>
      </c>
      <c r="AA45" s="18" t="n">
        <f aca="false">IF(D45="","",IF(H45&lt;=$B$16,1,IF(H45&gt;=$B$17,$B$21,MATCH(H45,Aux_CAV!$A$2:$A$121,1))))</f>
        <v>21</v>
      </c>
      <c r="AB45" s="18" t="n">
        <f aca="false">IF(D45="","",IF(L45&lt;=$B$16,1,IF(L45&gt;=$B$17,$B$21,MATCH(L45,Aux_CAV!$A$2:$A$121,1))))</f>
        <v>21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0.102504173129558</v>
      </c>
      <c r="E46" s="16" t="n">
        <f aca="false">IF(D46="","",D46*$B$15)</f>
        <v>0.265690816751814</v>
      </c>
      <c r="F46" s="16" t="n">
        <f aca="false" t="array" ref="F46:F46">IF(D46="","",IFERROR(INDEX(Dados_Evap!$C$2:$N$15,MATCH($B$9,Dados_Evap!$A$2:$A$15,0),C46),0))</f>
        <v>241.3</v>
      </c>
      <c r="G46" s="16" t="n">
        <f aca="false">IF(F46="","",F46/1000)</f>
        <v>0.2413</v>
      </c>
      <c r="H46" s="16" t="n">
        <f aca="false">IF(D46="","",MAX(0,MIN($B$8,IFERROR(LOOKUP(2,1/($U$24:U45&lt;&gt;""),$U$24:U45),$B$11))))</f>
        <v>67.2530219177632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8.64516330572354</v>
      </c>
      <c r="J46" s="16" t="n">
        <f aca="false">IF(D46="","",$B$12)</f>
        <v>0.432</v>
      </c>
      <c r="K46" s="16" t="n">
        <f aca="false">IF(J46="","",J46*$B$15)</f>
        <v>1.119744</v>
      </c>
      <c r="L46" s="16" t="n">
        <f aca="false">IF(D46="","",H46+E46-K46-G46*I46)</f>
        <v>64.3128908288439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8.39592717767885</v>
      </c>
      <c r="N46" s="16" t="n">
        <f aca="false">IF(D46="","",(I46+M46)/2)</f>
        <v>8.5205452417012</v>
      </c>
      <c r="O46" s="16" t="n">
        <f aca="false">IF(D46="","",G46*N46)</f>
        <v>2.0560075668225</v>
      </c>
      <c r="P46" s="16" t="n">
        <f aca="false">IF(D46="","",H46+E46-K46-O46)</f>
        <v>64.3429611676925</v>
      </c>
      <c r="Q46" s="16" t="n">
        <f aca="false">IF(D46="","",IF(P46&gt;=0,K46,MAX(0,K46+P46)))</f>
        <v>1.119744</v>
      </c>
      <c r="R46" s="16" t="n">
        <f aca="false">IF(D46="","",Q46/$B$15)</f>
        <v>0.432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64.3429611676925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39.7178772640077</v>
      </c>
      <c r="Z46" s="18" t="n">
        <f aca="false">IF(D46="","",MAX(0,IF(P46&gt;=0,P46,IF(K46+P46&gt;=0,0,P46+K46))))</f>
        <v>64.3429611676925</v>
      </c>
      <c r="AA46" s="18" t="n">
        <f aca="false">IF(D46="","",IF(H46&lt;=$B$16,1,IF(H46&gt;=$B$17,$B$21,MATCH(H46,Aux_CAV!$A$2:$A$121,1))))</f>
        <v>21</v>
      </c>
      <c r="AB46" s="18" t="n">
        <f aca="false">IF(D46="","",IF(L46&lt;=$B$16,1,IF(L46&gt;=$B$17,$B$21,MATCH(L46,Aux_CAV!$A$2:$A$121,1))))</f>
        <v>21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0.1188550613655</v>
      </c>
      <c r="E47" s="16" t="n">
        <f aca="false">IF(D47="","",D47*$B$15)</f>
        <v>0.308072319059376</v>
      </c>
      <c r="F47" s="16" t="n">
        <f aca="false" t="array" ref="F47:F47">IF(D47="","",IFERROR(INDEX(Dados_Evap!$C$2:$N$15,MATCH($B$9,Dados_Evap!$A$2:$A$15,0),C47),0))</f>
        <v>241.8</v>
      </c>
      <c r="G47" s="16" t="n">
        <f aca="false">IF(F47="","",F47/1000)</f>
        <v>0.2418</v>
      </c>
      <c r="H47" s="16" t="n">
        <f aca="false">IF(D47="","",MAX(0,MIN($B$8,IFERROR(LOOKUP(2,1/($U$24:U46&lt;&gt;""),$U$24:U46),$B$11))))</f>
        <v>64.3429611676925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8.39847625273604</v>
      </c>
      <c r="J47" s="16" t="n">
        <f aca="false">IF(D47="","",$B$12)</f>
        <v>0.432</v>
      </c>
      <c r="K47" s="16" t="n">
        <f aca="false">IF(J47="","",J47*$B$15)</f>
        <v>1.119744</v>
      </c>
      <c r="L47" s="16" t="n">
        <f aca="false">IF(D47="","",H47+E47-K47-G47*I47)</f>
        <v>61.5005379288403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8.15752285954017</v>
      </c>
      <c r="N47" s="16" t="n">
        <f aca="false">IF(D47="","",(I47+M47)/2)</f>
        <v>8.27799955613811</v>
      </c>
      <c r="O47" s="16" t="n">
        <f aca="false">IF(D47="","",G47*N47)</f>
        <v>2.00162029267419</v>
      </c>
      <c r="P47" s="16" t="n">
        <f aca="false">IF(D47="","",H47+E47-K47-O47)</f>
        <v>61.5296691940777</v>
      </c>
      <c r="Q47" s="16" t="n">
        <f aca="false">IF(D47="","",IF(P47&gt;=0,K47,MAX(0,K47+P47)))</f>
        <v>1.119744</v>
      </c>
      <c r="R47" s="16" t="n">
        <f aca="false">IF(D47="","",Q47/$B$15)</f>
        <v>0.432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61.5296691940777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37.9812772802949</v>
      </c>
      <c r="Z47" s="18" t="n">
        <f aca="false">IF(D47="","",MAX(0,IF(P47&gt;=0,P47,IF(K47+P47&gt;=0,0,P47+K47))))</f>
        <v>61.5296691940777</v>
      </c>
      <c r="AA47" s="18" t="n">
        <f aca="false">IF(D47="","",IF(H47&lt;=$B$16,1,IF(H47&gt;=$B$17,$B$21,MATCH(H47,Aux_CAV!$A$2:$A$121,1))))</f>
        <v>21</v>
      </c>
      <c r="AB47" s="18" t="n">
        <f aca="false">IF(D47="","",IF(L47&lt;=$B$16,1,IF(L47&gt;=$B$17,$B$21,MATCH(L47,Aux_CAV!$A$2:$A$121,1))))</f>
        <v>21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0.385426226463072</v>
      </c>
      <c r="E48" s="16" t="n">
        <f aca="false">IF(D48="","",D48*$B$15)</f>
        <v>0.999024778992283</v>
      </c>
      <c r="F48" s="16" t="n">
        <f aca="false" t="array" ref="F48:F48">IF(D48="","",IFERROR(INDEX(Dados_Evap!$C$2:$N$15,MATCH($B$9,Dados_Evap!$A$2:$A$15,0),C48),0))</f>
        <v>189</v>
      </c>
      <c r="G48" s="16" t="n">
        <f aca="false">IF(F48="","",F48/1000)</f>
        <v>0.189</v>
      </c>
      <c r="H48" s="16" t="n">
        <f aca="false">IF(D48="","",MAX(0,MIN($B$8,IFERROR(LOOKUP(2,1/($U$24:U47&lt;&gt;""),$U$24:U47),$B$11))))</f>
        <v>61.5296691940777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8.15999232893906</v>
      </c>
      <c r="J48" s="16" t="n">
        <f aca="false">IF(D48="","",$B$12)</f>
        <v>0.432</v>
      </c>
      <c r="K48" s="16" t="n">
        <f aca="false">IF(J48="","",J48*$B$15)</f>
        <v>1.119744</v>
      </c>
      <c r="L48" s="16" t="n">
        <f aca="false">IF(D48="","",H48+E48-K48-G48*I48)</f>
        <v>59.8667114229005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8.01902271110397</v>
      </c>
      <c r="N48" s="16" t="n">
        <f aca="false">IF(D48="","",(I48+M48)/2)</f>
        <v>8.08950752002152</v>
      </c>
      <c r="O48" s="16" t="n">
        <f aca="false">IF(D48="","",G48*N48)</f>
        <v>1.52891692128407</v>
      </c>
      <c r="P48" s="16" t="n">
        <f aca="false">IF(D48="","",H48+E48-K48-O48)</f>
        <v>59.8800330517859</v>
      </c>
      <c r="Q48" s="16" t="n">
        <f aca="false">IF(D48="","",IF(P48&gt;=0,K48,MAX(0,K48+P48)))</f>
        <v>1.119744</v>
      </c>
      <c r="R48" s="16" t="n">
        <f aca="false">IF(D48="","",Q48/$B$15)</f>
        <v>0.432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59.8800330517859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36.9629833653</v>
      </c>
      <c r="Z48" s="18" t="n">
        <f aca="false">IF(D48="","",MAX(0,IF(P48&gt;=0,P48,IF(K48+P48&gt;=0,0,P48+K48))))</f>
        <v>59.8800330517859</v>
      </c>
      <c r="AA48" s="18" t="n">
        <f aca="false">IF(D48="","",IF(H48&lt;=$B$16,1,IF(H48&gt;=$B$17,$B$21,MATCH(H48,Aux_CAV!$A$2:$A$121,1))))</f>
        <v>21</v>
      </c>
      <c r="AB48" s="18" t="n">
        <f aca="false">IF(D48="","",IF(L48&lt;=$B$16,1,IF(L48&gt;=$B$17,$B$21,MATCH(L48,Aux_CAV!$A$2:$A$121,1))))</f>
        <v>21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1.68661306072442</v>
      </c>
      <c r="E49" s="16" t="n">
        <f aca="false">IF(D49="","",D49*$B$15)</f>
        <v>4.3717010533977</v>
      </c>
      <c r="F49" s="16" t="n">
        <f aca="false" t="array" ref="F49:F49">IF(D49="","",IFERROR(INDEX(Dados_Evap!$C$2:$N$15,MATCH($B$9,Dados_Evap!$A$2:$A$15,0),C49),0))</f>
        <v>136.9</v>
      </c>
      <c r="G49" s="16" t="n">
        <f aca="false">IF(F49="","",F49/1000)</f>
        <v>0.1369</v>
      </c>
      <c r="H49" s="16" t="n">
        <f aca="false">IF(D49="","",MAX(0,MIN($B$8,IFERROR(LOOKUP(2,1/($U$24:U48&lt;&gt;""),$U$24:U48),$B$11))))</f>
        <v>59.8800330517859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8.02015199109259</v>
      </c>
      <c r="J49" s="16" t="n">
        <f aca="false">IF(D49="","",$B$12)</f>
        <v>0.432</v>
      </c>
      <c r="K49" s="16" t="n">
        <f aca="false">IF(J49="","",J49*$B$15)</f>
        <v>1.119744</v>
      </c>
      <c r="L49" s="16" t="n">
        <f aca="false">IF(D49="","",H49+E49-K49-G49*I49)</f>
        <v>62.034031297603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8.20274731299024</v>
      </c>
      <c r="N49" s="16" t="n">
        <f aca="false">IF(D49="","",(I49+M49)/2)</f>
        <v>8.11144965204142</v>
      </c>
      <c r="O49" s="16" t="n">
        <f aca="false">IF(D49="","",G49*N49)</f>
        <v>1.11045745736447</v>
      </c>
      <c r="P49" s="16" t="n">
        <f aca="false">IF(D49="","",H49+E49-K49-O49)</f>
        <v>62.0215326478192</v>
      </c>
      <c r="Q49" s="16" t="n">
        <f aca="false">IF(D49="","",IF(P49&gt;=0,K49,MAX(0,K49+P49)))</f>
        <v>1.119744</v>
      </c>
      <c r="R49" s="16" t="n">
        <f aca="false">IF(D49="","",Q49/$B$15)</f>
        <v>0.432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62.0215326478192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38.2848966961847</v>
      </c>
      <c r="Z49" s="18" t="n">
        <f aca="false">IF(D49="","",MAX(0,IF(P49&gt;=0,P49,IF(K49+P49&gt;=0,0,P49+K49))))</f>
        <v>62.0215326478192</v>
      </c>
      <c r="AA49" s="18" t="n">
        <f aca="false">IF(D49="","",IF(H49&lt;=$B$16,1,IF(H49&gt;=$B$17,$B$21,MATCH(H49,Aux_CAV!$A$2:$A$121,1))))</f>
        <v>21</v>
      </c>
      <c r="AB49" s="18" t="n">
        <f aca="false">IF(D49="","",IF(L49&lt;=$B$16,1,IF(L49&gt;=$B$17,$B$21,MATCH(L49,Aux_CAV!$A$2:$A$121,1))))</f>
        <v>21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3.92940811123433</v>
      </c>
      <c r="E50" s="16" t="n">
        <f aca="false">IF(D50="","",D50*$B$15)</f>
        <v>10.1850258243194</v>
      </c>
      <c r="F50" s="16" t="n">
        <f aca="false" t="array" ref="F50:F50">IF(D50="","",IFERROR(INDEX(Dados_Evap!$C$2:$N$15,MATCH($B$9,Dados_Evap!$A$2:$A$15,0),C50),0))</f>
        <v>102.9</v>
      </c>
      <c r="G50" s="16" t="n">
        <f aca="false">IF(F50="","",F50/1000)</f>
        <v>0.1029</v>
      </c>
      <c r="H50" s="16" t="n">
        <f aca="false">IF(D50="","",MAX(0,MIN($B$8,IFERROR(LOOKUP(2,1/($U$24:U49&lt;&gt;""),$U$24:U49),$B$11))))</f>
        <v>62.0215326478192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8.20168779728033</v>
      </c>
      <c r="J50" s="16" t="n">
        <f aca="false">IF(D50="","",$B$12)</f>
        <v>0.432</v>
      </c>
      <c r="K50" s="16" t="n">
        <f aca="false">IF(J50="","",J50*$B$15)</f>
        <v>1.119744</v>
      </c>
      <c r="L50" s="16" t="n">
        <f aca="false">IF(D50="","",H50+E50-K50-G50*I50)</f>
        <v>70.2428607977984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8.89861318377348</v>
      </c>
      <c r="N50" s="16" t="n">
        <f aca="false">IF(D50="","",(I50+M50)/2)</f>
        <v>8.5501504905269</v>
      </c>
      <c r="O50" s="16" t="n">
        <f aca="false">IF(D50="","",G50*N50)</f>
        <v>0.879810485475218</v>
      </c>
      <c r="P50" s="16" t="n">
        <f aca="false">IF(D50="","",H50+E50-K50-O50)</f>
        <v>70.2070039866633</v>
      </c>
      <c r="Q50" s="16" t="n">
        <f aca="false">IF(D50="","",IF(P50&gt;=0,K50,MAX(0,K50+P50)))</f>
        <v>1.119744</v>
      </c>
      <c r="R50" s="16" t="n">
        <f aca="false">IF(D50="","",Q50/$B$15)</f>
        <v>0.432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70.2070039866633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43.3376567818909</v>
      </c>
      <c r="Z50" s="18" t="n">
        <f aca="false">IF(D50="","",MAX(0,IF(P50&gt;=0,P50,IF(K50+P50&gt;=0,0,P50+K50))))</f>
        <v>70.2070039866633</v>
      </c>
      <c r="AA50" s="18" t="n">
        <f aca="false">IF(D50="","",IF(H50&lt;=$B$16,1,IF(H50&gt;=$B$17,$B$21,MATCH(H50,Aux_CAV!$A$2:$A$121,1))))</f>
        <v>21</v>
      </c>
      <c r="AB50" s="18" t="n">
        <f aca="false">IF(D50="","",IF(L50&lt;=$B$16,1,IF(L50&gt;=$B$17,$B$21,MATCH(L50,Aux_CAV!$A$2:$A$121,1))))</f>
        <v>21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8.15045890262577</v>
      </c>
      <c r="E51" s="16" t="n">
        <f aca="false">IF(D51="","",D51*$B$15)</f>
        <v>21.125989475606</v>
      </c>
      <c r="F51" s="16" t="n">
        <f aca="false" t="array" ref="F51:F51">IF(D51="","",IFERROR(INDEX(Dados_Evap!$C$2:$N$15,MATCH($B$9,Dados_Evap!$A$2:$A$15,0),C51),0))</f>
        <v>81.8</v>
      </c>
      <c r="G51" s="16" t="n">
        <f aca="false">IF(F51="","",F51/1000)</f>
        <v>0.0818</v>
      </c>
      <c r="H51" s="16" t="n">
        <f aca="false">IF(D51="","",MAX(0,MIN($B$8,IFERROR(LOOKUP(2,1/($U$24:U50&lt;&gt;""),$U$24:U50),$B$11))))</f>
        <v>70.2070039866633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8.89557358706807</v>
      </c>
      <c r="J51" s="16" t="n">
        <f aca="false">IF(D51="","",$B$12)</f>
        <v>0.432</v>
      </c>
      <c r="K51" s="16" t="n">
        <f aca="false">IF(J51="","",J51*$B$15)</f>
        <v>1.119744</v>
      </c>
      <c r="L51" s="16" t="n">
        <f aca="false">IF(D51="","",H51+E51-K51-G51*I51)</f>
        <v>89.4855915428472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10.503460471649</v>
      </c>
      <c r="N51" s="16" t="n">
        <f aca="false">IF(D51="","",(I51+M51)/2)</f>
        <v>9.69951702935855</v>
      </c>
      <c r="O51" s="16" t="n">
        <f aca="false">IF(D51="","",G51*N51)</f>
        <v>0.79342049300153</v>
      </c>
      <c r="P51" s="16" t="n">
        <f aca="false">IF(D51="","",H51+E51-K51-O51)</f>
        <v>89.4198289692678</v>
      </c>
      <c r="Q51" s="16" t="n">
        <f aca="false">IF(D51="","",IF(P51&gt;=0,K51,MAX(0,K51+P51)))</f>
        <v>1.119744</v>
      </c>
      <c r="R51" s="16" t="n">
        <f aca="false">IF(D51="","",Q51/$B$15)</f>
        <v>0.432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89.4198289692678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55.1974252896715</v>
      </c>
      <c r="Z51" s="18" t="n">
        <f aca="false">IF(D51="","",MAX(0,IF(P51&gt;=0,P51,IF(K51+P51&gt;=0,0,P51+K51))))</f>
        <v>89.4198289692678</v>
      </c>
      <c r="AA51" s="18" t="n">
        <f aca="false">IF(D51="","",IF(H51&lt;=$B$16,1,IF(H51&gt;=$B$17,$B$21,MATCH(H51,Aux_CAV!$A$2:$A$121,1))))</f>
        <v>21</v>
      </c>
      <c r="AB51" s="18" t="n">
        <f aca="false">IF(D51="","",IF(L51&lt;=$B$16,1,IF(L51&gt;=$B$17,$B$21,MATCH(L51,Aux_CAV!$A$2:$A$121,1))))</f>
        <v>22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12.1782362515404</v>
      </c>
      <c r="E52" s="16" t="n">
        <f aca="false">IF(D52="","",D52*$B$15)</f>
        <v>31.5659883639927</v>
      </c>
      <c r="F52" s="16" t="n">
        <f aca="false" t="array" ref="F52:F52">IF(D52="","",IFERROR(INDEX(Dados_Evap!$C$2:$N$15,MATCH($B$9,Dados_Evap!$A$2:$A$15,0),C52),0))</f>
        <v>83.6</v>
      </c>
      <c r="G52" s="16" t="n">
        <f aca="false">IF(F52="","",F52/1000)</f>
        <v>0.0836</v>
      </c>
      <c r="H52" s="16" t="n">
        <f aca="false">IF(D52="","",MAX(0,MIN($B$8,IFERROR(LOOKUP(2,1/($U$24:U51&lt;&gt;""),$U$24:U51),$B$11))))</f>
        <v>89.4198289692678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10.498672511379</v>
      </c>
      <c r="J52" s="16" t="n">
        <f aca="false">IF(D52="","",$B$12)</f>
        <v>0.432</v>
      </c>
      <c r="K52" s="16" t="n">
        <f aca="false">IF(J52="","",J52*$B$15)</f>
        <v>1.119744</v>
      </c>
      <c r="L52" s="16" t="n">
        <f aca="false">IF(D52="","",H52+E52-K52-G52*I52)</f>
        <v>118.988384311309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12.6514633848891</v>
      </c>
      <c r="N52" s="16" t="n">
        <f aca="false">IF(D52="","",(I52+M52)/2)</f>
        <v>11.575067948134</v>
      </c>
      <c r="O52" s="16" t="n">
        <f aca="false">IF(D52="","",G52*N52)</f>
        <v>0.967675680464005</v>
      </c>
      <c r="P52" s="16" t="n">
        <f aca="false">IF(D52="","",H52+E52-K52-O52)</f>
        <v>118.898397652796</v>
      </c>
      <c r="Q52" s="16" t="n">
        <f aca="false">IF(D52="","",IF(P52&gt;=0,K52,MAX(0,K52+P52)))</f>
        <v>1.119744</v>
      </c>
      <c r="R52" s="16" t="n">
        <f aca="false">IF(D52="","",Q52/$B$15)</f>
        <v>0.432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118.898397652796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73.394072625183</v>
      </c>
      <c r="Z52" s="18" t="n">
        <f aca="false">IF(D52="","",MAX(0,IF(P52&gt;=0,P52,IF(K52+P52&gt;=0,0,P52+K52))))</f>
        <v>118.898397652796</v>
      </c>
      <c r="AA52" s="18" t="n">
        <f aca="false">IF(D52="","",IF(H52&lt;=$B$16,1,IF(H52&gt;=$B$17,$B$21,MATCH(H52,Aux_CAV!$A$2:$A$121,1))))</f>
        <v>22</v>
      </c>
      <c r="AB52" s="18" t="n">
        <f aca="false">IF(D52="","",IF(L52&lt;=$B$16,1,IF(L52&gt;=$B$17,$B$21,MATCH(L52,Aux_CAV!$A$2:$A$121,1))))</f>
        <v>22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5.67281162173095</v>
      </c>
      <c r="E53" s="16" t="n">
        <f aca="false">IF(D53="","",D53*$B$15)</f>
        <v>14.7039277235266</v>
      </c>
      <c r="F53" s="16" t="n">
        <f aca="false" t="array" ref="F53:F53">IF(D53="","",IFERROR(INDEX(Dados_Evap!$C$2:$N$15,MATCH($B$9,Dados_Evap!$A$2:$A$15,0),C53),0))</f>
        <v>108.2</v>
      </c>
      <c r="G53" s="16" t="n">
        <f aca="false">IF(F53="","",F53/1000)</f>
        <v>0.1082</v>
      </c>
      <c r="H53" s="16" t="n">
        <f aca="false">IF(D53="","",MAX(0,MIN($B$8,IFERROR(LOOKUP(2,1/($U$24:U52&lt;&gt;""),$U$24:U52),$B$11))))</f>
        <v>118.898397652796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12.644911747349</v>
      </c>
      <c r="J53" s="16" t="n">
        <f aca="false">IF(D53="","",$B$12)</f>
        <v>0.432</v>
      </c>
      <c r="K53" s="16" t="n">
        <f aca="false">IF(J53="","",J53*$B$15)</f>
        <v>1.119744</v>
      </c>
      <c r="L53" s="16" t="n">
        <f aca="false">IF(D53="","",H53+E53-K53-G53*I53)</f>
        <v>131.11440192526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13.5343195051615</v>
      </c>
      <c r="N53" s="16" t="n">
        <f aca="false">IF(D53="","",(I53+M53)/2)</f>
        <v>13.0896156262553</v>
      </c>
      <c r="O53" s="16" t="n">
        <f aca="false">IF(D53="","",G53*N53)</f>
        <v>1.41629641076082</v>
      </c>
      <c r="P53" s="16" t="n">
        <f aca="false">IF(D53="","",H53+E53-K53-O53)</f>
        <v>131.066284965562</v>
      </c>
      <c r="Q53" s="16" t="n">
        <f aca="false">IF(D53="","",IF(P53&gt;=0,K53,MAX(0,K53+P53)))</f>
        <v>1.119744</v>
      </c>
      <c r="R53" s="16" t="n">
        <f aca="false">IF(D53="","",Q53/$B$15)</f>
        <v>0.432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131.066284965562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80.905114176273</v>
      </c>
      <c r="Z53" s="18" t="n">
        <f aca="false">IF(D53="","",MAX(0,IF(P53&gt;=0,P53,IF(K53+P53&gt;=0,0,P53+K53))))</f>
        <v>131.066284965562</v>
      </c>
      <c r="AA53" s="18" t="n">
        <f aca="false">IF(D53="","",IF(H53&lt;=$B$16,1,IF(H53&gt;=$B$17,$B$21,MATCH(H53,Aux_CAV!$A$2:$A$121,1))))</f>
        <v>22</v>
      </c>
      <c r="AB53" s="18" t="n">
        <f aca="false">IF(D53="","",IF(L53&lt;=$B$16,1,IF(L53&gt;=$B$17,$B$21,MATCH(L53,Aux_CAV!$A$2:$A$121,1))))</f>
        <v>22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1.11820057009457</v>
      </c>
      <c r="E54" s="16" t="n">
        <f aca="false">IF(D54="","",D54*$B$15)</f>
        <v>2.89837587768513</v>
      </c>
      <c r="F54" s="16" t="n">
        <f aca="false" t="array" ref="F54:F54">IF(D54="","",IFERROR(INDEX(Dados_Evap!$C$2:$N$15,MATCH($B$9,Dados_Evap!$A$2:$A$15,0),C54),0))</f>
        <v>149</v>
      </c>
      <c r="G54" s="16" t="n">
        <f aca="false">IF(F54="","",F54/1000)</f>
        <v>0.149</v>
      </c>
      <c r="H54" s="16" t="n">
        <f aca="false">IF(D54="","",MAX(0,MIN($B$8,IFERROR(LOOKUP(2,1/($U$24:U53&lt;&gt;""),$U$24:U53),$B$11))))</f>
        <v>131.066284965562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13.5308162649626</v>
      </c>
      <c r="J54" s="16" t="n">
        <f aca="false">IF(D54="","",$B$12)</f>
        <v>0.432</v>
      </c>
      <c r="K54" s="16" t="n">
        <f aca="false">IF(J54="","",J54*$B$15)</f>
        <v>1.119744</v>
      </c>
      <c r="L54" s="16" t="n">
        <f aca="false">IF(D54="","",H54+E54-K54-G54*I54)</f>
        <v>130.828825219768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13.5135275889465</v>
      </c>
      <c r="N54" s="16" t="n">
        <f aca="false">IF(D54="","",(I54+M54)/2)</f>
        <v>13.5221719269546</v>
      </c>
      <c r="O54" s="16" t="n">
        <f aca="false">IF(D54="","",G54*N54)</f>
        <v>2.01480361711623</v>
      </c>
      <c r="P54" s="16" t="n">
        <f aca="false">IF(D54="","",H54+E54-K54-O54)</f>
        <v>130.830113226131</v>
      </c>
      <c r="Q54" s="16" t="n">
        <f aca="false">IF(D54="","",IF(P54&gt;=0,K54,MAX(0,K54+P54)))</f>
        <v>1.119744</v>
      </c>
      <c r="R54" s="16" t="n">
        <f aca="false">IF(D54="","",Q54/$B$15)</f>
        <v>0.432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130.830113226131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80.7593291519328</v>
      </c>
      <c r="Z54" s="18" t="n">
        <f aca="false">IF(D54="","",MAX(0,IF(P54&gt;=0,P54,IF(K54+P54&gt;=0,0,P54+K54))))</f>
        <v>130.830113226131</v>
      </c>
      <c r="AA54" s="18" t="n">
        <f aca="false">IF(D54="","",IF(H54&lt;=$B$16,1,IF(H54&gt;=$B$17,$B$21,MATCH(H54,Aux_CAV!$A$2:$A$121,1))))</f>
        <v>22</v>
      </c>
      <c r="AB54" s="18" t="n">
        <f aca="false">IF(D54="","",IF(L54&lt;=$B$16,1,IF(L54&gt;=$B$17,$B$21,MATCH(L54,Aux_CAV!$A$2:$A$121,1))))</f>
        <v>22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1.66367422685417</v>
      </c>
      <c r="E55" s="16" t="n">
        <f aca="false">IF(D55="","",D55*$B$15)</f>
        <v>4.31224359600601</v>
      </c>
      <c r="F55" s="16" t="n">
        <f aca="false" t="array" ref="F55:F55">IF(D55="","",IFERROR(INDEX(Dados_Evap!$C$2:$N$15,MATCH($B$9,Dados_Evap!$A$2:$A$15,0),C55),0))</f>
        <v>206.8</v>
      </c>
      <c r="G55" s="16" t="n">
        <f aca="false">IF(F55="","",F55/1000)</f>
        <v>0.2068</v>
      </c>
      <c r="H55" s="16" t="n">
        <f aca="false">IF(D55="","",MAX(0,MIN($B$8,IFERROR(LOOKUP(2,1/($U$24:U54&lt;&gt;""),$U$24:U54),$B$11))))</f>
        <v>130.830113226131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13.5136213645237</v>
      </c>
      <c r="J55" s="16" t="n">
        <f aca="false">IF(D55="","",$B$12)</f>
        <v>0.432</v>
      </c>
      <c r="K55" s="16" t="n">
        <f aca="false">IF(J55="","",J55*$B$15)</f>
        <v>1.119744</v>
      </c>
      <c r="L55" s="16" t="n">
        <f aca="false">IF(D55="","",H55+E55-K55-G55*I55)</f>
        <v>131.227995923954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13.542589916781</v>
      </c>
      <c r="N55" s="16" t="n">
        <f aca="false">IF(D55="","",(I55+M55)/2)</f>
        <v>13.5281056406524</v>
      </c>
      <c r="O55" s="16" t="n">
        <f aca="false">IF(D55="","",G55*N55)</f>
        <v>2.79761224648691</v>
      </c>
      <c r="P55" s="16" t="n">
        <f aca="false">IF(D55="","",H55+E55-K55-O55)</f>
        <v>131.22500057565</v>
      </c>
      <c r="Q55" s="16" t="n">
        <f aca="false">IF(D55="","",IF(P55&gt;=0,K55,MAX(0,K55+P55)))</f>
        <v>1.119744</v>
      </c>
      <c r="R55" s="16" t="n">
        <f aca="false">IF(D55="","",Q55/$B$15)</f>
        <v>0.432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131.22500057565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81.0030867750928</v>
      </c>
      <c r="Z55" s="18" t="n">
        <f aca="false">IF(D55="","",MAX(0,IF(P55&gt;=0,P55,IF(K55+P55&gt;=0,0,P55+K55))))</f>
        <v>131.22500057565</v>
      </c>
      <c r="AA55" s="18" t="n">
        <f aca="false">IF(D55="","",IF(H55&lt;=$B$16,1,IF(H55&gt;=$B$17,$B$21,MATCH(H55,Aux_CAV!$A$2:$A$121,1))))</f>
        <v>22</v>
      </c>
      <c r="AB55" s="18" t="n">
        <f aca="false">IF(D55="","",IF(L55&lt;=$B$16,1,IF(L55&gt;=$B$17,$B$21,MATCH(L55,Aux_CAV!$A$2:$A$121,1))))</f>
        <v>22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0.681159888800275</v>
      </c>
      <c r="E56" s="16" t="n">
        <f aca="false">IF(D56="","",D56*$B$15)</f>
        <v>1.76556643177031</v>
      </c>
      <c r="F56" s="16" t="n">
        <f aca="false" t="array" ref="F56:F56">IF(D56="","",IFERROR(INDEX(Dados_Evap!$C$2:$N$15,MATCH($B$9,Dados_Evap!$A$2:$A$15,0),C56),0))</f>
        <v>245.9</v>
      </c>
      <c r="G56" s="16" t="n">
        <f aca="false">IF(F56="","",F56/1000)</f>
        <v>0.2459</v>
      </c>
      <c r="H56" s="16" t="n">
        <f aca="false">IF(D56="","",MAX(0,MIN($B$8,IFERROR(LOOKUP(2,1/($U$24:U55&lt;&gt;""),$U$24:U55),$B$11))))</f>
        <v>131.22500057565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13.5423718351597</v>
      </c>
      <c r="J56" s="16" t="n">
        <f aca="false">IF(D56="","",$B$12)</f>
        <v>0.432</v>
      </c>
      <c r="K56" s="16" t="n">
        <f aca="false">IF(J56="","",J56*$B$15)</f>
        <v>1.119744</v>
      </c>
      <c r="L56" s="16" t="n">
        <f aca="false">IF(D56="","",H56+E56-K56-G56*I56)</f>
        <v>128.540753773155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13.346940507798</v>
      </c>
      <c r="N56" s="16" t="n">
        <f aca="false">IF(D56="","",(I56+M56)/2)</f>
        <v>13.4446561714789</v>
      </c>
      <c r="O56" s="16" t="n">
        <f aca="false">IF(D56="","",G56*N56)</f>
        <v>3.30604095256665</v>
      </c>
      <c r="P56" s="16" t="n">
        <f aca="false">IF(D56="","",H56+E56-K56-O56)</f>
        <v>128.564782054854</v>
      </c>
      <c r="Q56" s="16" t="n">
        <f aca="false">IF(D56="","",IF(P56&gt;=0,K56,MAX(0,K56+P56)))</f>
        <v>1.119744</v>
      </c>
      <c r="R56" s="16" t="n">
        <f aca="false">IF(D56="","",Q56/$B$15)</f>
        <v>0.432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128.564782054854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79.3609765770703</v>
      </c>
      <c r="Z56" s="18" t="n">
        <f aca="false">IF(D56="","",MAX(0,IF(P56&gt;=0,P56,IF(K56+P56&gt;=0,0,P56+K56))))</f>
        <v>128.564782054854</v>
      </c>
      <c r="AA56" s="18" t="n">
        <f aca="false">IF(D56="","",IF(H56&lt;=$B$16,1,IF(H56&gt;=$B$17,$B$21,MATCH(H56,Aux_CAV!$A$2:$A$121,1))))</f>
        <v>22</v>
      </c>
      <c r="AB56" s="18" t="n">
        <f aca="false">IF(D56="","",IF(L56&lt;=$B$16,1,IF(L56&gt;=$B$17,$B$21,MATCH(L56,Aux_CAV!$A$2:$A$121,1))))</f>
        <v>22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0.780226552957601</v>
      </c>
      <c r="E57" s="16" t="n">
        <f aca="false">IF(D57="","",D57*$B$15)</f>
        <v>2.0223472252661</v>
      </c>
      <c r="F57" s="16" t="n">
        <f aca="false" t="array" ref="F57:F57">IF(D57="","",IFERROR(INDEX(Dados_Evap!$C$2:$N$15,MATCH($B$9,Dados_Evap!$A$2:$A$15,0),C57),0))</f>
        <v>282.3</v>
      </c>
      <c r="G57" s="16" t="n">
        <f aca="false">IF(F57="","",F57/1000)</f>
        <v>0.2823</v>
      </c>
      <c r="H57" s="16" t="n">
        <f aca="false">IF(D57="","",MAX(0,MIN($B$8,IFERROR(LOOKUP(2,1/($U$24:U56&lt;&gt;""),$U$24:U56),$B$11))))</f>
        <v>128.564782054854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13.3486899292679</v>
      </c>
      <c r="J57" s="16" t="n">
        <f aca="false">IF(D57="","",$B$12)</f>
        <v>0.432</v>
      </c>
      <c r="K57" s="16" t="n">
        <f aca="false">IF(J57="","",J57*$B$15)</f>
        <v>1.119744</v>
      </c>
      <c r="L57" s="16" t="n">
        <f aca="false">IF(D57="","",H57+E57-K57-G57*I57)</f>
        <v>125.699050113088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13.1400452559386</v>
      </c>
      <c r="N57" s="16" t="n">
        <f aca="false">IF(D57="","",(I57+M57)/2)</f>
        <v>13.2443675926032</v>
      </c>
      <c r="O57" s="16" t="n">
        <f aca="false">IF(D57="","",G57*N57)</f>
        <v>3.73888497139189</v>
      </c>
      <c r="P57" s="16" t="n">
        <f aca="false">IF(D57="","",H57+E57-K57-O57)</f>
        <v>125.728500308728</v>
      </c>
      <c r="Q57" s="16" t="n">
        <f aca="false">IF(D57="","",IF(P57&gt;=0,K57,MAX(0,K57+P57)))</f>
        <v>1.119744</v>
      </c>
      <c r="R57" s="16" t="n">
        <f aca="false">IF(D57="","",Q57/$B$15)</f>
        <v>0.432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125.728500308728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77.6101853757581</v>
      </c>
      <c r="Z57" s="18" t="n">
        <f aca="false">IF(D57="","",MAX(0,IF(P57&gt;=0,P57,IF(K57+P57&gt;=0,0,P57+K57))))</f>
        <v>125.728500308728</v>
      </c>
      <c r="AA57" s="18" t="n">
        <f aca="false">IF(D57="","",IF(H57&lt;=$B$16,1,IF(H57&gt;=$B$17,$B$21,MATCH(H57,Aux_CAV!$A$2:$A$121,1))))</f>
        <v>22</v>
      </c>
      <c r="AB57" s="18" t="n">
        <f aca="false">IF(D57="","",IF(L57&lt;=$B$16,1,IF(L57&gt;=$B$17,$B$21,MATCH(L57,Aux_CAV!$A$2:$A$121,1))))</f>
        <v>22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0.458648563261397</v>
      </c>
      <c r="E58" s="16" t="n">
        <f aca="false">IF(D58="","",D58*$B$15)</f>
        <v>1.18881707597354</v>
      </c>
      <c r="F58" s="16" t="n">
        <f aca="false" t="array" ref="F58:F58">IF(D58="","",IFERROR(INDEX(Dados_Evap!$C$2:$N$15,MATCH($B$9,Dados_Evap!$A$2:$A$15,0),C58),0))</f>
        <v>241.3</v>
      </c>
      <c r="G58" s="16" t="n">
        <f aca="false">IF(F58="","",F58/1000)</f>
        <v>0.2413</v>
      </c>
      <c r="H58" s="16" t="n">
        <f aca="false">IF(D58="","",MAX(0,MIN($B$8,IFERROR(LOOKUP(2,1/($U$24:U57&lt;&gt;""),$U$24:U57),$B$11))))</f>
        <v>125.728500308728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13.142189429425</v>
      </c>
      <c r="J58" s="16" t="n">
        <f aca="false">IF(D58="","",$B$12)</f>
        <v>0.432</v>
      </c>
      <c r="K58" s="16" t="n">
        <f aca="false">IF(J58="","",J58*$B$15)</f>
        <v>1.119744</v>
      </c>
      <c r="L58" s="16" t="n">
        <f aca="false">IF(D58="","",H58+E58-K58-G58*I58)</f>
        <v>122.626363075381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12.9163328514802</v>
      </c>
      <c r="N58" s="16" t="n">
        <f aca="false">IF(D58="","",(I58+M58)/2)</f>
        <v>13.0292611404526</v>
      </c>
      <c r="O58" s="16" t="n">
        <f aca="false">IF(D58="","",G58*N58)</f>
        <v>3.14396071319122</v>
      </c>
      <c r="P58" s="16" t="n">
        <f aca="false">IF(D58="","",H58+E58-K58-O58)</f>
        <v>122.65361267151</v>
      </c>
      <c r="Q58" s="16" t="n">
        <f aca="false">IF(D58="","",IF(P58&gt;=0,K58,MAX(0,K58+P58)))</f>
        <v>1.119744</v>
      </c>
      <c r="R58" s="16" t="n">
        <f aca="false">IF(D58="","",Q58/$B$15)</f>
        <v>0.432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122.65361267151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75.7121065873521</v>
      </c>
      <c r="Z58" s="18" t="n">
        <f aca="false">IF(D58="","",MAX(0,IF(P58&gt;=0,P58,IF(K58+P58&gt;=0,0,P58+K58))))</f>
        <v>122.65361267151</v>
      </c>
      <c r="AA58" s="18" t="n">
        <f aca="false">IF(D58="","",IF(H58&lt;=$B$16,1,IF(H58&gt;=$B$17,$B$21,MATCH(H58,Aux_CAV!$A$2:$A$121,1))))</f>
        <v>22</v>
      </c>
      <c r="AB58" s="18" t="n">
        <f aca="false">IF(D58="","",IF(L58&lt;=$B$16,1,IF(L58&gt;=$B$17,$B$21,MATCH(L58,Aux_CAV!$A$2:$A$121,1))))</f>
        <v>22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0.41477140871353</v>
      </c>
      <c r="E59" s="16" t="n">
        <f aca="false">IF(D59="","",D59*$B$15)</f>
        <v>1.07508749138547</v>
      </c>
      <c r="F59" s="16" t="n">
        <f aca="false" t="array" ref="F59:F59">IF(D59="","",IFERROR(INDEX(Dados_Evap!$C$2:$N$15,MATCH($B$9,Dados_Evap!$A$2:$A$15,0),C59),0))</f>
        <v>241.8</v>
      </c>
      <c r="G59" s="16" t="n">
        <f aca="false">IF(F59="","",F59/1000)</f>
        <v>0.2418</v>
      </c>
      <c r="H59" s="16" t="n">
        <f aca="false">IF(D59="","",MAX(0,MIN($B$8,IFERROR(LOOKUP(2,1/($U$24:U58&lt;&gt;""),$U$24:U58),$B$11))))</f>
        <v>122.65361267151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12.9183168064342</v>
      </c>
      <c r="J59" s="16" t="n">
        <f aca="false">IF(D59="","",$B$12)</f>
        <v>0.432</v>
      </c>
      <c r="K59" s="16" t="n">
        <f aca="false">IF(J59="","",J59*$B$15)</f>
        <v>1.119744</v>
      </c>
      <c r="L59" s="16" t="n">
        <f aca="false">IF(D59="","",H59+E59-K59-G59*I59)</f>
        <v>119.4853071591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12.6876427301154</v>
      </c>
      <c r="N59" s="16" t="n">
        <f aca="false">IF(D59="","",(I59+M59)/2)</f>
        <v>12.8029797682748</v>
      </c>
      <c r="O59" s="16" t="n">
        <f aca="false">IF(D59="","",G59*N59)</f>
        <v>3.09576050796885</v>
      </c>
      <c r="P59" s="16" t="n">
        <f aca="false">IF(D59="","",H59+E59-K59-O59)</f>
        <v>119.513195654927</v>
      </c>
      <c r="Q59" s="16" t="n">
        <f aca="false">IF(D59="","",IF(P59&gt;=0,K59,MAX(0,K59+P59)))</f>
        <v>1.119744</v>
      </c>
      <c r="R59" s="16" t="n">
        <f aca="false">IF(D59="","",Q59/$B$15)</f>
        <v>0.432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119.513195654927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73.7735775647698</v>
      </c>
      <c r="Z59" s="18" t="n">
        <f aca="false">IF(D59="","",MAX(0,IF(P59&gt;=0,P59,IF(K59+P59&gt;=0,0,P59+K59))))</f>
        <v>119.513195654927</v>
      </c>
      <c r="AA59" s="18" t="n">
        <f aca="false">IF(D59="","",IF(H59&lt;=$B$16,1,IF(H59&gt;=$B$17,$B$21,MATCH(H59,Aux_CAV!$A$2:$A$121,1))))</f>
        <v>22</v>
      </c>
      <c r="AB59" s="18" t="n">
        <f aca="false">IF(D59="","",IF(L59&lt;=$B$16,1,IF(L59&gt;=$B$17,$B$21,MATCH(L59,Aux_CAV!$A$2:$A$121,1))))</f>
        <v>22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0.594743254597065</v>
      </c>
      <c r="E60" s="16" t="n">
        <f aca="false">IF(D60="","",D60*$B$15)</f>
        <v>1.54157451591559</v>
      </c>
      <c r="F60" s="16" t="n">
        <f aca="false" t="array" ref="F60:F60">IF(D60="","",IFERROR(INDEX(Dados_Evap!$C$2:$N$15,MATCH($B$9,Dados_Evap!$A$2:$A$15,0),C60),0))</f>
        <v>189</v>
      </c>
      <c r="G60" s="16" t="n">
        <f aca="false">IF(F60="","",F60/1000)</f>
        <v>0.189</v>
      </c>
      <c r="H60" s="16" t="n">
        <f aca="false">IF(D60="","",MAX(0,MIN($B$8,IFERROR(LOOKUP(2,1/($U$24:U59&lt;&gt;""),$U$24:U59),$B$11))))</f>
        <v>119.513195654927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12.6896732012898</v>
      </c>
      <c r="J60" s="16" t="n">
        <f aca="false">IF(D60="","",$B$12)</f>
        <v>0.432</v>
      </c>
      <c r="K60" s="16" t="n">
        <f aca="false">IF(J60="","",J60*$B$15)</f>
        <v>1.119744</v>
      </c>
      <c r="L60" s="16" t="n">
        <f aca="false">IF(D60="","",H60+E60-K60-G60*I60)</f>
        <v>117.536677935799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12.5457693393037</v>
      </c>
      <c r="N60" s="16" t="n">
        <f aca="false">IF(D60="","",(I60+M60)/2)</f>
        <v>12.6177212702968</v>
      </c>
      <c r="O60" s="16" t="n">
        <f aca="false">IF(D60="","",G60*N60)</f>
        <v>2.38474932008609</v>
      </c>
      <c r="P60" s="16" t="n">
        <f aca="false">IF(D60="","",H60+E60-K60-O60)</f>
        <v>117.550276850757</v>
      </c>
      <c r="Q60" s="16" t="n">
        <f aca="false">IF(D60="","",IF(P60&gt;=0,K60,MAX(0,K60+P60)))</f>
        <v>1.119744</v>
      </c>
      <c r="R60" s="16" t="n">
        <f aca="false">IF(D60="","",Q60/$B$15)</f>
        <v>0.432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117.550276850757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72.5618992905905</v>
      </c>
      <c r="Z60" s="18" t="n">
        <f aca="false">IF(D60="","",MAX(0,IF(P60&gt;=0,P60,IF(K60+P60&gt;=0,0,P60+K60))))</f>
        <v>117.550276850757</v>
      </c>
      <c r="AA60" s="18" t="n">
        <f aca="false">IF(D60="","",IF(H60&lt;=$B$16,1,IF(H60&gt;=$B$17,$B$21,MATCH(H60,Aux_CAV!$A$2:$A$121,1))))</f>
        <v>22</v>
      </c>
      <c r="AB60" s="18" t="n">
        <f aca="false">IF(D60="","",IF(L60&lt;=$B$16,1,IF(L60&gt;=$B$17,$B$21,MATCH(L60,Aux_CAV!$A$2:$A$121,1))))</f>
        <v>22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4.32164279087068</v>
      </c>
      <c r="E61" s="16" t="n">
        <f aca="false">IF(D61="","",D61*$B$15)</f>
        <v>11.2016981139368</v>
      </c>
      <c r="F61" s="16" t="n">
        <f aca="false" t="array" ref="F61:F61">IF(D61="","",IFERROR(INDEX(Dados_Evap!$C$2:$N$15,MATCH($B$9,Dados_Evap!$A$2:$A$15,0),C61),0))</f>
        <v>136.9</v>
      </c>
      <c r="G61" s="16" t="n">
        <f aca="false">IF(F61="","",F61/1000)</f>
        <v>0.1369</v>
      </c>
      <c r="H61" s="16" t="n">
        <f aca="false">IF(D61="","",MAX(0,MIN($B$8,IFERROR(LOOKUP(2,1/($U$24:U60&lt;&gt;""),$U$24:U60),$B$11))))</f>
        <v>117.550276850757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12.5467594323154</v>
      </c>
      <c r="J61" s="16" t="n">
        <f aca="false">IF(D61="","",$B$12)</f>
        <v>0.432</v>
      </c>
      <c r="K61" s="16" t="n">
        <f aca="false">IF(J61="","",J61*$B$15)</f>
        <v>1.119744</v>
      </c>
      <c r="L61" s="16" t="n">
        <f aca="false">IF(D61="","",H61+E61-K61-G61*I61)</f>
        <v>125.914579598409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13.1557372606241</v>
      </c>
      <c r="N61" s="16" t="n">
        <f aca="false">IF(D61="","",(I61+M61)/2)</f>
        <v>12.8512483464698</v>
      </c>
      <c r="O61" s="16" t="n">
        <f aca="false">IF(D61="","",G61*N61)</f>
        <v>1.75933589863171</v>
      </c>
      <c r="P61" s="16" t="n">
        <f aca="false">IF(D61="","",H61+E61-K61-O61)</f>
        <v>125.872895066062</v>
      </c>
      <c r="Q61" s="16" t="n">
        <f aca="false">IF(D61="","",IF(P61&gt;=0,K61,MAX(0,K61+P61)))</f>
        <v>1.119744</v>
      </c>
      <c r="R61" s="16" t="n">
        <f aca="false">IF(D61="","",Q61/$B$15)</f>
        <v>0.432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125.872895066062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77.6993179420134</v>
      </c>
      <c r="Z61" s="18" t="n">
        <f aca="false">IF(D61="","",MAX(0,IF(P61&gt;=0,P61,IF(K61+P61&gt;=0,0,P61+K61))))</f>
        <v>125.872895066062</v>
      </c>
      <c r="AA61" s="18" t="n">
        <f aca="false">IF(D61="","",IF(H61&lt;=$B$16,1,IF(H61&gt;=$B$17,$B$21,MATCH(H61,Aux_CAV!$A$2:$A$121,1))))</f>
        <v>22</v>
      </c>
      <c r="AB61" s="18" t="n">
        <f aca="false">IF(D61="","",IF(L61&lt;=$B$16,1,IF(L61&gt;=$B$17,$B$21,MATCH(L61,Aux_CAV!$A$2:$A$121,1))))</f>
        <v>22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12.9927261073906</v>
      </c>
      <c r="E62" s="16" t="n">
        <f aca="false">IF(D62="","",D62*$B$15)</f>
        <v>33.6771460703564</v>
      </c>
      <c r="F62" s="16" t="n">
        <f aca="false" t="array" ref="F62:F62">IF(D62="","",IFERROR(INDEX(Dados_Evap!$C$2:$N$15,MATCH($B$9,Dados_Evap!$A$2:$A$15,0),C62),0))</f>
        <v>102.9</v>
      </c>
      <c r="G62" s="16" t="n">
        <f aca="false">IF(F62="","",F62/1000)</f>
        <v>0.1029</v>
      </c>
      <c r="H62" s="16" t="n">
        <f aca="false">IF(D62="","",MAX(0,MIN($B$8,IFERROR(LOOKUP(2,1/($U$24:U61&lt;&gt;""),$U$24:U61),$B$11))))</f>
        <v>125.872895066062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13.1527023446546</v>
      </c>
      <c r="J62" s="16" t="n">
        <f aca="false">IF(D62="","",$B$12)</f>
        <v>0.432</v>
      </c>
      <c r="K62" s="16" t="n">
        <f aca="false">IF(J62="","",J62*$B$15)</f>
        <v>1.119744</v>
      </c>
      <c r="L62" s="16" t="n">
        <f aca="false">IF(D62="","",H62+E62-K62-G62*I62)</f>
        <v>157.076884065153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15.424563852844</v>
      </c>
      <c r="N62" s="16" t="n">
        <f aca="false">IF(D62="","",(I62+M62)/2)</f>
        <v>14.2886330987493</v>
      </c>
      <c r="O62" s="16" t="n">
        <f aca="false">IF(D62="","",G62*N62)</f>
        <v>1.4703003458613</v>
      </c>
      <c r="P62" s="16" t="n">
        <f aca="false">IF(D62="","",H62+E62-K62-O62)</f>
        <v>156.959996790557</v>
      </c>
      <c r="Q62" s="16" t="n">
        <f aca="false">IF(D62="","",IF(P62&gt;=0,K62,MAX(0,K62+P62)))</f>
        <v>1.119744</v>
      </c>
      <c r="R62" s="16" t="n">
        <f aca="false">IF(D62="","",Q62/$B$15)</f>
        <v>0.432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156.959996790557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96.8888869077511</v>
      </c>
      <c r="Z62" s="18" t="n">
        <f aca="false">IF(D62="","",MAX(0,IF(P62&gt;=0,P62,IF(K62+P62&gt;=0,0,P62+K62))))</f>
        <v>156.959996790557</v>
      </c>
      <c r="AA62" s="18" t="n">
        <f aca="false">IF(D62="","",IF(H62&lt;=$B$16,1,IF(H62&gt;=$B$17,$B$21,MATCH(H62,Aux_CAV!$A$2:$A$121,1))))</f>
        <v>22</v>
      </c>
      <c r="AB62" s="18" t="n">
        <f aca="false">IF(D62="","",IF(L62&lt;=$B$16,1,IF(L62&gt;=$B$17,$B$21,MATCH(L62,Aux_CAV!$A$2:$A$121,1))))</f>
        <v>22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13.1147620455863</v>
      </c>
      <c r="E63" s="16" t="n">
        <f aca="false">IF(D63="","",D63*$B$15)</f>
        <v>33.9934632221597</v>
      </c>
      <c r="F63" s="16" t="n">
        <f aca="false" t="array" ref="F63:F63">IF(D63="","",IFERROR(INDEX(Dados_Evap!$C$2:$N$15,MATCH($B$9,Dados_Evap!$A$2:$A$15,0),C63),0))</f>
        <v>81.8</v>
      </c>
      <c r="G63" s="16" t="n">
        <f aca="false">IF(F63="","",F63/1000)</f>
        <v>0.0818</v>
      </c>
      <c r="H63" s="16" t="n">
        <f aca="false">IF(D63="","",MAX(0,MIN($B$8,IFERROR(LOOKUP(2,1/($U$24:U62&lt;&gt;""),$U$24:U62),$B$11))))</f>
        <v>156.959996790557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15.4160536684583</v>
      </c>
      <c r="J63" s="16" t="n">
        <f aca="false">IF(D63="","",$B$12)</f>
        <v>0.432</v>
      </c>
      <c r="K63" s="16" t="n">
        <f aca="false">IF(J63="","",J63*$B$15)</f>
        <v>1.119744</v>
      </c>
      <c r="L63" s="16" t="n">
        <f aca="false">IF(D63="","",H63+E63-K63-G63*I63)</f>
        <v>188.572682822637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17.3722995059634</v>
      </c>
      <c r="N63" s="16" t="n">
        <f aca="false">IF(D63="","",(I63+M63)/2)</f>
        <v>16.3941765872108</v>
      </c>
      <c r="O63" s="16" t="n">
        <f aca="false">IF(D63="","",G63*N63)</f>
        <v>1.34104364483385</v>
      </c>
      <c r="P63" s="16" t="n">
        <f aca="false">IF(D63="","",H63+E63-K63-O63)</f>
        <v>188.492672367883</v>
      </c>
      <c r="Q63" s="16" t="n">
        <f aca="false">IF(D63="","",IF(P63&gt;=0,K63,MAX(0,K63+P63)))</f>
        <v>1.119744</v>
      </c>
      <c r="R63" s="16" t="n">
        <f aca="false">IF(D63="","",Q63/$B$15)</f>
        <v>0.432</v>
      </c>
      <c r="S63" s="16" t="n">
        <f aca="false">IF(D63="","",MAX(0,J63-R63))</f>
        <v>0</v>
      </c>
      <c r="T63" s="16" t="n">
        <f aca="false">IF(D63="","",MAX(0,Z63-$B$8))</f>
        <v>26.4926723678826</v>
      </c>
      <c r="U63" s="16" t="n">
        <f aca="false">IF(D63="","",MAX(0,MIN($B$8,Z63)))</f>
        <v>162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188.492672367883</v>
      </c>
      <c r="AA63" s="18" t="n">
        <f aca="false">IF(D63="","",IF(H63&lt;=$B$16,1,IF(H63&gt;=$B$17,$B$21,MATCH(H63,Aux_CAV!$A$2:$A$121,1))))</f>
        <v>22</v>
      </c>
      <c r="AB63" s="18" t="n">
        <f aca="false">IF(D63="","",IF(L63&lt;=$B$16,1,IF(L63&gt;=$B$17,$B$21,MATCH(L63,Aux_CAV!$A$2:$A$121,1))))</f>
        <v>23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9.34607904260814</v>
      </c>
      <c r="E64" s="16" t="n">
        <f aca="false">IF(D64="","",D64*$B$15)</f>
        <v>24.2250368784403</v>
      </c>
      <c r="F64" s="16" t="n">
        <f aca="false" t="array" ref="F64:F64">IF(D64="","",IFERROR(INDEX(Dados_Evap!$C$2:$N$15,MATCH($B$9,Dados_Evap!$A$2:$A$15,0),C64),0))</f>
        <v>83.6</v>
      </c>
      <c r="G64" s="16" t="n">
        <f aca="false">IF(F64="","",F64/1000)</f>
        <v>0.0836</v>
      </c>
      <c r="H64" s="16" t="n">
        <f aca="false">IF(D64="","",MAX(0,MIN($B$8,IFERROR(LOOKUP(2,1/($U$24:U63&lt;&gt;""),$U$24:U63),$B$11))))</f>
        <v>162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15.783</v>
      </c>
      <c r="J64" s="16" t="n">
        <f aca="false">IF(D64="","",$B$12)</f>
        <v>0.432</v>
      </c>
      <c r="K64" s="16" t="n">
        <f aca="false">IF(J64="","",J64*$B$15)</f>
        <v>1.119744</v>
      </c>
      <c r="L64" s="16" t="n">
        <f aca="false">IF(D64="","",H64+E64-K64-G64*I64)</f>
        <v>183.78583407844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17.0860003620248</v>
      </c>
      <c r="N64" s="16" t="n">
        <f aca="false">IF(D64="","",(I64+M64)/2)</f>
        <v>16.4345001810124</v>
      </c>
      <c r="O64" s="16" t="n">
        <f aca="false">IF(D64="","",G64*N64)</f>
        <v>1.37392421513264</v>
      </c>
      <c r="P64" s="16" t="n">
        <f aca="false">IF(D64="","",H64+E64-K64-O64)</f>
        <v>183.731368663308</v>
      </c>
      <c r="Q64" s="16" t="n">
        <f aca="false">IF(D64="","",IF(P64&gt;=0,K64,MAX(0,K64+P64)))</f>
        <v>1.119744</v>
      </c>
      <c r="R64" s="16" t="n">
        <f aca="false">IF(D64="","",Q64/$B$15)</f>
        <v>0.432</v>
      </c>
      <c r="S64" s="16" t="n">
        <f aca="false">IF(D64="","",MAX(0,J64-R64))</f>
        <v>0</v>
      </c>
      <c r="T64" s="16" t="n">
        <f aca="false">IF(D64="","",MAX(0,Z64-$B$8))</f>
        <v>21.7313686633077</v>
      </c>
      <c r="U64" s="16" t="n">
        <f aca="false">IF(D64="","",MAX(0,MIN($B$8,Z64)))</f>
        <v>162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183.731368663308</v>
      </c>
      <c r="AA64" s="18" t="n">
        <f aca="false">IF(D64="","",IF(H64&lt;=$B$16,1,IF(H64&gt;=$B$17,$B$21,MATCH(H64,Aux_CAV!$A$2:$A$121,1))))</f>
        <v>23</v>
      </c>
      <c r="AB64" s="18" t="n">
        <f aca="false">IF(D64="","",IF(L64&lt;=$B$16,1,IF(L64&gt;=$B$17,$B$21,MATCH(L64,Aux_CAV!$A$2:$A$121,1))))</f>
        <v>23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6.50091141843077</v>
      </c>
      <c r="E65" s="16" t="n">
        <f aca="false">IF(D65="","",D65*$B$15)</f>
        <v>16.8503623965726</v>
      </c>
      <c r="F65" s="16" t="n">
        <f aca="false" t="array" ref="F65:F65">IF(D65="","",IFERROR(INDEX(Dados_Evap!$C$2:$N$15,MATCH($B$9,Dados_Evap!$A$2:$A$15,0),C65),0))</f>
        <v>108.2</v>
      </c>
      <c r="G65" s="16" t="n">
        <f aca="false">IF(F65="","",F65/1000)</f>
        <v>0.1082</v>
      </c>
      <c r="H65" s="16" t="n">
        <f aca="false">IF(D65="","",MAX(0,MIN($B$8,IFERROR(LOOKUP(2,1/($U$24:U64&lt;&gt;""),$U$24:U64),$B$11))))</f>
        <v>162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15.783</v>
      </c>
      <c r="J65" s="16" t="n">
        <f aca="false">IF(D65="","",$B$12)</f>
        <v>0.432</v>
      </c>
      <c r="K65" s="16" t="n">
        <f aca="false">IF(J65="","",J65*$B$15)</f>
        <v>1.119744</v>
      </c>
      <c r="L65" s="16" t="n">
        <f aca="false">IF(D65="","",H65+E65-K65-G65*I65)</f>
        <v>176.022897796573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16.6217028396426</v>
      </c>
      <c r="N65" s="16" t="n">
        <f aca="false">IF(D65="","",(I65+M65)/2)</f>
        <v>16.2023514198213</v>
      </c>
      <c r="O65" s="16" t="n">
        <f aca="false">IF(D65="","",G65*N65)</f>
        <v>1.75309442362467</v>
      </c>
      <c r="P65" s="16" t="n">
        <f aca="false">IF(D65="","",H65+E65-K65-O65)</f>
        <v>175.977523972948</v>
      </c>
      <c r="Q65" s="16" t="n">
        <f aca="false">IF(D65="","",IF(P65&gt;=0,K65,MAX(0,K65+P65)))</f>
        <v>1.119744</v>
      </c>
      <c r="R65" s="16" t="n">
        <f aca="false">IF(D65="","",Q65/$B$15)</f>
        <v>0.432</v>
      </c>
      <c r="S65" s="16" t="n">
        <f aca="false">IF(D65="","",MAX(0,J65-R65))</f>
        <v>0</v>
      </c>
      <c r="T65" s="16" t="n">
        <f aca="false">IF(D65="","",MAX(0,Z65-$B$8))</f>
        <v>13.9775239729479</v>
      </c>
      <c r="U65" s="16" t="n">
        <f aca="false">IF(D65="","",MAX(0,MIN($B$8,Z65)))</f>
        <v>162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175.977523972948</v>
      </c>
      <c r="AA65" s="18" t="n">
        <f aca="false">IF(D65="","",IF(H65&lt;=$B$16,1,IF(H65&gt;=$B$17,$B$21,MATCH(H65,Aux_CAV!$A$2:$A$121,1))))</f>
        <v>23</v>
      </c>
      <c r="AB65" s="18" t="n">
        <f aca="false">IF(D65="","",IF(L65&lt;=$B$16,1,IF(L65&gt;=$B$17,$B$21,MATCH(L65,Aux_CAV!$A$2:$A$121,1))))</f>
        <v>23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3.29957598643809</v>
      </c>
      <c r="E66" s="16" t="n">
        <f aca="false">IF(D66="","",D66*$B$15)</f>
        <v>8.55250095684753</v>
      </c>
      <c r="F66" s="16" t="n">
        <f aca="false" t="array" ref="F66:F66">IF(D66="","",IFERROR(INDEX(Dados_Evap!$C$2:$N$15,MATCH($B$9,Dados_Evap!$A$2:$A$15,0),C66),0))</f>
        <v>149</v>
      </c>
      <c r="G66" s="16" t="n">
        <f aca="false">IF(F66="","",F66/1000)</f>
        <v>0.149</v>
      </c>
      <c r="H66" s="16" t="n">
        <f aca="false">IF(D66="","",MAX(0,MIN($B$8,IFERROR(LOOKUP(2,1/($U$24:U65&lt;&gt;""),$U$24:U65),$B$11))))</f>
        <v>162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15.783</v>
      </c>
      <c r="J66" s="16" t="n">
        <f aca="false">IF(D66="","",$B$12)</f>
        <v>0.432</v>
      </c>
      <c r="K66" s="16" t="n">
        <f aca="false">IF(J66="","",J66*$B$15)</f>
        <v>1.119744</v>
      </c>
      <c r="L66" s="16" t="n">
        <f aca="false">IF(D66="","",H66+E66-K66-G66*I66)</f>
        <v>167.081089956848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16.0868975707524</v>
      </c>
      <c r="N66" s="16" t="n">
        <f aca="false">IF(D66="","",(I66+M66)/2)</f>
        <v>15.9349487853762</v>
      </c>
      <c r="O66" s="16" t="n">
        <f aca="false">IF(D66="","",G66*N66)</f>
        <v>2.37430736902105</v>
      </c>
      <c r="P66" s="16" t="n">
        <f aca="false">IF(D66="","",H66+E66-K66-O66)</f>
        <v>167.058449587826</v>
      </c>
      <c r="Q66" s="16" t="n">
        <f aca="false">IF(D66="","",IF(P66&gt;=0,K66,MAX(0,K66+P66)))</f>
        <v>1.119744</v>
      </c>
      <c r="R66" s="16" t="n">
        <f aca="false">IF(D66="","",Q66/$B$15)</f>
        <v>0.432</v>
      </c>
      <c r="S66" s="16" t="n">
        <f aca="false">IF(D66="","",MAX(0,J66-R66))</f>
        <v>0</v>
      </c>
      <c r="T66" s="16" t="n">
        <f aca="false">IF(D66="","",MAX(0,Z66-$B$8))</f>
        <v>5.05844958782646</v>
      </c>
      <c r="U66" s="16" t="n">
        <f aca="false">IF(D66="","",MAX(0,MIN($B$8,Z66)))</f>
        <v>162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167.058449587826</v>
      </c>
      <c r="AA66" s="18" t="n">
        <f aca="false">IF(D66="","",IF(H66&lt;=$B$16,1,IF(H66&gt;=$B$17,$B$21,MATCH(H66,Aux_CAV!$A$2:$A$121,1))))</f>
        <v>23</v>
      </c>
      <c r="AB66" s="18" t="n">
        <f aca="false">IF(D66="","",IF(L66&lt;=$B$16,1,IF(L66&gt;=$B$17,$B$21,MATCH(L66,Aux_CAV!$A$2:$A$121,1))))</f>
        <v>23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1.17417006912618</v>
      </c>
      <c r="E67" s="16" t="n">
        <f aca="false">IF(D67="","",D67*$B$15)</f>
        <v>3.04344881917506</v>
      </c>
      <c r="F67" s="16" t="n">
        <f aca="false" t="array" ref="F67:F67">IF(D67="","",IFERROR(INDEX(Dados_Evap!$C$2:$N$15,MATCH($B$9,Dados_Evap!$A$2:$A$15,0),C67),0))</f>
        <v>206.8</v>
      </c>
      <c r="G67" s="16" t="n">
        <f aca="false">IF(F67="","",F67/1000)</f>
        <v>0.2068</v>
      </c>
      <c r="H67" s="16" t="n">
        <f aca="false">IF(D67="","",MAX(0,MIN($B$8,IFERROR(LOOKUP(2,1/($U$24:U66&lt;&gt;""),$U$24:U66),$B$11))))</f>
        <v>162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15.783</v>
      </c>
      <c r="J67" s="16" t="n">
        <f aca="false">IF(D67="","",$B$12)</f>
        <v>0.432</v>
      </c>
      <c r="K67" s="16" t="n">
        <f aca="false">IF(J67="","",J67*$B$15)</f>
        <v>1.119744</v>
      </c>
      <c r="L67" s="16" t="n">
        <f aca="false">IF(D67="","",H67+E67-K67-G67*I67)</f>
        <v>160.659780419175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15.6854229473262</v>
      </c>
      <c r="N67" s="16" t="n">
        <f aca="false">IF(D67="","",(I67+M67)/2)</f>
        <v>15.7342114736631</v>
      </c>
      <c r="O67" s="16" t="n">
        <f aca="false">IF(D67="","",G67*N67)</f>
        <v>3.25383493275353</v>
      </c>
      <c r="P67" s="16" t="n">
        <f aca="false">IF(D67="","",H67+E67-K67-O67)</f>
        <v>160.669869886422</v>
      </c>
      <c r="Q67" s="16" t="n">
        <f aca="false">IF(D67="","",IF(P67&gt;=0,K67,MAX(0,K67+P67)))</f>
        <v>1.119744</v>
      </c>
      <c r="R67" s="16" t="n">
        <f aca="false">IF(D67="","",Q67/$B$15)</f>
        <v>0.432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160.669869886422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99.1789320286553</v>
      </c>
      <c r="Z67" s="18" t="n">
        <f aca="false">IF(D67="","",MAX(0,IF(P67&gt;=0,P67,IF(K67+P67&gt;=0,0,P67+K67))))</f>
        <v>160.669869886422</v>
      </c>
      <c r="AA67" s="18" t="n">
        <f aca="false">IF(D67="","",IF(H67&lt;=$B$16,1,IF(H67&gt;=$B$17,$B$21,MATCH(H67,Aux_CAV!$A$2:$A$121,1))))</f>
        <v>23</v>
      </c>
      <c r="AB67" s="18" t="n">
        <f aca="false">IF(D67="","",IF(L67&lt;=$B$16,1,IF(L67&gt;=$B$17,$B$21,MATCH(L67,Aux_CAV!$A$2:$A$121,1))))</f>
        <v>22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1.00347847514125</v>
      </c>
      <c r="E68" s="16" t="n">
        <f aca="false">IF(D68="","",D68*$B$15)</f>
        <v>2.60101620756612</v>
      </c>
      <c r="F68" s="16" t="n">
        <f aca="false" t="array" ref="F68:F68">IF(D68="","",IFERROR(INDEX(Dados_Evap!$C$2:$N$15,MATCH($B$9,Dados_Evap!$A$2:$A$15,0),C68),0))</f>
        <v>245.9</v>
      </c>
      <c r="G68" s="16" t="n">
        <f aca="false">IF(F68="","",F68/1000)</f>
        <v>0.2459</v>
      </c>
      <c r="H68" s="16" t="n">
        <f aca="false">IF(D68="","",MAX(0,MIN($B$8,IFERROR(LOOKUP(2,1/($U$24:U67&lt;&gt;""),$U$24:U67),$B$11))))</f>
        <v>160.669869886422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15.6861575288015</v>
      </c>
      <c r="J68" s="16" t="n">
        <f aca="false">IF(D68="","",$B$12)</f>
        <v>0.432</v>
      </c>
      <c r="K68" s="16" t="n">
        <f aca="false">IF(J68="","",J68*$B$15)</f>
        <v>1.119744</v>
      </c>
      <c r="L68" s="16" t="n">
        <f aca="false">IF(D68="","",H68+E68-K68-G68*I68)</f>
        <v>158.293915957655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15.5131720083877</v>
      </c>
      <c r="N68" s="16" t="n">
        <f aca="false">IF(D68="","",(I68+M68)/2)</f>
        <v>15.5996647685946</v>
      </c>
      <c r="O68" s="16" t="n">
        <f aca="false">IF(D68="","",G68*N68)</f>
        <v>3.83595756659741</v>
      </c>
      <c r="P68" s="16" t="n">
        <f aca="false">IF(D68="","",H68+E68-K68-O68)</f>
        <v>158.31518452739</v>
      </c>
      <c r="Q68" s="16" t="n">
        <f aca="false">IF(D68="","",IF(P68&gt;=0,K68,MAX(0,K68+P68)))</f>
        <v>1.119744</v>
      </c>
      <c r="R68" s="16" t="n">
        <f aca="false">IF(D68="","",Q68/$B$15)</f>
        <v>0.432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158.31518452739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97.7254225477718</v>
      </c>
      <c r="Z68" s="18" t="n">
        <f aca="false">IF(D68="","",MAX(0,IF(P68&gt;=0,P68,IF(K68+P68&gt;=0,0,P68+K68))))</f>
        <v>158.31518452739</v>
      </c>
      <c r="AA68" s="18" t="n">
        <f aca="false">IF(D68="","",IF(H68&lt;=$B$16,1,IF(H68&gt;=$B$17,$B$21,MATCH(H68,Aux_CAV!$A$2:$A$121,1))))</f>
        <v>22</v>
      </c>
      <c r="AB68" s="18" t="n">
        <f aca="false">IF(D68="","",IF(L68&lt;=$B$16,1,IF(L68&gt;=$B$17,$B$21,MATCH(L68,Aux_CAV!$A$2:$A$121,1))))</f>
        <v>22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1.663639782383</v>
      </c>
      <c r="E69" s="16" t="n">
        <f aca="false">IF(D69="","",D69*$B$15)</f>
        <v>4.31215431593674</v>
      </c>
      <c r="F69" s="16" t="n">
        <f aca="false" t="array" ref="F69:F69">IF(D69="","",IFERROR(INDEX(Dados_Evap!$C$2:$N$15,MATCH($B$9,Dados_Evap!$A$2:$A$15,0),C69),0))</f>
        <v>282.3</v>
      </c>
      <c r="G69" s="16" t="n">
        <f aca="false">IF(F69="","",F69/1000)</f>
        <v>0.2823</v>
      </c>
      <c r="H69" s="16" t="n">
        <f aca="false">IF(D69="","",MAX(0,MIN($B$8,IFERROR(LOOKUP(2,1/($U$24:U68&lt;&gt;""),$U$24:U68),$B$11))))</f>
        <v>158.31518452739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15.5147205041558</v>
      </c>
      <c r="J69" s="16" t="n">
        <f aca="false">IF(D69="","",$B$12)</f>
        <v>0.432</v>
      </c>
      <c r="K69" s="16" t="n">
        <f aca="false">IF(J69="","",J69*$B$15)</f>
        <v>1.119744</v>
      </c>
      <c r="L69" s="16" t="n">
        <f aca="false">IF(D69="","",H69+E69-K69-G69*I69)</f>
        <v>157.127789245004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15.4282700943336</v>
      </c>
      <c r="N69" s="16" t="n">
        <f aca="false">IF(D69="","",(I69+M69)/2)</f>
        <v>15.4714952992447</v>
      </c>
      <c r="O69" s="16" t="n">
        <f aca="false">IF(D69="","",G69*N69)</f>
        <v>4.36760312297679</v>
      </c>
      <c r="P69" s="16" t="n">
        <f aca="false">IF(D69="","",H69+E69-K69-O69)</f>
        <v>157.13999172035</v>
      </c>
      <c r="Q69" s="16" t="n">
        <f aca="false">IF(D69="","",IF(P69&gt;=0,K69,MAX(0,K69+P69)))</f>
        <v>1.119744</v>
      </c>
      <c r="R69" s="16" t="n">
        <f aca="false">IF(D69="","",Q69/$B$15)</f>
        <v>0.432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157.13999172035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96.9999948891051</v>
      </c>
      <c r="Z69" s="18" t="n">
        <f aca="false">IF(D69="","",MAX(0,IF(P69&gt;=0,P69,IF(K69+P69&gt;=0,0,P69+K69))))</f>
        <v>157.13999172035</v>
      </c>
      <c r="AA69" s="18" t="n">
        <f aca="false">IF(D69="","",IF(H69&lt;=$B$16,1,IF(H69&gt;=$B$17,$B$21,MATCH(H69,Aux_CAV!$A$2:$A$121,1))))</f>
        <v>22</v>
      </c>
      <c r="AB69" s="18" t="n">
        <f aca="false">IF(D69="","",IF(L69&lt;=$B$16,1,IF(L69&gt;=$B$17,$B$21,MATCH(L69,Aux_CAV!$A$2:$A$121,1))))</f>
        <v>22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0.707590149603403</v>
      </c>
      <c r="E70" s="16" t="n">
        <f aca="false">IF(D70="","",D70*$B$15)</f>
        <v>1.83407366777202</v>
      </c>
      <c r="F70" s="16" t="n">
        <f aca="false" t="array" ref="F70:F70">IF(D70="","",IFERROR(INDEX(Dados_Evap!$C$2:$N$15,MATCH($B$9,Dados_Evap!$A$2:$A$15,0),C70),0))</f>
        <v>241.3</v>
      </c>
      <c r="G70" s="16" t="n">
        <f aca="false">IF(F70="","",F70/1000)</f>
        <v>0.2413</v>
      </c>
      <c r="H70" s="16" t="n">
        <f aca="false">IF(D70="","",MAX(0,MIN($B$8,IFERROR(LOOKUP(2,1/($U$24:U69&lt;&gt;""),$U$24:U69),$B$11))))</f>
        <v>157.13999172035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15.4291585170941</v>
      </c>
      <c r="J70" s="16" t="n">
        <f aca="false">IF(D70="","",$B$12)</f>
        <v>0.432</v>
      </c>
      <c r="K70" s="16" t="n">
        <f aca="false">IF(J70="","",J70*$B$15)</f>
        <v>1.119744</v>
      </c>
      <c r="L70" s="16" t="n">
        <f aca="false">IF(D70="","",H70+E70-K70-G70*I70)</f>
        <v>154.131265437947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15.2101028883452</v>
      </c>
      <c r="N70" s="16" t="n">
        <f aca="false">IF(D70="","",(I70+M70)/2)</f>
        <v>15.3196307027197</v>
      </c>
      <c r="O70" s="16" t="n">
        <f aca="false">IF(D70="","",G70*N70)</f>
        <v>3.69662688856625</v>
      </c>
      <c r="P70" s="16" t="n">
        <f aca="false">IF(D70="","",H70+E70-K70-O70)</f>
        <v>154.157694499556</v>
      </c>
      <c r="Q70" s="16" t="n">
        <f aca="false">IF(D70="","",IF(P70&gt;=0,K70,MAX(0,K70+P70)))</f>
        <v>1.119744</v>
      </c>
      <c r="R70" s="16" t="n">
        <f aca="false">IF(D70="","",Q70/$B$15)</f>
        <v>0.432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154.157694499556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95.1590706787383</v>
      </c>
      <c r="Z70" s="18" t="n">
        <f aca="false">IF(D70="","",MAX(0,IF(P70&gt;=0,P70,IF(K70+P70&gt;=0,0,P70+K70))))</f>
        <v>154.157694499556</v>
      </c>
      <c r="AA70" s="18" t="n">
        <f aca="false">IF(D70="","",IF(H70&lt;=$B$16,1,IF(H70&gt;=$B$17,$B$21,MATCH(H70,Aux_CAV!$A$2:$A$121,1))))</f>
        <v>22</v>
      </c>
      <c r="AB70" s="18" t="n">
        <f aca="false">IF(D70="","",IF(L70&lt;=$B$16,1,IF(L70&gt;=$B$17,$B$21,MATCH(L70,Aux_CAV!$A$2:$A$121,1))))</f>
        <v>22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2.08850496028121</v>
      </c>
      <c r="E71" s="16" t="n">
        <f aca="false">IF(D71="","",D71*$B$15)</f>
        <v>5.4134048570489</v>
      </c>
      <c r="F71" s="16" t="n">
        <f aca="false" t="array" ref="F71:F71">IF(D71="","",IFERROR(INDEX(Dados_Evap!$C$2:$N$15,MATCH($B$9,Dados_Evap!$A$2:$A$15,0),C71),0))</f>
        <v>241.8</v>
      </c>
      <c r="G71" s="16" t="n">
        <f aca="false">IF(F71="","",F71/1000)</f>
        <v>0.2418</v>
      </c>
      <c r="H71" s="16" t="n">
        <f aca="false">IF(D71="","",MAX(0,MIN($B$8,IFERROR(LOOKUP(2,1/($U$24:U70&lt;&gt;""),$U$24:U70),$B$11))))</f>
        <v>154.157694499556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15.2120271028348</v>
      </c>
      <c r="J71" s="16" t="n">
        <f aca="false">IF(D71="","",$B$12)</f>
        <v>0.432</v>
      </c>
      <c r="K71" s="16" t="n">
        <f aca="false">IF(J71="","",J71*$B$15)</f>
        <v>1.119744</v>
      </c>
      <c r="L71" s="16" t="n">
        <f aca="false">IF(D71="","",H71+E71-K71-G71*I71)</f>
        <v>154.773087203139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15.2568318550648</v>
      </c>
      <c r="N71" s="16" t="n">
        <f aca="false">IF(D71="","",(I71+M71)/2)</f>
        <v>15.2344294789498</v>
      </c>
      <c r="O71" s="16" t="n">
        <f aca="false">IF(D71="","",G71*N71)</f>
        <v>3.68368504801007</v>
      </c>
      <c r="P71" s="16" t="n">
        <f aca="false">IF(D71="","",H71+E71-K71-O71)</f>
        <v>154.767670308595</v>
      </c>
      <c r="Q71" s="16" t="n">
        <f aca="false">IF(D71="","",IF(P71&gt;=0,K71,MAX(0,K71+P71)))</f>
        <v>1.119744</v>
      </c>
      <c r="R71" s="16" t="n">
        <f aca="false">IF(D71="","",Q71/$B$15)</f>
        <v>0.432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154.767670308595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95.5355989559227</v>
      </c>
      <c r="Z71" s="18" t="n">
        <f aca="false">IF(D71="","",MAX(0,IF(P71&gt;=0,P71,IF(K71+P71&gt;=0,0,P71+K71))))</f>
        <v>154.767670308595</v>
      </c>
      <c r="AA71" s="18" t="n">
        <f aca="false">IF(D71="","",IF(H71&lt;=$B$16,1,IF(H71&gt;=$B$17,$B$21,MATCH(H71,Aux_CAV!$A$2:$A$121,1))))</f>
        <v>22</v>
      </c>
      <c r="AB71" s="18" t="n">
        <f aca="false">IF(D71="","",IF(L71&lt;=$B$16,1,IF(L71&gt;=$B$17,$B$21,MATCH(L71,Aux_CAV!$A$2:$A$121,1))))</f>
        <v>22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3.21646965435173</v>
      </c>
      <c r="E72" s="16" t="n">
        <f aca="false">IF(D72="","",D72*$B$15)</f>
        <v>8.33708934407968</v>
      </c>
      <c r="F72" s="16" t="n">
        <f aca="false" t="array" ref="F72:F72">IF(D72="","",IFERROR(INDEX(Dados_Evap!$C$2:$N$15,MATCH($B$9,Dados_Evap!$A$2:$A$15,0),C72),0))</f>
        <v>189</v>
      </c>
      <c r="G72" s="16" t="n">
        <f aca="false">IF(F72="","",F72/1000)</f>
        <v>0.189</v>
      </c>
      <c r="H72" s="16" t="n">
        <f aca="false">IF(D72="","",MAX(0,MIN($B$8,IFERROR(LOOKUP(2,1/($U$24:U71&lt;&gt;""),$U$24:U71),$B$11))))</f>
        <v>154.767670308595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15.2564374684943</v>
      </c>
      <c r="J72" s="16" t="n">
        <f aca="false">IF(D72="","",$B$12)</f>
        <v>0.432</v>
      </c>
      <c r="K72" s="16" t="n">
        <f aca="false">IF(J72="","",J72*$B$15)</f>
        <v>1.119744</v>
      </c>
      <c r="L72" s="16" t="n">
        <f aca="false">IF(D72="","",H72+E72-K72-G72*I72)</f>
        <v>159.101548971129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15.5719731557701</v>
      </c>
      <c r="N72" s="16" t="n">
        <f aca="false">IF(D72="","",(I72+M72)/2)</f>
        <v>15.4142053121322</v>
      </c>
      <c r="O72" s="16" t="n">
        <f aca="false">IF(D72="","",G72*N72)</f>
        <v>2.91328480399298</v>
      </c>
      <c r="P72" s="16" t="n">
        <f aca="false">IF(D72="","",H72+E72-K72-O72)</f>
        <v>159.071730848682</v>
      </c>
      <c r="Q72" s="16" t="n">
        <f aca="false">IF(D72="","",IF(P72&gt;=0,K72,MAX(0,K72+P72)))</f>
        <v>1.119744</v>
      </c>
      <c r="R72" s="16" t="n">
        <f aca="false">IF(D72="","",Q72/$B$15)</f>
        <v>0.432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159.071730848682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98.1924264498034</v>
      </c>
      <c r="Z72" s="18" t="n">
        <f aca="false">IF(D72="","",MAX(0,IF(P72&gt;=0,P72,IF(K72+P72&gt;=0,0,P72+K72))))</f>
        <v>159.071730848682</v>
      </c>
      <c r="AA72" s="18" t="n">
        <f aca="false">IF(D72="","",IF(H72&lt;=$B$16,1,IF(H72&gt;=$B$17,$B$21,MATCH(H72,Aux_CAV!$A$2:$A$121,1))))</f>
        <v>22</v>
      </c>
      <c r="AB72" s="18" t="n">
        <f aca="false">IF(D72="","",IF(L72&lt;=$B$16,1,IF(L72&gt;=$B$17,$B$21,MATCH(L72,Aux_CAV!$A$2:$A$121,1))))</f>
        <v>22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5.01777264590516</v>
      </c>
      <c r="E73" s="16" t="n">
        <f aca="false">IF(D73="","",D73*$B$15)</f>
        <v>13.0060666981862</v>
      </c>
      <c r="F73" s="16" t="n">
        <f aca="false" t="array" ref="F73:F73">IF(D73="","",IFERROR(INDEX(Dados_Evap!$C$2:$N$15,MATCH($B$9,Dados_Evap!$A$2:$A$15,0),C73),0))</f>
        <v>136.9</v>
      </c>
      <c r="G73" s="16" t="n">
        <f aca="false">IF(F73="","",F73/1000)</f>
        <v>0.1369</v>
      </c>
      <c r="H73" s="16" t="n">
        <f aca="false">IF(D73="","",MAX(0,MIN($B$8,IFERROR(LOOKUP(2,1/($U$24:U72&lt;&gt;""),$U$24:U72),$B$11))))</f>
        <v>159.071730848682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15.5698021947228</v>
      </c>
      <c r="J73" s="16" t="n">
        <f aca="false">IF(D73="","",$B$12)</f>
        <v>0.432</v>
      </c>
      <c r="K73" s="16" t="n">
        <f aca="false">IF(J73="","",J73*$B$15)</f>
        <v>1.119744</v>
      </c>
      <c r="L73" s="16" t="n">
        <f aca="false">IF(D73="","",H73+E73-K73-G73*I73)</f>
        <v>168.82654762641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16.1912925627986</v>
      </c>
      <c r="N73" s="16" t="n">
        <f aca="false">IF(D73="","",(I73+M73)/2)</f>
        <v>15.8805473787607</v>
      </c>
      <c r="O73" s="16" t="n">
        <f aca="false">IF(D73="","",G73*N73)</f>
        <v>2.17404693615234</v>
      </c>
      <c r="P73" s="16" t="n">
        <f aca="false">IF(D73="","",H73+E73-K73-O73)</f>
        <v>168.784006610715</v>
      </c>
      <c r="Q73" s="16" t="n">
        <f aca="false">IF(D73="","",IF(P73&gt;=0,K73,MAX(0,K73+P73)))</f>
        <v>1.119744</v>
      </c>
      <c r="R73" s="16" t="n">
        <f aca="false">IF(D73="","",Q73/$B$15)</f>
        <v>0.432</v>
      </c>
      <c r="S73" s="16" t="n">
        <f aca="false">IF(D73="","",MAX(0,J73-R73))</f>
        <v>0</v>
      </c>
      <c r="T73" s="16" t="n">
        <f aca="false">IF(D73="","",MAX(0,Z73-$B$8))</f>
        <v>6.78400661071538</v>
      </c>
      <c r="U73" s="16" t="n">
        <f aca="false">IF(D73="","",MAX(0,MIN($B$8,Z73)))</f>
        <v>162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100</v>
      </c>
      <c r="Z73" s="18" t="n">
        <f aca="false">IF(D73="","",MAX(0,IF(P73&gt;=0,P73,IF(K73+P73&gt;=0,0,P73+K73))))</f>
        <v>168.784006610715</v>
      </c>
      <c r="AA73" s="18" t="n">
        <f aca="false">IF(D73="","",IF(H73&lt;=$B$16,1,IF(H73&gt;=$B$17,$B$21,MATCH(H73,Aux_CAV!$A$2:$A$121,1))))</f>
        <v>22</v>
      </c>
      <c r="AB73" s="18" t="n">
        <f aca="false">IF(D73="","",IF(L73&lt;=$B$16,1,IF(L73&gt;=$B$17,$B$21,MATCH(L73,Aux_CAV!$A$2:$A$121,1))))</f>
        <v>23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6.85841070253483</v>
      </c>
      <c r="E74" s="16" t="n">
        <f aca="false">IF(D74="","",D74*$B$15)</f>
        <v>17.7770005409703</v>
      </c>
      <c r="F74" s="16" t="n">
        <f aca="false" t="array" ref="F74:F74">IF(D74="","",IFERROR(INDEX(Dados_Evap!$C$2:$N$15,MATCH($B$9,Dados_Evap!$A$2:$A$15,0),C74),0))</f>
        <v>102.9</v>
      </c>
      <c r="G74" s="16" t="n">
        <f aca="false">IF(F74="","",F74/1000)</f>
        <v>0.1029</v>
      </c>
      <c r="H74" s="16" t="n">
        <f aca="false">IF(D74="","",MAX(0,MIN($B$8,IFERROR(LOOKUP(2,1/($U$24:U73&lt;&gt;""),$U$24:U73),$B$11))))</f>
        <v>162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15.783</v>
      </c>
      <c r="J74" s="16" t="n">
        <f aca="false">IF(D74="","",$B$12)</f>
        <v>0.432</v>
      </c>
      <c r="K74" s="16" t="n">
        <f aca="false">IF(J74="","",J74*$B$15)</f>
        <v>1.119744</v>
      </c>
      <c r="L74" s="16" t="n">
        <f aca="false">IF(D74="","",H74+E74-K74-G74*I74)</f>
        <v>177.03318584097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16.6821276864885</v>
      </c>
      <c r="N74" s="16" t="n">
        <f aca="false">IF(D74="","",(I74+M74)/2)</f>
        <v>16.2325638432443</v>
      </c>
      <c r="O74" s="16" t="n">
        <f aca="false">IF(D74="","",G74*N74)</f>
        <v>1.67033081946983</v>
      </c>
      <c r="P74" s="16" t="n">
        <f aca="false">IF(D74="","",H74+E74-K74-O74)</f>
        <v>176.9869257215</v>
      </c>
      <c r="Q74" s="16" t="n">
        <f aca="false">IF(D74="","",IF(P74&gt;=0,K74,MAX(0,K74+P74)))</f>
        <v>1.119744</v>
      </c>
      <c r="R74" s="16" t="n">
        <f aca="false">IF(D74="","",Q74/$B$15)</f>
        <v>0.432</v>
      </c>
      <c r="S74" s="16" t="n">
        <f aca="false">IF(D74="","",MAX(0,J74-R74))</f>
        <v>0</v>
      </c>
      <c r="T74" s="16" t="n">
        <f aca="false">IF(D74="","",MAX(0,Z74-$B$8))</f>
        <v>14.9869257215005</v>
      </c>
      <c r="U74" s="16" t="n">
        <f aca="false">IF(D74="","",MAX(0,MIN($B$8,Z74)))</f>
        <v>162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100</v>
      </c>
      <c r="Z74" s="18" t="n">
        <f aca="false">IF(D74="","",MAX(0,IF(P74&gt;=0,P74,IF(K74+P74&gt;=0,0,P74+K74))))</f>
        <v>176.9869257215</v>
      </c>
      <c r="AA74" s="18" t="n">
        <f aca="false">IF(D74="","",IF(H74&lt;=$B$16,1,IF(H74&gt;=$B$17,$B$21,MATCH(H74,Aux_CAV!$A$2:$A$121,1))))</f>
        <v>23</v>
      </c>
      <c r="AB74" s="18" t="n">
        <f aca="false">IF(D74="","",IF(L74&lt;=$B$16,1,IF(L74&gt;=$B$17,$B$21,MATCH(L74,Aux_CAV!$A$2:$A$121,1))))</f>
        <v>23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11.5668107119852</v>
      </c>
      <c r="E75" s="16" t="n">
        <f aca="false">IF(D75="","",D75*$B$15)</f>
        <v>29.9811733654656</v>
      </c>
      <c r="F75" s="16" t="n">
        <f aca="false" t="array" ref="F75:F75">IF(D75="","",IFERROR(INDEX(Dados_Evap!$C$2:$N$15,MATCH($B$9,Dados_Evap!$A$2:$A$15,0),C75),0))</f>
        <v>81.8</v>
      </c>
      <c r="G75" s="16" t="n">
        <f aca="false">IF(F75="","",F75/1000)</f>
        <v>0.0818</v>
      </c>
      <c r="H75" s="16" t="n">
        <f aca="false">IF(D75="","",MAX(0,MIN($B$8,IFERROR(LOOKUP(2,1/($U$24:U74&lt;&gt;""),$U$24:U74),$B$11))))</f>
        <v>162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15.783</v>
      </c>
      <c r="J75" s="16" t="n">
        <f aca="false">IF(D75="","",$B$12)</f>
        <v>0.432</v>
      </c>
      <c r="K75" s="16" t="n">
        <f aca="false">IF(J75="","",J75*$B$15)</f>
        <v>1.119744</v>
      </c>
      <c r="L75" s="16" t="n">
        <f aca="false">IF(D75="","",H75+E75-K75-G75*I75)</f>
        <v>189.570379965466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17.4319712969821</v>
      </c>
      <c r="N75" s="16" t="n">
        <f aca="false">IF(D75="","",(I75+M75)/2)</f>
        <v>16.6074856484911</v>
      </c>
      <c r="O75" s="16" t="n">
        <f aca="false">IF(D75="","",G75*N75)</f>
        <v>1.35849232604657</v>
      </c>
      <c r="P75" s="16" t="n">
        <f aca="false">IF(D75="","",H75+E75-K75-O75)</f>
        <v>189.502937039419</v>
      </c>
      <c r="Q75" s="16" t="n">
        <f aca="false">IF(D75="","",IF(P75&gt;=0,K75,MAX(0,K75+P75)))</f>
        <v>1.119744</v>
      </c>
      <c r="R75" s="16" t="n">
        <f aca="false">IF(D75="","",Q75/$B$15)</f>
        <v>0.432</v>
      </c>
      <c r="S75" s="16" t="n">
        <f aca="false">IF(D75="","",MAX(0,J75-R75))</f>
        <v>0</v>
      </c>
      <c r="T75" s="16" t="n">
        <f aca="false">IF(D75="","",MAX(0,Z75-$B$8))</f>
        <v>27.5029370394191</v>
      </c>
      <c r="U75" s="16" t="n">
        <f aca="false">IF(D75="","",MAX(0,MIN($B$8,Z75)))</f>
        <v>162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189.502937039419</v>
      </c>
      <c r="AA75" s="18" t="n">
        <f aca="false">IF(D75="","",IF(H75&lt;=$B$16,1,IF(H75&gt;=$B$17,$B$21,MATCH(H75,Aux_CAV!$A$2:$A$121,1))))</f>
        <v>23</v>
      </c>
      <c r="AB75" s="18" t="n">
        <f aca="false">IF(D75="","",IF(L75&lt;=$B$16,1,IF(L75&gt;=$B$17,$B$21,MATCH(L75,Aux_CAV!$A$2:$A$121,1))))</f>
        <v>23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10.3035463725101</v>
      </c>
      <c r="E76" s="16" t="n">
        <f aca="false">IF(D76="","",D76*$B$15)</f>
        <v>26.7067921975462</v>
      </c>
      <c r="F76" s="16" t="n">
        <f aca="false" t="array" ref="F76:F76">IF(D76="","",IFERROR(INDEX(Dados_Evap!$C$2:$N$15,MATCH($B$9,Dados_Evap!$A$2:$A$15,0),C76),0))</f>
        <v>83.6</v>
      </c>
      <c r="G76" s="16" t="n">
        <f aca="false">IF(F76="","",F76/1000)</f>
        <v>0.0836</v>
      </c>
      <c r="H76" s="16" t="n">
        <f aca="false">IF(D76="","",MAX(0,MIN($B$8,IFERROR(LOOKUP(2,1/($U$24:U75&lt;&gt;""),$U$24:U75),$B$11))))</f>
        <v>162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15.783</v>
      </c>
      <c r="J76" s="16" t="n">
        <f aca="false">IF(D76="","",$B$12)</f>
        <v>0.432</v>
      </c>
      <c r="K76" s="16" t="n">
        <f aca="false">IF(J76="","",J76*$B$15)</f>
        <v>1.119744</v>
      </c>
      <c r="L76" s="16" t="n">
        <f aca="false">IF(D76="","",H76+E76-K76-G76*I76)</f>
        <v>186.267589397546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17.2344329658723</v>
      </c>
      <c r="N76" s="16" t="n">
        <f aca="false">IF(D76="","",(I76+M76)/2)</f>
        <v>16.5087164829361</v>
      </c>
      <c r="O76" s="16" t="n">
        <f aca="false">IF(D76="","",G76*N76)</f>
        <v>1.38012869797346</v>
      </c>
      <c r="P76" s="16" t="n">
        <f aca="false">IF(D76="","",H76+E76-K76-O76)</f>
        <v>186.206919499573</v>
      </c>
      <c r="Q76" s="16" t="n">
        <f aca="false">IF(D76="","",IF(P76&gt;=0,K76,MAX(0,K76+P76)))</f>
        <v>1.119744</v>
      </c>
      <c r="R76" s="16" t="n">
        <f aca="false">IF(D76="","",Q76/$B$15)</f>
        <v>0.432</v>
      </c>
      <c r="S76" s="16" t="n">
        <f aca="false">IF(D76="","",MAX(0,J76-R76))</f>
        <v>0</v>
      </c>
      <c r="T76" s="16" t="n">
        <f aca="false">IF(D76="","",MAX(0,Z76-$B$8))</f>
        <v>24.2069194995727</v>
      </c>
      <c r="U76" s="16" t="n">
        <f aca="false">IF(D76="","",MAX(0,MIN($B$8,Z76)))</f>
        <v>162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186.206919499573</v>
      </c>
      <c r="AA76" s="18" t="n">
        <f aca="false">IF(D76="","",IF(H76&lt;=$B$16,1,IF(H76&gt;=$B$17,$B$21,MATCH(H76,Aux_CAV!$A$2:$A$121,1))))</f>
        <v>23</v>
      </c>
      <c r="AB76" s="18" t="n">
        <f aca="false">IF(D76="","",IF(L76&lt;=$B$16,1,IF(L76&gt;=$B$17,$B$21,MATCH(L76,Aux_CAV!$A$2:$A$121,1))))</f>
        <v>23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14.5805968967603</v>
      </c>
      <c r="E77" s="16" t="n">
        <f aca="false">IF(D77="","",D77*$B$15)</f>
        <v>37.7929071564027</v>
      </c>
      <c r="F77" s="16" t="n">
        <f aca="false" t="array" ref="F77:F77">IF(D77="","",IFERROR(INDEX(Dados_Evap!$C$2:$N$15,MATCH($B$9,Dados_Evap!$A$2:$A$15,0),C77),0))</f>
        <v>108.2</v>
      </c>
      <c r="G77" s="16" t="n">
        <f aca="false">IF(F77="","",F77/1000)</f>
        <v>0.1082</v>
      </c>
      <c r="H77" s="16" t="n">
        <f aca="false">IF(D77="","",MAX(0,MIN($B$8,IFERROR(LOOKUP(2,1/($U$24:U76&lt;&gt;""),$U$24:U76),$B$11))))</f>
        <v>162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15.783</v>
      </c>
      <c r="J77" s="16" t="n">
        <f aca="false">IF(D77="","",$B$12)</f>
        <v>0.432</v>
      </c>
      <c r="K77" s="16" t="n">
        <f aca="false">IF(J77="","",J77*$B$15)</f>
        <v>1.119744</v>
      </c>
      <c r="L77" s="16" t="n">
        <f aca="false">IF(D77="","",H77+E77-K77-G77*I77)</f>
        <v>196.965442556403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17.8742664690877</v>
      </c>
      <c r="N77" s="16" t="n">
        <f aca="false">IF(D77="","",(I77+M77)/2)</f>
        <v>16.8286332345439</v>
      </c>
      <c r="O77" s="16" t="n">
        <f aca="false">IF(D77="","",G77*N77)</f>
        <v>1.82085811597764</v>
      </c>
      <c r="P77" s="16" t="n">
        <f aca="false">IF(D77="","",H77+E77-K77-O77)</f>
        <v>196.852305040425</v>
      </c>
      <c r="Q77" s="16" t="n">
        <f aca="false">IF(D77="","",IF(P77&gt;=0,K77,MAX(0,K77+P77)))</f>
        <v>1.119744</v>
      </c>
      <c r="R77" s="16" t="n">
        <f aca="false">IF(D77="","",Q77/$B$15)</f>
        <v>0.432</v>
      </c>
      <c r="S77" s="16" t="n">
        <f aca="false">IF(D77="","",MAX(0,J77-R77))</f>
        <v>0</v>
      </c>
      <c r="T77" s="16" t="n">
        <f aca="false">IF(D77="","",MAX(0,Z77-$B$8))</f>
        <v>34.8523050404251</v>
      </c>
      <c r="U77" s="16" t="n">
        <f aca="false">IF(D77="","",MAX(0,MIN($B$8,Z77)))</f>
        <v>162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196.852305040425</v>
      </c>
      <c r="AA77" s="18" t="n">
        <f aca="false">IF(D77="","",IF(H77&lt;=$B$16,1,IF(H77&gt;=$B$17,$B$21,MATCH(H77,Aux_CAV!$A$2:$A$121,1))))</f>
        <v>23</v>
      </c>
      <c r="AB77" s="18" t="n">
        <f aca="false">IF(D77="","",IF(L77&lt;=$B$16,1,IF(L77&gt;=$B$17,$B$21,MATCH(L77,Aux_CAV!$A$2:$A$121,1))))</f>
        <v>23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3.50260456628659</v>
      </c>
      <c r="E78" s="16" t="n">
        <f aca="false">IF(D78="","",D78*$B$15)</f>
        <v>9.07875103581484</v>
      </c>
      <c r="F78" s="16" t="n">
        <f aca="false" t="array" ref="F78:F78">IF(D78="","",IFERROR(INDEX(Dados_Evap!$C$2:$N$15,MATCH($B$9,Dados_Evap!$A$2:$A$15,0),C78),0))</f>
        <v>149</v>
      </c>
      <c r="G78" s="16" t="n">
        <f aca="false">IF(F78="","",F78/1000)</f>
        <v>0.149</v>
      </c>
      <c r="H78" s="16" t="n">
        <f aca="false">IF(D78="","",MAX(0,MIN($B$8,IFERROR(LOOKUP(2,1/($U$24:U77&lt;&gt;""),$U$24:U77),$B$11))))</f>
        <v>162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15.783</v>
      </c>
      <c r="J78" s="16" t="n">
        <f aca="false">IF(D78="","",$B$12)</f>
        <v>0.432</v>
      </c>
      <c r="K78" s="16" t="n">
        <f aca="false">IF(J78="","",J78*$B$15)</f>
        <v>1.119744</v>
      </c>
      <c r="L78" s="16" t="n">
        <f aca="false">IF(D78="","",H78+E78-K78-G78*I78)</f>
        <v>167.607340035815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16.1183723373802</v>
      </c>
      <c r="N78" s="16" t="n">
        <f aca="false">IF(D78="","",(I78+M78)/2)</f>
        <v>15.9506861686901</v>
      </c>
      <c r="O78" s="16" t="n">
        <f aca="false">IF(D78="","",G78*N78)</f>
        <v>2.37665223913482</v>
      </c>
      <c r="P78" s="16" t="n">
        <f aca="false">IF(D78="","",H78+E78-K78-O78)</f>
        <v>167.58235479668</v>
      </c>
      <c r="Q78" s="16" t="n">
        <f aca="false">IF(D78="","",IF(P78&gt;=0,K78,MAX(0,K78+P78)))</f>
        <v>1.119744</v>
      </c>
      <c r="R78" s="16" t="n">
        <f aca="false">IF(D78="","",Q78/$B$15)</f>
        <v>0.432</v>
      </c>
      <c r="S78" s="16" t="n">
        <f aca="false">IF(D78="","",MAX(0,J78-R78))</f>
        <v>0</v>
      </c>
      <c r="T78" s="16" t="n">
        <f aca="false">IF(D78="","",MAX(0,Z78-$B$8))</f>
        <v>5.58235479668002</v>
      </c>
      <c r="U78" s="16" t="n">
        <f aca="false">IF(D78="","",MAX(0,MIN($B$8,Z78)))</f>
        <v>162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100</v>
      </c>
      <c r="Z78" s="18" t="n">
        <f aca="false">IF(D78="","",MAX(0,IF(P78&gt;=0,P78,IF(K78+P78&gt;=0,0,P78+K78))))</f>
        <v>167.58235479668</v>
      </c>
      <c r="AA78" s="18" t="n">
        <f aca="false">IF(D78="","",IF(H78&lt;=$B$16,1,IF(H78&gt;=$B$17,$B$21,MATCH(H78,Aux_CAV!$A$2:$A$121,1))))</f>
        <v>23</v>
      </c>
      <c r="AB78" s="18" t="n">
        <f aca="false">IF(D78="","",IF(L78&lt;=$B$16,1,IF(L78&gt;=$B$17,$B$21,MATCH(L78,Aux_CAV!$A$2:$A$121,1))))</f>
        <v>23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3.75385523154249</v>
      </c>
      <c r="E79" s="16" t="n">
        <f aca="false">IF(D79="","",D79*$B$15)</f>
        <v>9.72999276015813</v>
      </c>
      <c r="F79" s="16" t="n">
        <f aca="false" t="array" ref="F79:F79">IF(D79="","",IFERROR(INDEX(Dados_Evap!$C$2:$N$15,MATCH($B$9,Dados_Evap!$A$2:$A$15,0),C79),0))</f>
        <v>206.8</v>
      </c>
      <c r="G79" s="16" t="n">
        <f aca="false">IF(F79="","",F79/1000)</f>
        <v>0.2068</v>
      </c>
      <c r="H79" s="16" t="n">
        <f aca="false">IF(D79="","",MAX(0,MIN($B$8,IFERROR(LOOKUP(2,1/($U$24:U78&lt;&gt;""),$U$24:U78),$B$11))))</f>
        <v>162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15.783</v>
      </c>
      <c r="J79" s="16" t="n">
        <f aca="false">IF(D79="","",$B$12)</f>
        <v>0.432</v>
      </c>
      <c r="K79" s="16" t="n">
        <f aca="false">IF(J79="","",J79*$B$15)</f>
        <v>1.119744</v>
      </c>
      <c r="L79" s="16" t="n">
        <f aca="false">IF(D79="","",H79+E79-K79-G79*I79)</f>
        <v>167.346324360158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16.1027611141123</v>
      </c>
      <c r="N79" s="16" t="n">
        <f aca="false">IF(D79="","",(I79+M79)/2)</f>
        <v>15.9428805570562</v>
      </c>
      <c r="O79" s="16" t="n">
        <f aca="false">IF(D79="","",G79*N79)</f>
        <v>3.29698769919921</v>
      </c>
      <c r="P79" s="16" t="n">
        <f aca="false">IF(D79="","",H79+E79-K79-O79)</f>
        <v>167.313261060959</v>
      </c>
      <c r="Q79" s="16" t="n">
        <f aca="false">IF(D79="","",IF(P79&gt;=0,K79,MAX(0,K79+P79)))</f>
        <v>1.119744</v>
      </c>
      <c r="R79" s="16" t="n">
        <f aca="false">IF(D79="","",Q79/$B$15)</f>
        <v>0.432</v>
      </c>
      <c r="S79" s="16" t="n">
        <f aca="false">IF(D79="","",MAX(0,J79-R79))</f>
        <v>0</v>
      </c>
      <c r="T79" s="16" t="n">
        <f aca="false">IF(D79="","",MAX(0,Z79-$B$8))</f>
        <v>5.31326106095892</v>
      </c>
      <c r="U79" s="16" t="n">
        <f aca="false">IF(D79="","",MAX(0,MIN($B$8,Z79)))</f>
        <v>162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100</v>
      </c>
      <c r="Z79" s="18" t="n">
        <f aca="false">IF(D79="","",MAX(0,IF(P79&gt;=0,P79,IF(K79+P79&gt;=0,0,P79+K79))))</f>
        <v>167.313261060959</v>
      </c>
      <c r="AA79" s="18" t="n">
        <f aca="false">IF(D79="","",IF(H79&lt;=$B$16,1,IF(H79&gt;=$B$17,$B$21,MATCH(H79,Aux_CAV!$A$2:$A$121,1))))</f>
        <v>23</v>
      </c>
      <c r="AB79" s="18" t="n">
        <f aca="false">IF(D79="","",IF(L79&lt;=$B$16,1,IF(L79&gt;=$B$17,$B$21,MATCH(L79,Aux_CAV!$A$2:$A$121,1))))</f>
        <v>23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0.809753228186868</v>
      </c>
      <c r="E80" s="16" t="n">
        <f aca="false">IF(D80="","",D80*$B$15)</f>
        <v>2.09888036746036</v>
      </c>
      <c r="F80" s="16" t="n">
        <f aca="false" t="array" ref="F80:F80">IF(D80="","",IFERROR(INDEX(Dados_Evap!$C$2:$N$15,MATCH($B$9,Dados_Evap!$A$2:$A$15,0),C80),0))</f>
        <v>245.9</v>
      </c>
      <c r="G80" s="16" t="n">
        <f aca="false">IF(F80="","",F80/1000)</f>
        <v>0.2459</v>
      </c>
      <c r="H80" s="16" t="n">
        <f aca="false">IF(D80="","",MAX(0,MIN($B$8,IFERROR(LOOKUP(2,1/($U$24:U79&lt;&gt;""),$U$24:U79),$B$11))))</f>
        <v>162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15.783</v>
      </c>
      <c r="J80" s="16" t="n">
        <f aca="false">IF(D80="","",$B$12)</f>
        <v>0.432</v>
      </c>
      <c r="K80" s="16" t="n">
        <f aca="false">IF(J80="","",J80*$B$15)</f>
        <v>1.119744</v>
      </c>
      <c r="L80" s="16" t="n">
        <f aca="false">IF(D80="","",H80+E80-K80-G80*I80)</f>
        <v>159.09809666746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15.5717218047066</v>
      </c>
      <c r="N80" s="16" t="n">
        <f aca="false">IF(D80="","",(I80+M80)/2)</f>
        <v>15.6773609023533</v>
      </c>
      <c r="O80" s="16" t="n">
        <f aca="false">IF(D80="","",G80*N80)</f>
        <v>3.85506304588868</v>
      </c>
      <c r="P80" s="16" t="n">
        <f aca="false">IF(D80="","",H80+E80-K80-O80)</f>
        <v>159.124073321572</v>
      </c>
      <c r="Q80" s="16" t="n">
        <f aca="false">IF(D80="","",IF(P80&gt;=0,K80,MAX(0,K80+P80)))</f>
        <v>1.119744</v>
      </c>
      <c r="R80" s="16" t="n">
        <f aca="false">IF(D80="","",Q80/$B$15)</f>
        <v>0.432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159.124073321572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98.2247366182541</v>
      </c>
      <c r="Z80" s="18" t="n">
        <f aca="false">IF(D80="","",MAX(0,IF(P80&gt;=0,P80,IF(K80+P80&gt;=0,0,P80+K80))))</f>
        <v>159.124073321572</v>
      </c>
      <c r="AA80" s="18" t="n">
        <f aca="false">IF(D80="","",IF(H80&lt;=$B$16,1,IF(H80&gt;=$B$17,$B$21,MATCH(H80,Aux_CAV!$A$2:$A$121,1))))</f>
        <v>23</v>
      </c>
      <c r="AB80" s="18" t="n">
        <f aca="false">IF(D80="","",IF(L80&lt;=$B$16,1,IF(L80&gt;=$B$17,$B$21,MATCH(L80,Aux_CAV!$A$2:$A$121,1))))</f>
        <v>22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0.803262869654239</v>
      </c>
      <c r="E81" s="16" t="n">
        <f aca="false">IF(D81="","",D81*$B$15)</f>
        <v>2.08205735814379</v>
      </c>
      <c r="F81" s="16" t="n">
        <f aca="false" t="array" ref="F81:F81">IF(D81="","",IFERROR(INDEX(Dados_Evap!$C$2:$N$15,MATCH($B$9,Dados_Evap!$A$2:$A$15,0),C81),0))</f>
        <v>282.3</v>
      </c>
      <c r="G81" s="16" t="n">
        <f aca="false">IF(F81="","",F81/1000)</f>
        <v>0.2823</v>
      </c>
      <c r="H81" s="16" t="n">
        <f aca="false">IF(D81="","",MAX(0,MIN($B$8,IFERROR(LOOKUP(2,1/($U$24:U80&lt;&gt;""),$U$24:U80),$B$11))))</f>
        <v>159.124073321572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15.5736130808697</v>
      </c>
      <c r="J81" s="16" t="n">
        <f aca="false">IF(D81="","",$B$12)</f>
        <v>0.432</v>
      </c>
      <c r="K81" s="16" t="n">
        <f aca="false">IF(J81="","",J81*$B$15)</f>
        <v>1.119744</v>
      </c>
      <c r="L81" s="16" t="n">
        <f aca="false">IF(D81="","",H81+E81-K81-G81*I81)</f>
        <v>155.689955706986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15.3235860851737</v>
      </c>
      <c r="N81" s="16" t="n">
        <f aca="false">IF(D81="","",(I81+M81)/2)</f>
        <v>15.4485995830217</v>
      </c>
      <c r="O81" s="16" t="n">
        <f aca="false">IF(D81="","",G81*N81)</f>
        <v>4.36113966228702</v>
      </c>
      <c r="P81" s="16" t="n">
        <f aca="false">IF(D81="","",H81+E81-K81-O81)</f>
        <v>155.725247017428</v>
      </c>
      <c r="Q81" s="16" t="n">
        <f aca="false">IF(D81="","",IF(P81&gt;=0,K81,MAX(0,K81+P81)))</f>
        <v>1.119744</v>
      </c>
      <c r="R81" s="16" t="n">
        <f aca="false">IF(D81="","",Q81/$B$15)</f>
        <v>0.432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155.725247017428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96.1266956897707</v>
      </c>
      <c r="Z81" s="18" t="n">
        <f aca="false">IF(D81="","",MAX(0,IF(P81&gt;=0,P81,IF(K81+P81&gt;=0,0,P81+K81))))</f>
        <v>155.725247017428</v>
      </c>
      <c r="AA81" s="18" t="n">
        <f aca="false">IF(D81="","",IF(H81&lt;=$B$16,1,IF(H81&gt;=$B$17,$B$21,MATCH(H81,Aux_CAV!$A$2:$A$121,1))))</f>
        <v>22</v>
      </c>
      <c r="AB81" s="18" t="n">
        <f aca="false">IF(D81="","",IF(L81&lt;=$B$16,1,IF(L81&gt;=$B$17,$B$21,MATCH(L81,Aux_CAV!$A$2:$A$121,1))))</f>
        <v>22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0.812034670648933</v>
      </c>
      <c r="E82" s="16" t="n">
        <f aca="false">IF(D82="","",D82*$B$15)</f>
        <v>2.10479386632203</v>
      </c>
      <c r="F82" s="16" t="n">
        <f aca="false" t="array" ref="F82:F82">IF(D82="","",IFERROR(INDEX(Dados_Evap!$C$2:$N$15,MATCH($B$9,Dados_Evap!$A$2:$A$15,0),C82),0))</f>
        <v>241.3</v>
      </c>
      <c r="G82" s="16" t="n">
        <f aca="false">IF(F82="","",F82/1000)</f>
        <v>0.2413</v>
      </c>
      <c r="H82" s="16" t="n">
        <f aca="false">IF(D82="","",MAX(0,MIN($B$8,IFERROR(LOOKUP(2,1/($U$24:U81&lt;&gt;""),$U$24:U81),$B$11))))</f>
        <v>155.725247017428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15.3261555313356</v>
      </c>
      <c r="J82" s="16" t="n">
        <f aca="false">IF(D82="","",$B$12)</f>
        <v>0.432</v>
      </c>
      <c r="K82" s="16" t="n">
        <f aca="false">IF(J82="","",J82*$B$15)</f>
        <v>1.119744</v>
      </c>
      <c r="L82" s="16" t="n">
        <f aca="false">IF(D82="","",H82+E82-K82-G82*I82)</f>
        <v>153.012095554039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15.1286197491078</v>
      </c>
      <c r="N82" s="16" t="n">
        <f aca="false">IF(D82="","",(I82+M82)/2)</f>
        <v>15.2273876402217</v>
      </c>
      <c r="O82" s="16" t="n">
        <f aca="false">IF(D82="","",G82*N82)</f>
        <v>3.67436863758549</v>
      </c>
      <c r="P82" s="16" t="n">
        <f aca="false">IF(D82="","",H82+E82-K82-O82)</f>
        <v>153.035928246165</v>
      </c>
      <c r="Q82" s="16" t="n">
        <f aca="false">IF(D82="","",IF(P82&gt;=0,K82,MAX(0,K82+P82)))</f>
        <v>1.119744</v>
      </c>
      <c r="R82" s="16" t="n">
        <f aca="false">IF(D82="","",Q82/$B$15)</f>
        <v>0.432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153.035928246165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94.4666223741759</v>
      </c>
      <c r="Z82" s="18" t="n">
        <f aca="false">IF(D82="","",MAX(0,IF(P82&gt;=0,P82,IF(K82+P82&gt;=0,0,P82+K82))))</f>
        <v>153.035928246165</v>
      </c>
      <c r="AA82" s="18" t="n">
        <f aca="false">IF(D82="","",IF(H82&lt;=$B$16,1,IF(H82&gt;=$B$17,$B$21,MATCH(H82,Aux_CAV!$A$2:$A$121,1))))</f>
        <v>22</v>
      </c>
      <c r="AB82" s="18" t="n">
        <f aca="false">IF(D82="","",IF(L82&lt;=$B$16,1,IF(L82&gt;=$B$17,$B$21,MATCH(L82,Aux_CAV!$A$2:$A$121,1))))</f>
        <v>22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0.602090312552293</v>
      </c>
      <c r="E83" s="16" t="n">
        <f aca="false">IF(D83="","",D83*$B$15)</f>
        <v>1.56061809013554</v>
      </c>
      <c r="F83" s="16" t="n">
        <f aca="false" t="array" ref="F83:F83">IF(D83="","",IFERROR(INDEX(Dados_Evap!$C$2:$N$15,MATCH($B$9,Dados_Evap!$A$2:$A$15,0),C83),0))</f>
        <v>241.8</v>
      </c>
      <c r="G83" s="16" t="n">
        <f aca="false">IF(F83="","",F83/1000)</f>
        <v>0.2418</v>
      </c>
      <c r="H83" s="16" t="n">
        <f aca="false">IF(D83="","",MAX(0,MIN($B$8,IFERROR(LOOKUP(2,1/($U$24:U82&lt;&gt;""),$U$24:U82),$B$11))))</f>
        <v>153.035928246165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15.1303549303335</v>
      </c>
      <c r="J83" s="16" t="n">
        <f aca="false">IF(D83="","",$B$12)</f>
        <v>0.432</v>
      </c>
      <c r="K83" s="16" t="n">
        <f aca="false">IF(J83="","",J83*$B$15)</f>
        <v>1.119744</v>
      </c>
      <c r="L83" s="16" t="n">
        <f aca="false">IF(D83="","",H83+E83-K83-G83*I83)</f>
        <v>149.818282514146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14.8960885522182</v>
      </c>
      <c r="N83" s="16" t="n">
        <f aca="false">IF(D83="","",(I83+M83)/2)</f>
        <v>15.0132217412759</v>
      </c>
      <c r="O83" s="16" t="n">
        <f aca="false">IF(D83="","",G83*N83)</f>
        <v>3.6301970170405</v>
      </c>
      <c r="P83" s="16" t="n">
        <f aca="false">IF(D83="","",H83+E83-K83-O83)</f>
        <v>149.84660531926</v>
      </c>
      <c r="Q83" s="16" t="n">
        <f aca="false">IF(D83="","",IF(P83&gt;=0,K83,MAX(0,K83+P83)))</f>
        <v>1.119744</v>
      </c>
      <c r="R83" s="16" t="n">
        <f aca="false">IF(D83="","",Q83/$B$15)</f>
        <v>0.432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149.84660531926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92.4979045180618</v>
      </c>
      <c r="Z83" s="18" t="n">
        <f aca="false">IF(D83="","",MAX(0,IF(P83&gt;=0,P83,IF(K83+P83&gt;=0,0,P83+K83))))</f>
        <v>149.84660531926</v>
      </c>
      <c r="AA83" s="18" t="n">
        <f aca="false">IF(D83="","",IF(H83&lt;=$B$16,1,IF(H83&gt;=$B$17,$B$21,MATCH(H83,Aux_CAV!$A$2:$A$121,1))))</f>
        <v>22</v>
      </c>
      <c r="AB83" s="18" t="n">
        <f aca="false">IF(D83="","",IF(L83&lt;=$B$16,1,IF(L83&gt;=$B$17,$B$21,MATCH(L83,Aux_CAV!$A$2:$A$121,1))))</f>
        <v>22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0.721419639761547</v>
      </c>
      <c r="E84" s="16" t="n">
        <f aca="false">IF(D84="","",D84*$B$15)</f>
        <v>1.86991970626193</v>
      </c>
      <c r="F84" s="16" t="n">
        <f aca="false" t="array" ref="F84:F84">IF(D84="","",IFERROR(INDEX(Dados_Evap!$C$2:$N$15,MATCH($B$9,Dados_Evap!$A$2:$A$15,0),C84),0))</f>
        <v>189</v>
      </c>
      <c r="G84" s="16" t="n">
        <f aca="false">IF(F84="","",F84/1000)</f>
        <v>0.189</v>
      </c>
      <c r="H84" s="16" t="n">
        <f aca="false">IF(D84="","",MAX(0,MIN($B$8,IFERROR(LOOKUP(2,1/($U$24:U83&lt;&gt;""),$U$24:U83),$B$11))))</f>
        <v>149.84660531926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14.8981506440471</v>
      </c>
      <c r="J84" s="16" t="n">
        <f aca="false">IF(D84="","",$B$12)</f>
        <v>0.432</v>
      </c>
      <c r="K84" s="16" t="n">
        <f aca="false">IF(J84="","",J84*$B$15)</f>
        <v>1.119744</v>
      </c>
      <c r="L84" s="16" t="n">
        <f aca="false">IF(D84="","",H84+E84-K84-G84*I84)</f>
        <v>147.781030553797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14.7477628265767</v>
      </c>
      <c r="N84" s="16" t="n">
        <f aca="false">IF(D84="","",(I84+M84)/2)</f>
        <v>14.8229567353119</v>
      </c>
      <c r="O84" s="16" t="n">
        <f aca="false">IF(D84="","",G84*N84)</f>
        <v>2.80153882297395</v>
      </c>
      <c r="P84" s="16" t="n">
        <f aca="false">IF(D84="","",H84+E84-K84-O84)</f>
        <v>147.795242202548</v>
      </c>
      <c r="Q84" s="16" t="n">
        <f aca="false">IF(D84="","",IF(P84&gt;=0,K84,MAX(0,K84+P84)))</f>
        <v>1.119744</v>
      </c>
      <c r="R84" s="16" t="n">
        <f aca="false">IF(D84="","",Q84/$B$15)</f>
        <v>0.432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147.795242202548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91.2316309892272</v>
      </c>
      <c r="Z84" s="18" t="n">
        <f aca="false">IF(D84="","",MAX(0,IF(P84&gt;=0,P84,IF(K84+P84&gt;=0,0,P84+K84))))</f>
        <v>147.795242202548</v>
      </c>
      <c r="AA84" s="18" t="n">
        <f aca="false">IF(D84="","",IF(H84&lt;=$B$16,1,IF(H84&gt;=$B$17,$B$21,MATCH(H84,Aux_CAV!$A$2:$A$121,1))))</f>
        <v>22</v>
      </c>
      <c r="AB84" s="18" t="n">
        <f aca="false">IF(D84="","",IF(L84&lt;=$B$16,1,IF(L84&gt;=$B$17,$B$21,MATCH(L84,Aux_CAV!$A$2:$A$121,1))))</f>
        <v>22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0.712044341544827</v>
      </c>
      <c r="E85" s="16" t="n">
        <f aca="false">IF(D85="","",D85*$B$15)</f>
        <v>1.84561893328419</v>
      </c>
      <c r="F85" s="16" t="n">
        <f aca="false" t="array" ref="F85:F85">IF(D85="","",IFERROR(INDEX(Dados_Evap!$C$2:$N$15,MATCH($B$9,Dados_Evap!$A$2:$A$15,0),C85),0))</f>
        <v>136.9</v>
      </c>
      <c r="G85" s="16" t="n">
        <f aca="false">IF(F85="","",F85/1000)</f>
        <v>0.1369</v>
      </c>
      <c r="H85" s="16" t="n">
        <f aca="false">IF(D85="","",MAX(0,MIN($B$8,IFERROR(LOOKUP(2,1/($U$24:U84&lt;&gt;""),$U$24:U84),$B$11))))</f>
        <v>147.795242202548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14.748797530754</v>
      </c>
      <c r="J85" s="16" t="n">
        <f aca="false">IF(D85="","",$B$12)</f>
        <v>0.432</v>
      </c>
      <c r="K85" s="16" t="n">
        <f aca="false">IF(J85="","",J85*$B$15)</f>
        <v>1.119744</v>
      </c>
      <c r="L85" s="16" t="n">
        <f aca="false">IF(D85="","",H85+E85-K85-G85*I85)</f>
        <v>146.502006753872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14.6546412407695</v>
      </c>
      <c r="N85" s="16" t="n">
        <f aca="false">IF(D85="","",(I85+M85)/2)</f>
        <v>14.7017193857617</v>
      </c>
      <c r="O85" s="16" t="n">
        <f aca="false">IF(D85="","",G85*N85)</f>
        <v>2.01266538391078</v>
      </c>
      <c r="P85" s="16" t="n">
        <f aca="false">IF(D85="","",H85+E85-K85-O85)</f>
        <v>146.508451751921</v>
      </c>
      <c r="Q85" s="16" t="n">
        <f aca="false">IF(D85="","",IF(P85&gt;=0,K85,MAX(0,K85+P85)))</f>
        <v>1.119744</v>
      </c>
      <c r="R85" s="16" t="n">
        <f aca="false">IF(D85="","",Q85/$B$15)</f>
        <v>0.432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146.508451751921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90.4373158962478</v>
      </c>
      <c r="Z85" s="18" t="n">
        <f aca="false">IF(D85="","",MAX(0,IF(P85&gt;=0,P85,IF(K85+P85&gt;=0,0,P85+K85))))</f>
        <v>146.508451751921</v>
      </c>
      <c r="AA85" s="18" t="n">
        <f aca="false">IF(D85="","",IF(H85&lt;=$B$16,1,IF(H85&gt;=$B$17,$B$21,MATCH(H85,Aux_CAV!$A$2:$A$121,1))))</f>
        <v>22</v>
      </c>
      <c r="AB85" s="18" t="n">
        <f aca="false">IF(D85="","",IF(L85&lt;=$B$16,1,IF(L85&gt;=$B$17,$B$21,MATCH(L85,Aux_CAV!$A$2:$A$121,1))))</f>
        <v>22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0.865044985252297</v>
      </c>
      <c r="E86" s="16" t="n">
        <f aca="false">IF(D86="","",D86*$B$15)</f>
        <v>2.24219660177395</v>
      </c>
      <c r="F86" s="16" t="n">
        <f aca="false" t="array" ref="F86:F86">IF(D86="","",IFERROR(INDEX(Dados_Evap!$C$2:$N$15,MATCH($B$9,Dados_Evap!$A$2:$A$15,0),C86),0))</f>
        <v>102.9</v>
      </c>
      <c r="G86" s="16" t="n">
        <f aca="false">IF(F86="","",F86/1000)</f>
        <v>0.1029</v>
      </c>
      <c r="H86" s="16" t="n">
        <f aca="false">IF(D86="","",MAX(0,MIN($B$8,IFERROR(LOOKUP(2,1/($U$24:U85&lt;&gt;""),$U$24:U85),$B$11))))</f>
        <v>146.508451751921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14.6551104802308</v>
      </c>
      <c r="J86" s="16" t="n">
        <f aca="false">IF(D86="","",$B$12)</f>
        <v>0.432</v>
      </c>
      <c r="K86" s="16" t="n">
        <f aca="false">IF(J86="","",J86*$B$15)</f>
        <v>1.119744</v>
      </c>
      <c r="L86" s="16" t="n">
        <f aca="false">IF(D86="","",H86+E86-K86-G86*I86)</f>
        <v>146.12289348528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14.6270392299437</v>
      </c>
      <c r="N86" s="16" t="n">
        <f aca="false">IF(D86="","",(I86+M86)/2)</f>
        <v>14.6410748550873</v>
      </c>
      <c r="O86" s="16" t="n">
        <f aca="false">IF(D86="","",G86*N86)</f>
        <v>1.50656660258848</v>
      </c>
      <c r="P86" s="16" t="n">
        <f aca="false">IF(D86="","",H86+E86-K86-O86)</f>
        <v>146.124337751107</v>
      </c>
      <c r="Q86" s="16" t="n">
        <f aca="false">IF(D86="","",IF(P86&gt;=0,K86,MAX(0,K86+P86)))</f>
        <v>1.119744</v>
      </c>
      <c r="R86" s="16" t="n">
        <f aca="false">IF(D86="","",Q86/$B$15)</f>
        <v>0.432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146.124337751107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90.2002084883376</v>
      </c>
      <c r="Z86" s="18" t="n">
        <f aca="false">IF(D86="","",MAX(0,IF(P86&gt;=0,P86,IF(K86+P86&gt;=0,0,P86+K86))))</f>
        <v>146.124337751107</v>
      </c>
      <c r="AA86" s="18" t="n">
        <f aca="false">IF(D86="","",IF(H86&lt;=$B$16,1,IF(H86&gt;=$B$17,$B$21,MATCH(H86,Aux_CAV!$A$2:$A$121,1))))</f>
        <v>22</v>
      </c>
      <c r="AB86" s="18" t="n">
        <f aca="false">IF(D86="","",IF(L86&lt;=$B$16,1,IF(L86&gt;=$B$17,$B$21,MATCH(L86,Aux_CAV!$A$2:$A$121,1))))</f>
        <v>22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0.923383206912649</v>
      </c>
      <c r="E87" s="16" t="n">
        <f aca="false">IF(D87="","",D87*$B$15)</f>
        <v>2.39340927231759</v>
      </c>
      <c r="F87" s="16" t="n">
        <f aca="false" t="array" ref="F87:F87">IF(D87="","",IFERROR(INDEX(Dados_Evap!$C$2:$N$15,MATCH($B$9,Dados_Evap!$A$2:$A$15,0),C87),0))</f>
        <v>81.8</v>
      </c>
      <c r="G87" s="16" t="n">
        <f aca="false">IF(F87="","",F87/1000)</f>
        <v>0.0818</v>
      </c>
      <c r="H87" s="16" t="n">
        <f aca="false">IF(D87="","",MAX(0,MIN($B$8,IFERROR(LOOKUP(2,1/($U$24:U86&lt;&gt;""),$U$24:U86),$B$11))))</f>
        <v>146.124337751107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14.6271443822671</v>
      </c>
      <c r="J87" s="16" t="n">
        <f aca="false">IF(D87="","",$B$12)</f>
        <v>0.432</v>
      </c>
      <c r="K87" s="16" t="n">
        <f aca="false">IF(J87="","",J87*$B$15)</f>
        <v>1.119744</v>
      </c>
      <c r="L87" s="16" t="n">
        <f aca="false">IF(D87="","",H87+E87-K87-G87*I87)</f>
        <v>146.201502612955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14.6327625062647</v>
      </c>
      <c r="N87" s="16" t="n">
        <f aca="false">IF(D87="","",(I87+M87)/2)</f>
        <v>14.6299534442659</v>
      </c>
      <c r="O87" s="16" t="n">
        <f aca="false">IF(D87="","",G87*N87)</f>
        <v>1.19673019174095</v>
      </c>
      <c r="P87" s="16" t="n">
        <f aca="false">IF(D87="","",H87+E87-K87-O87)</f>
        <v>146.201272831684</v>
      </c>
      <c r="Q87" s="16" t="n">
        <f aca="false">IF(D87="","",IF(P87&gt;=0,K87,MAX(0,K87+P87)))</f>
        <v>1.119744</v>
      </c>
      <c r="R87" s="16" t="n">
        <f aca="false">IF(D87="","",Q87/$B$15)</f>
        <v>0.432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146.201272831684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90.247699278817</v>
      </c>
      <c r="Z87" s="18" t="n">
        <f aca="false">IF(D87="","",MAX(0,IF(P87&gt;=0,P87,IF(K87+P87&gt;=0,0,P87+K87))))</f>
        <v>146.201272831684</v>
      </c>
      <c r="AA87" s="18" t="n">
        <f aca="false">IF(D87="","",IF(H87&lt;=$B$16,1,IF(H87&gt;=$B$17,$B$21,MATCH(H87,Aux_CAV!$A$2:$A$121,1))))</f>
        <v>22</v>
      </c>
      <c r="AB87" s="18" t="n">
        <f aca="false">IF(D87="","",IF(L87&lt;=$B$16,1,IF(L87&gt;=$B$17,$B$21,MATCH(L87,Aux_CAV!$A$2:$A$121,1))))</f>
        <v>22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0.61388556801737</v>
      </c>
      <c r="E88" s="16" t="n">
        <f aca="false">IF(D88="","",D88*$B$15)</f>
        <v>1.59119139230102</v>
      </c>
      <c r="F88" s="16" t="n">
        <f aca="false" t="array" ref="F88:F88">IF(D88="","",IFERROR(INDEX(Dados_Evap!$C$2:$N$15,MATCH($B$9,Dados_Evap!$A$2:$A$15,0),C88),0))</f>
        <v>83.6</v>
      </c>
      <c r="G88" s="16" t="n">
        <f aca="false">IF(F88="","",F88/1000)</f>
        <v>0.0836</v>
      </c>
      <c r="H88" s="16" t="n">
        <f aca="false">IF(D88="","",MAX(0,MIN($B$8,IFERROR(LOOKUP(2,1/($U$24:U87&lt;&gt;""),$U$24:U87),$B$11))))</f>
        <v>146.201272831684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14.6327457766336</v>
      </c>
      <c r="J88" s="16" t="n">
        <f aca="false">IF(D88="","",$B$12)</f>
        <v>0.432</v>
      </c>
      <c r="K88" s="16" t="n">
        <f aca="false">IF(J88="","",J88*$B$15)</f>
        <v>1.119744</v>
      </c>
      <c r="L88" s="16" t="n">
        <f aca="false">IF(D88="","",H88+E88-K88-G88*I88)</f>
        <v>145.449422677058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14.5780059987715</v>
      </c>
      <c r="N88" s="16" t="n">
        <f aca="false">IF(D88="","",(I88+M88)/2)</f>
        <v>14.6053758877025</v>
      </c>
      <c r="O88" s="16" t="n">
        <f aca="false">IF(D88="","",G88*N88)</f>
        <v>1.22100942421193</v>
      </c>
      <c r="P88" s="16" t="n">
        <f aca="false">IF(D88="","",H88+E88-K88-O88)</f>
        <v>145.451710799773</v>
      </c>
      <c r="Q88" s="16" t="n">
        <f aca="false">IF(D88="","",IF(P88&gt;=0,K88,MAX(0,K88+P88)))</f>
        <v>1.119744</v>
      </c>
      <c r="R88" s="16" t="n">
        <f aca="false">IF(D88="","",Q88/$B$15)</f>
        <v>0.432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145.451710799773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89.7850066665263</v>
      </c>
      <c r="Z88" s="18" t="n">
        <f aca="false">IF(D88="","",MAX(0,IF(P88&gt;=0,P88,IF(K88+P88&gt;=0,0,P88+K88))))</f>
        <v>145.451710799773</v>
      </c>
      <c r="AA88" s="18" t="n">
        <f aca="false">IF(D88="","",IF(H88&lt;=$B$16,1,IF(H88&gt;=$B$17,$B$21,MATCH(H88,Aux_CAV!$A$2:$A$121,1))))</f>
        <v>22</v>
      </c>
      <c r="AB88" s="18" t="n">
        <f aca="false">IF(D88="","",IF(L88&lt;=$B$16,1,IF(L88&gt;=$B$17,$B$21,MATCH(L88,Aux_CAV!$A$2:$A$121,1))))</f>
        <v>22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0.515205004805427</v>
      </c>
      <c r="E89" s="16" t="n">
        <f aca="false">IF(D89="","",D89*$B$15)</f>
        <v>1.33541137245567</v>
      </c>
      <c r="F89" s="16" t="n">
        <f aca="false" t="array" ref="F89:F89">IF(D89="","",IFERROR(INDEX(Dados_Evap!$C$2:$N$15,MATCH($B$9,Dados_Evap!$A$2:$A$15,0),C89),0))</f>
        <v>108.2</v>
      </c>
      <c r="G89" s="16" t="n">
        <f aca="false">IF(F89="","",F89/1000)</f>
        <v>0.1082</v>
      </c>
      <c r="H89" s="16" t="n">
        <f aca="false">IF(D89="","",MAX(0,MIN($B$8,IFERROR(LOOKUP(2,1/($U$24:U88&lt;&gt;""),$U$24:U88),$B$11))))</f>
        <v>145.451710799773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14.5781725895853</v>
      </c>
      <c r="J89" s="16" t="n">
        <f aca="false">IF(D89="","",$B$12)</f>
        <v>0.432</v>
      </c>
      <c r="K89" s="16" t="n">
        <f aca="false">IF(J89="","",J89*$B$15)</f>
        <v>1.119744</v>
      </c>
      <c r="L89" s="16" t="n">
        <f aca="false">IF(D89="","",H89+E89-K89-G89*I89)</f>
        <v>144.090019898035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14.4790322794859</v>
      </c>
      <c r="N89" s="16" t="n">
        <f aca="false">IF(D89="","",(I89+M89)/2)</f>
        <v>14.5286024345356</v>
      </c>
      <c r="O89" s="16" t="n">
        <f aca="false">IF(D89="","",G89*N89)</f>
        <v>1.57199478341675</v>
      </c>
      <c r="P89" s="16" t="n">
        <f aca="false">IF(D89="","",H89+E89-K89-O89)</f>
        <v>144.095383388812</v>
      </c>
      <c r="Q89" s="16" t="n">
        <f aca="false">IF(D89="","",IF(P89&gt;=0,K89,MAX(0,K89+P89)))</f>
        <v>1.119744</v>
      </c>
      <c r="R89" s="16" t="n">
        <f aca="false">IF(D89="","",Q89/$B$15)</f>
        <v>0.432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144.095383388812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88.9477675239577</v>
      </c>
      <c r="Z89" s="18" t="n">
        <f aca="false">IF(D89="","",MAX(0,IF(P89&gt;=0,P89,IF(K89+P89&gt;=0,0,P89+K89))))</f>
        <v>144.095383388812</v>
      </c>
      <c r="AA89" s="18" t="n">
        <f aca="false">IF(D89="","",IF(H89&lt;=$B$16,1,IF(H89&gt;=$B$17,$B$21,MATCH(H89,Aux_CAV!$A$2:$A$121,1))))</f>
        <v>22</v>
      </c>
      <c r="AB89" s="18" t="n">
        <f aca="false">IF(D89="","",IF(L89&lt;=$B$16,1,IF(L89&gt;=$B$17,$B$21,MATCH(L89,Aux_CAV!$A$2:$A$121,1))))</f>
        <v>22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0.267662077036528</v>
      </c>
      <c r="E90" s="16" t="n">
        <f aca="false">IF(D90="","",D90*$B$15)</f>
        <v>0.693780103678681</v>
      </c>
      <c r="F90" s="16" t="n">
        <f aca="false" t="array" ref="F90:F90">IF(D90="","",IFERROR(INDEX(Dados_Evap!$C$2:$N$15,MATCH($B$9,Dados_Evap!$A$2:$A$15,0),C90),0))</f>
        <v>149</v>
      </c>
      <c r="G90" s="16" t="n">
        <f aca="false">IF(F90="","",F90/1000)</f>
        <v>0.149</v>
      </c>
      <c r="H90" s="16" t="n">
        <f aca="false">IF(D90="","",MAX(0,MIN($B$8,IFERROR(LOOKUP(2,1/($U$24:U89&lt;&gt;""),$U$24:U89),$B$11))))</f>
        <v>144.095383388812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14.4794227779008</v>
      </c>
      <c r="J90" s="16" t="n">
        <f aca="false">IF(D90="","",$B$12)</f>
        <v>0.432</v>
      </c>
      <c r="K90" s="16" t="n">
        <f aca="false">IF(J90="","",J90*$B$15)</f>
        <v>1.119744</v>
      </c>
      <c r="L90" s="16" t="n">
        <f aca="false">IF(D90="","",H90+E90-K90-G90*I90)</f>
        <v>141.511985498583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14.2913339336406</v>
      </c>
      <c r="N90" s="16" t="n">
        <f aca="false">IF(D90="","",(I90+M90)/2)</f>
        <v>14.3853783557707</v>
      </c>
      <c r="O90" s="16" t="n">
        <f aca="false">IF(D90="","",G90*N90)</f>
        <v>2.14342137500984</v>
      </c>
      <c r="P90" s="16" t="n">
        <f aca="false">IF(D90="","",H90+E90-K90-O90)</f>
        <v>141.52599811748</v>
      </c>
      <c r="Q90" s="16" t="n">
        <f aca="false">IF(D90="","",IF(P90&gt;=0,K90,MAX(0,K90+P90)))</f>
        <v>1.119744</v>
      </c>
      <c r="R90" s="16" t="n">
        <f aca="false">IF(D90="","",Q90/$B$15)</f>
        <v>0.432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141.52599811748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87.3617272330126</v>
      </c>
      <c r="Z90" s="18" t="n">
        <f aca="false">IF(D90="","",MAX(0,IF(P90&gt;=0,P90,IF(K90+P90&gt;=0,0,P90+K90))))</f>
        <v>141.52599811748</v>
      </c>
      <c r="AA90" s="18" t="n">
        <f aca="false">IF(D90="","",IF(H90&lt;=$B$16,1,IF(H90&gt;=$B$17,$B$21,MATCH(H90,Aux_CAV!$A$2:$A$121,1))))</f>
        <v>22</v>
      </c>
      <c r="AB90" s="18" t="n">
        <f aca="false">IF(D90="","",IF(L90&lt;=$B$16,1,IF(L90&gt;=$B$17,$B$21,MATCH(L90,Aux_CAV!$A$2:$A$121,1))))</f>
        <v>22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0.249009714050159</v>
      </c>
      <c r="E91" s="16" t="n">
        <f aca="false">IF(D91="","",D91*$B$15)</f>
        <v>0.645433178818012</v>
      </c>
      <c r="F91" s="16" t="n">
        <f aca="false" t="array" ref="F91:F91">IF(D91="","",IFERROR(INDEX(Dados_Evap!$C$2:$N$15,MATCH($B$9,Dados_Evap!$A$2:$A$15,0),C91),0))</f>
        <v>206.8</v>
      </c>
      <c r="G91" s="16" t="n">
        <f aca="false">IF(F91="","",F91/1000)</f>
        <v>0.2068</v>
      </c>
      <c r="H91" s="16" t="n">
        <f aca="false">IF(D91="","",MAX(0,MIN($B$8,IFERROR(LOOKUP(2,1/($U$24:U90&lt;&gt;""),$U$24:U90),$B$11))))</f>
        <v>141.52599811748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14.292354147098</v>
      </c>
      <c r="J91" s="16" t="n">
        <f aca="false">IF(D91="","",$B$12)</f>
        <v>0.432</v>
      </c>
      <c r="K91" s="16" t="n">
        <f aca="false">IF(J91="","",J91*$B$15)</f>
        <v>1.119744</v>
      </c>
      <c r="L91" s="16" t="n">
        <f aca="false">IF(D91="","",H91+E91-K91-G91*I91)</f>
        <v>138.096028458679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14.0426291506459</v>
      </c>
      <c r="N91" s="16" t="n">
        <f aca="false">IF(D91="","",(I91+M91)/2)</f>
        <v>14.167491648872</v>
      </c>
      <c r="O91" s="16" t="n">
        <f aca="false">IF(D91="","",G91*N91)</f>
        <v>2.92983727298673</v>
      </c>
      <c r="P91" s="16" t="n">
        <f aca="false">IF(D91="","",H91+E91-K91-O91)</f>
        <v>138.121850023312</v>
      </c>
      <c r="Q91" s="16" t="n">
        <f aca="false">IF(D91="","",IF(P91&gt;=0,K91,MAX(0,K91+P91)))</f>
        <v>1.119744</v>
      </c>
      <c r="R91" s="16" t="n">
        <f aca="false">IF(D91="","",Q91/$B$15)</f>
        <v>0.432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138.121850023312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85.2604012489578</v>
      </c>
      <c r="Z91" s="18" t="n">
        <f aca="false">IF(D91="","",MAX(0,IF(P91&gt;=0,P91,IF(K91+P91&gt;=0,0,P91+K91))))</f>
        <v>138.121850023312</v>
      </c>
      <c r="AA91" s="18" t="n">
        <f aca="false">IF(D91="","",IF(H91&lt;=$B$16,1,IF(H91&gt;=$B$17,$B$21,MATCH(H91,Aux_CAV!$A$2:$A$121,1))))</f>
        <v>22</v>
      </c>
      <c r="AB91" s="18" t="n">
        <f aca="false">IF(D91="","",IF(L91&lt;=$B$16,1,IF(L91&gt;=$B$17,$B$21,MATCH(L91,Aux_CAV!$A$2:$A$121,1))))</f>
        <v>22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0.198858106116348</v>
      </c>
      <c r="E92" s="16" t="n">
        <f aca="false">IF(D92="","",D92*$B$15)</f>
        <v>0.515440211053574</v>
      </c>
      <c r="F92" s="16" t="n">
        <f aca="false" t="array" ref="F92:F92">IF(D92="","",IFERROR(INDEX(Dados_Evap!$C$2:$N$15,MATCH($B$9,Dados_Evap!$A$2:$A$15,0),C92),0))</f>
        <v>245.9</v>
      </c>
      <c r="G92" s="16" t="n">
        <f aca="false">IF(F92="","",F92/1000)</f>
        <v>0.2459</v>
      </c>
      <c r="H92" s="16" t="n">
        <f aca="false">IF(D92="","",MAX(0,MIN($B$8,IFERROR(LOOKUP(2,1/($U$24:U91&lt;&gt;""),$U$24:U91),$B$11))))</f>
        <v>138.121850023312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14.0445091352457</v>
      </c>
      <c r="J92" s="16" t="n">
        <f aca="false">IF(D92="","",$B$12)</f>
        <v>0.432</v>
      </c>
      <c r="K92" s="16" t="n">
        <f aca="false">IF(J92="","",J92*$B$15)</f>
        <v>1.119744</v>
      </c>
      <c r="L92" s="16" t="n">
        <f aca="false">IF(D92="","",H92+E92-K92-G92*I92)</f>
        <v>134.064001438008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13.7490703050603</v>
      </c>
      <c r="N92" s="16" t="n">
        <f aca="false">IF(D92="","",(I92+M92)/2)</f>
        <v>13.896789720153</v>
      </c>
      <c r="O92" s="16" t="n">
        <f aca="false">IF(D92="","",G92*N92)</f>
        <v>3.41722059218563</v>
      </c>
      <c r="P92" s="16" t="n">
        <f aca="false">IF(D92="","",H92+E92-K92-O92)</f>
        <v>134.10032564218</v>
      </c>
      <c r="Q92" s="16" t="n">
        <f aca="false">IF(D92="","",IF(P92&gt;=0,K92,MAX(0,K92+P92)))</f>
        <v>1.119744</v>
      </c>
      <c r="R92" s="16" t="n">
        <f aca="false">IF(D92="","",Q92/$B$15)</f>
        <v>0.432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134.10032564218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82.7779787914689</v>
      </c>
      <c r="Z92" s="18" t="n">
        <f aca="false">IF(D92="","",MAX(0,IF(P92&gt;=0,P92,IF(K92+P92&gt;=0,0,P92+K92))))</f>
        <v>134.10032564218</v>
      </c>
      <c r="AA92" s="18" t="n">
        <f aca="false">IF(D92="","",IF(H92&lt;=$B$16,1,IF(H92&gt;=$B$17,$B$21,MATCH(H92,Aux_CAV!$A$2:$A$121,1))))</f>
        <v>22</v>
      </c>
      <c r="AB92" s="18" t="n">
        <f aca="false">IF(D92="","",IF(L92&lt;=$B$16,1,IF(L92&gt;=$B$17,$B$21,MATCH(L92,Aux_CAV!$A$2:$A$121,1))))</f>
        <v>22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0.163131349165935</v>
      </c>
      <c r="E93" s="16" t="n">
        <f aca="false">IF(D93="","",D93*$B$15)</f>
        <v>0.422836457038104</v>
      </c>
      <c r="F93" s="16" t="n">
        <f aca="false" t="array" ref="F93:F93">IF(D93="","",IFERROR(INDEX(Dados_Evap!$C$2:$N$15,MATCH($B$9,Dados_Evap!$A$2:$A$15,0),C93),0))</f>
        <v>282.3</v>
      </c>
      <c r="G93" s="16" t="n">
        <f aca="false">IF(F93="","",F93/1000)</f>
        <v>0.2823</v>
      </c>
      <c r="H93" s="16" t="n">
        <f aca="false">IF(D93="","",MAX(0,MIN($B$8,IFERROR(LOOKUP(2,1/($U$24:U92&lt;&gt;""),$U$24:U92),$B$11))))</f>
        <v>134.10032564218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13.7517149528736</v>
      </c>
      <c r="J93" s="16" t="n">
        <f aca="false">IF(D93="","",$B$12)</f>
        <v>0.432</v>
      </c>
      <c r="K93" s="16" t="n">
        <f aca="false">IF(J93="","",J93*$B$15)</f>
        <v>1.119744</v>
      </c>
      <c r="L93" s="16" t="n">
        <f aca="false">IF(D93="","",H93+E93-K93-G93*I93)</f>
        <v>129.521308968022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13.4183315598824</v>
      </c>
      <c r="N93" s="16" t="n">
        <f aca="false">IF(D93="","",(I93+M93)/2)</f>
        <v>13.585023256378</v>
      </c>
      <c r="O93" s="16" t="n">
        <f aca="false">IF(D93="","",G93*N93)</f>
        <v>3.8350520652755</v>
      </c>
      <c r="P93" s="16" t="n">
        <f aca="false">IF(D93="","",H93+E93-K93-O93)</f>
        <v>129.568366033942</v>
      </c>
      <c r="Q93" s="16" t="n">
        <f aca="false">IF(D93="","",IF(P93&gt;=0,K93,MAX(0,K93+P93)))</f>
        <v>1.119744</v>
      </c>
      <c r="R93" s="16" t="n">
        <f aca="false">IF(D93="","",Q93/$B$15)</f>
        <v>0.432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129.568366033942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79.9804728604582</v>
      </c>
      <c r="Z93" s="18" t="n">
        <f aca="false">IF(D93="","",MAX(0,IF(P93&gt;=0,P93,IF(K93+P93&gt;=0,0,P93+K93))))</f>
        <v>129.568366033942</v>
      </c>
      <c r="AA93" s="18" t="n">
        <f aca="false">IF(D93="","",IF(H93&lt;=$B$16,1,IF(H93&gt;=$B$17,$B$21,MATCH(H93,Aux_CAV!$A$2:$A$121,1))))</f>
        <v>22</v>
      </c>
      <c r="AB93" s="18" t="n">
        <f aca="false">IF(D93="","",IF(L93&lt;=$B$16,1,IF(L93&gt;=$B$17,$B$21,MATCH(L93,Aux_CAV!$A$2:$A$121,1))))</f>
        <v>22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0.134978220249347</v>
      </c>
      <c r="E94" s="16" t="n">
        <f aca="false">IF(D94="","",D94*$B$15)</f>
        <v>0.349863546886307</v>
      </c>
      <c r="F94" s="16" t="n">
        <f aca="false" t="array" ref="F94:F94">IF(D94="","",IFERROR(INDEX(Dados_Evap!$C$2:$N$15,MATCH($B$9,Dados_Evap!$A$2:$A$15,0),C94),0))</f>
        <v>241.3</v>
      </c>
      <c r="G94" s="16" t="n">
        <f aca="false">IF(F94="","",F94/1000)</f>
        <v>0.2413</v>
      </c>
      <c r="H94" s="16" t="n">
        <f aca="false">IF(D94="","",MAX(0,MIN($B$8,IFERROR(LOOKUP(2,1/($U$24:U93&lt;&gt;""),$U$24:U93),$B$11))))</f>
        <v>129.568366033942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13.4217576326437</v>
      </c>
      <c r="J94" s="16" t="n">
        <f aca="false">IF(D94="","",$B$12)</f>
        <v>0.432</v>
      </c>
      <c r="K94" s="16" t="n">
        <f aca="false">IF(J94="","",J94*$B$15)</f>
        <v>1.119744</v>
      </c>
      <c r="L94" s="16" t="n">
        <f aca="false">IF(D94="","",H94+E94-K94-G94*I94)</f>
        <v>125.559815464072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13.129908031505</v>
      </c>
      <c r="N94" s="16" t="n">
        <f aca="false">IF(D94="","",(I94+M94)/2)</f>
        <v>13.2758328320743</v>
      </c>
      <c r="O94" s="16" t="n">
        <f aca="false">IF(D94="","",G94*N94)</f>
        <v>3.20345846237954</v>
      </c>
      <c r="P94" s="16" t="n">
        <f aca="false">IF(D94="","",H94+E94-K94-O94)</f>
        <v>125.595027118449</v>
      </c>
      <c r="Q94" s="16" t="n">
        <f aca="false">IF(D94="","",IF(P94&gt;=0,K94,MAX(0,K94+P94)))</f>
        <v>1.119744</v>
      </c>
      <c r="R94" s="16" t="n">
        <f aca="false">IF(D94="","",Q94/$B$15)</f>
        <v>0.432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125.595027118449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77.5277945175611</v>
      </c>
      <c r="Z94" s="18" t="n">
        <f aca="false">IF(D94="","",MAX(0,IF(P94&gt;=0,P94,IF(K94+P94&gt;=0,0,P94+K94))))</f>
        <v>125.595027118449</v>
      </c>
      <c r="AA94" s="18" t="n">
        <f aca="false">IF(D94="","",IF(H94&lt;=$B$16,1,IF(H94&gt;=$B$17,$B$21,MATCH(H94,Aux_CAV!$A$2:$A$121,1))))</f>
        <v>22</v>
      </c>
      <c r="AB94" s="18" t="n">
        <f aca="false">IF(D94="","",IF(L94&lt;=$B$16,1,IF(L94&gt;=$B$17,$B$21,MATCH(L94,Aux_CAV!$A$2:$A$121,1))))</f>
        <v>22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0.154785149425534</v>
      </c>
      <c r="E95" s="16" t="n">
        <f aca="false">IF(D95="","",D95*$B$15)</f>
        <v>0.401203107310984</v>
      </c>
      <c r="F95" s="16" t="n">
        <f aca="false" t="array" ref="F95:F95">IF(D95="","",IFERROR(INDEX(Dados_Evap!$C$2:$N$15,MATCH($B$9,Dados_Evap!$A$2:$A$15,0),C95),0))</f>
        <v>241.8</v>
      </c>
      <c r="G95" s="16" t="n">
        <f aca="false">IF(F95="","",F95/1000)</f>
        <v>0.2418</v>
      </c>
      <c r="H95" s="16" t="n">
        <f aca="false">IF(D95="","",MAX(0,MIN($B$8,IFERROR(LOOKUP(2,1/($U$24:U94&lt;&gt;""),$U$24:U94),$B$11))))</f>
        <v>125.595027118449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13.1324716781664</v>
      </c>
      <c r="J95" s="16" t="n">
        <f aca="false">IF(D95="","",$B$12)</f>
        <v>0.432</v>
      </c>
      <c r="K95" s="16" t="n">
        <f aca="false">IF(J95="","",J95*$B$15)</f>
        <v>1.119744</v>
      </c>
      <c r="L95" s="16" t="n">
        <f aca="false">IF(D95="","",H95+E95-K95-G95*I95)</f>
        <v>121.701054573979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12.8489641324489</v>
      </c>
      <c r="N95" s="16" t="n">
        <f aca="false">IF(D95="","",(I95+M95)/2)</f>
        <v>12.9907179053077</v>
      </c>
      <c r="O95" s="16" t="n">
        <f aca="false">IF(D95="","",G95*N95)</f>
        <v>3.14115558950339</v>
      </c>
      <c r="P95" s="16" t="n">
        <f aca="false">IF(D95="","",H95+E95-K95-O95)</f>
        <v>121.735330636257</v>
      </c>
      <c r="Q95" s="16" t="n">
        <f aca="false">IF(D95="","",IF(P95&gt;=0,K95,MAX(0,K95+P95)))</f>
        <v>1.119744</v>
      </c>
      <c r="R95" s="16" t="n">
        <f aca="false">IF(D95="","",Q95/$B$15)</f>
        <v>0.432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121.735330636257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75.1452658248497</v>
      </c>
      <c r="Z95" s="18" t="n">
        <f aca="false">IF(D95="","",MAX(0,IF(P95&gt;=0,P95,IF(K95+P95&gt;=0,0,P95+K95))))</f>
        <v>121.735330636257</v>
      </c>
      <c r="AA95" s="18" t="n">
        <f aca="false">IF(D95="","",IF(H95&lt;=$B$16,1,IF(H95&gt;=$B$17,$B$21,MATCH(H95,Aux_CAV!$A$2:$A$121,1))))</f>
        <v>22</v>
      </c>
      <c r="AB95" s="18" t="n">
        <f aca="false">IF(D95="","",IF(L95&lt;=$B$16,1,IF(L95&gt;=$B$17,$B$21,MATCH(L95,Aux_CAV!$A$2:$A$121,1))))</f>
        <v>22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0.204620378141236</v>
      </c>
      <c r="E96" s="16" t="n">
        <f aca="false">IF(D96="","",D96*$B$15)</f>
        <v>0.530376020142084</v>
      </c>
      <c r="F96" s="16" t="n">
        <f aca="false" t="array" ref="F96:F96">IF(D96="","",IFERROR(INDEX(Dados_Evap!$C$2:$N$15,MATCH($B$9,Dados_Evap!$A$2:$A$15,0),C96),0))</f>
        <v>189</v>
      </c>
      <c r="G96" s="16" t="n">
        <f aca="false">IF(F96="","",F96/1000)</f>
        <v>0.189</v>
      </c>
      <c r="H96" s="16" t="n">
        <f aca="false">IF(D96="","",MAX(0,MIN($B$8,IFERROR(LOOKUP(2,1/($U$24:U95&lt;&gt;""),$U$24:U95),$B$11))))</f>
        <v>121.735330636257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12.8514596616757</v>
      </c>
      <c r="J96" s="16" t="n">
        <f aca="false">IF(D96="","",$B$12)</f>
        <v>0.432</v>
      </c>
      <c r="K96" s="16" t="n">
        <f aca="false">IF(J96="","",J96*$B$15)</f>
        <v>1.119744</v>
      </c>
      <c r="L96" s="16" t="n">
        <f aca="false">IF(D96="","",H96+E96-K96-G96*I96)</f>
        <v>118.717036780342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12.6317074488463</v>
      </c>
      <c r="N96" s="16" t="n">
        <f aca="false">IF(D96="","",(I96+M96)/2)</f>
        <v>12.741583555261</v>
      </c>
      <c r="O96" s="16" t="n">
        <f aca="false">IF(D96="","",G96*N96)</f>
        <v>2.40815929194433</v>
      </c>
      <c r="P96" s="16" t="n">
        <f aca="false">IF(D96="","",H96+E96-K96-O96)</f>
        <v>118.737803364454</v>
      </c>
      <c r="Q96" s="16" t="n">
        <f aca="false">IF(D96="","",IF(P96&gt;=0,K96,MAX(0,K96+P96)))</f>
        <v>1.119744</v>
      </c>
      <c r="R96" s="16" t="n">
        <f aca="false">IF(D96="","",Q96/$B$15)</f>
        <v>0.432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118.737803364454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73.2949403484286</v>
      </c>
      <c r="Z96" s="18" t="n">
        <f aca="false">IF(D96="","",MAX(0,IF(P96&gt;=0,P96,IF(K96+P96&gt;=0,0,P96+K96))))</f>
        <v>118.737803364454</v>
      </c>
      <c r="AA96" s="18" t="n">
        <f aca="false">IF(D96="","",IF(H96&lt;=$B$16,1,IF(H96&gt;=$B$17,$B$21,MATCH(H96,Aux_CAV!$A$2:$A$121,1))))</f>
        <v>22</v>
      </c>
      <c r="AB96" s="18" t="n">
        <f aca="false">IF(D96="","",IF(L96&lt;=$B$16,1,IF(L96&gt;=$B$17,$B$21,MATCH(L96,Aux_CAV!$A$2:$A$121,1))))</f>
        <v>22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0.328213491996218</v>
      </c>
      <c r="E97" s="16" t="n">
        <f aca="false">IF(D97="","",D97*$B$15)</f>
        <v>0.850729371254197</v>
      </c>
      <c r="F97" s="16" t="n">
        <f aca="false" t="array" ref="F97:F97">IF(D97="","",IFERROR(INDEX(Dados_Evap!$C$2:$N$15,MATCH($B$9,Dados_Evap!$A$2:$A$15,0),C97),0))</f>
        <v>136.9</v>
      </c>
      <c r="G97" s="16" t="n">
        <f aca="false">IF(F97="","",F97/1000)</f>
        <v>0.1369</v>
      </c>
      <c r="H97" s="16" t="n">
        <f aca="false">IF(D97="","",MAX(0,MIN($B$8,IFERROR(LOOKUP(2,1/($U$24:U96&lt;&gt;""),$U$24:U96),$B$11))))</f>
        <v>118.737803364454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12.6332193966649</v>
      </c>
      <c r="J97" s="16" t="n">
        <f aca="false">IF(D97="","",$B$12)</f>
        <v>0.432</v>
      </c>
      <c r="K97" s="16" t="n">
        <f aca="false">IF(J97="","",J97*$B$15)</f>
        <v>1.119744</v>
      </c>
      <c r="L97" s="16" t="n">
        <f aca="false">IF(D97="","",H97+E97-K97-G97*I97)</f>
        <v>116.739301000305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12.4877149037853</v>
      </c>
      <c r="N97" s="16" t="n">
        <f aca="false">IF(D97="","",(I97+M97)/2)</f>
        <v>12.5604671502251</v>
      </c>
      <c r="O97" s="16" t="n">
        <f aca="false">IF(D97="","",G97*N97)</f>
        <v>1.71952795286582</v>
      </c>
      <c r="P97" s="16" t="n">
        <f aca="false">IF(D97="","",H97+E97-K97-O97)</f>
        <v>116.749260782843</v>
      </c>
      <c r="Q97" s="16" t="n">
        <f aca="false">IF(D97="","",IF(P97&gt;=0,K97,MAX(0,K97+P97)))</f>
        <v>1.119744</v>
      </c>
      <c r="R97" s="16" t="n">
        <f aca="false">IF(D97="","",Q97/$B$15)</f>
        <v>0.432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116.749260782843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72.0674449276807</v>
      </c>
      <c r="Z97" s="18" t="n">
        <f aca="false">IF(D97="","",MAX(0,IF(P97&gt;=0,P97,IF(K97+P97&gt;=0,0,P97+K97))))</f>
        <v>116.749260782843</v>
      </c>
      <c r="AA97" s="18" t="n">
        <f aca="false">IF(D97="","",IF(H97&lt;=$B$16,1,IF(H97&gt;=$B$17,$B$21,MATCH(H97,Aux_CAV!$A$2:$A$121,1))))</f>
        <v>22</v>
      </c>
      <c r="AB97" s="18" t="n">
        <f aca="false">IF(D97="","",IF(L97&lt;=$B$16,1,IF(L97&gt;=$B$17,$B$21,MATCH(L97,Aux_CAV!$A$2:$A$121,1))))</f>
        <v>22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1.77924242969264</v>
      </c>
      <c r="E98" s="16" t="n">
        <f aca="false">IF(D98="","",D98*$B$15)</f>
        <v>4.61179637776332</v>
      </c>
      <c r="F98" s="16" t="n">
        <f aca="false" t="array" ref="F98:F98">IF(D98="","",IFERROR(INDEX(Dados_Evap!$C$2:$N$15,MATCH($B$9,Dados_Evap!$A$2:$A$15,0),C98),0))</f>
        <v>102.9</v>
      </c>
      <c r="G98" s="16" t="n">
        <f aca="false">IF(F98="","",F98/1000)</f>
        <v>0.1029</v>
      </c>
      <c r="H98" s="16" t="n">
        <f aca="false">IF(D98="","",MAX(0,MIN($B$8,IFERROR(LOOKUP(2,1/($U$24:U97&lt;&gt;""),$U$24:U97),$B$11))))</f>
        <v>116.749260782843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12.4884400433364</v>
      </c>
      <c r="J98" s="16" t="n">
        <f aca="false">IF(D98="","",$B$12)</f>
        <v>0.432</v>
      </c>
      <c r="K98" s="16" t="n">
        <f aca="false">IF(J98="","",J98*$B$15)</f>
        <v>1.119744</v>
      </c>
      <c r="L98" s="16" t="n">
        <f aca="false">IF(D98="","",H98+E98-K98-G98*I98)</f>
        <v>118.956252680147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12.6491239847555</v>
      </c>
      <c r="N98" s="16" t="n">
        <f aca="false">IF(D98="","",(I98+M98)/2)</f>
        <v>12.5687820140459</v>
      </c>
      <c r="O98" s="16" t="n">
        <f aca="false">IF(D98="","",G98*N98)</f>
        <v>1.29332766924533</v>
      </c>
      <c r="P98" s="16" t="n">
        <f aca="false">IF(D98="","",H98+E98-K98-O98)</f>
        <v>118.947985491361</v>
      </c>
      <c r="Q98" s="16" t="n">
        <f aca="false">IF(D98="","",IF(P98&gt;=0,K98,MAX(0,K98+P98)))</f>
        <v>1.119744</v>
      </c>
      <c r="R98" s="16" t="n">
        <f aca="false">IF(D98="","",Q98/$B$15)</f>
        <v>0.432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118.947985491361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73.4246824020745</v>
      </c>
      <c r="Z98" s="18" t="n">
        <f aca="false">IF(D98="","",MAX(0,IF(P98&gt;=0,P98,IF(K98+P98&gt;=0,0,P98+K98))))</f>
        <v>118.947985491361</v>
      </c>
      <c r="AA98" s="18" t="n">
        <f aca="false">IF(D98="","",IF(H98&lt;=$B$16,1,IF(H98&gt;=$B$17,$B$21,MATCH(H98,Aux_CAV!$A$2:$A$121,1))))</f>
        <v>22</v>
      </c>
      <c r="AB98" s="18" t="n">
        <f aca="false">IF(D98="","",IF(L98&lt;=$B$16,1,IF(L98&gt;=$B$17,$B$21,MATCH(L98,Aux_CAV!$A$2:$A$121,1))))</f>
        <v>22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3.04539058358532</v>
      </c>
      <c r="E99" s="16" t="n">
        <f aca="false">IF(D99="","",D99*$B$15)</f>
        <v>7.89365239265315</v>
      </c>
      <c r="F99" s="16" t="n">
        <f aca="false" t="array" ref="F99:F99">IF(D99="","",IFERROR(INDEX(Dados_Evap!$C$2:$N$15,MATCH($B$9,Dados_Evap!$A$2:$A$15,0),C99),0))</f>
        <v>81.8</v>
      </c>
      <c r="G99" s="16" t="n">
        <f aca="false">IF(F99="","",F99/1000)</f>
        <v>0.0818</v>
      </c>
      <c r="H99" s="16" t="n">
        <f aca="false">IF(D99="","",MAX(0,MIN($B$8,IFERROR(LOOKUP(2,1/($U$24:U98&lt;&gt;""),$U$24:U98),$B$11))))</f>
        <v>118.947985491361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12.6485220774806</v>
      </c>
      <c r="J99" s="16" t="n">
        <f aca="false">IF(D99="","",$B$12)</f>
        <v>0.432</v>
      </c>
      <c r="K99" s="16" t="n">
        <f aca="false">IF(J99="","",J99*$B$15)</f>
        <v>1.119744</v>
      </c>
      <c r="L99" s="16" t="n">
        <f aca="false">IF(D99="","",H99+E99-K99-G99*I99)</f>
        <v>124.687244778076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13.0663789822304</v>
      </c>
      <c r="N99" s="16" t="n">
        <f aca="false">IF(D99="","",(I99+M99)/2)</f>
        <v>12.8574505298555</v>
      </c>
      <c r="O99" s="16" t="n">
        <f aca="false">IF(D99="","",G99*N99)</f>
        <v>1.05173945334218</v>
      </c>
      <c r="P99" s="16" t="n">
        <f aca="false">IF(D99="","",H99+E99-K99-O99)</f>
        <v>124.670154430672</v>
      </c>
      <c r="Q99" s="16" t="n">
        <f aca="false">IF(D99="","",IF(P99&gt;=0,K99,MAX(0,K99+P99)))</f>
        <v>1.119744</v>
      </c>
      <c r="R99" s="16" t="n">
        <f aca="false">IF(D99="","",Q99/$B$15)</f>
        <v>0.432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124.670154430672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76.9568854510319</v>
      </c>
      <c r="Z99" s="18" t="n">
        <f aca="false">IF(D99="","",MAX(0,IF(P99&gt;=0,P99,IF(K99+P99&gt;=0,0,P99+K99))))</f>
        <v>124.670154430672</v>
      </c>
      <c r="AA99" s="18" t="n">
        <f aca="false">IF(D99="","",IF(H99&lt;=$B$16,1,IF(H99&gt;=$B$17,$B$21,MATCH(H99,Aux_CAV!$A$2:$A$121,1))))</f>
        <v>22</v>
      </c>
      <c r="AB99" s="18" t="n">
        <f aca="false">IF(D99="","",IF(L99&lt;=$B$16,1,IF(L99&gt;=$B$17,$B$21,MATCH(L99,Aux_CAV!$A$2:$A$121,1))))</f>
        <v>22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3.31825866804322</v>
      </c>
      <c r="E100" s="16" t="n">
        <f aca="false">IF(D100="","",D100*$B$15)</f>
        <v>8.60092646756803</v>
      </c>
      <c r="F100" s="16" t="n">
        <f aca="false" t="array" ref="F100:F100">IF(D100="","",IFERROR(INDEX(Dados_Evap!$C$2:$N$15,MATCH($B$9,Dados_Evap!$A$2:$A$15,0),C100),0))</f>
        <v>83.6</v>
      </c>
      <c r="G100" s="16" t="n">
        <f aca="false">IF(F100="","",F100/1000)</f>
        <v>0.0836</v>
      </c>
      <c r="H100" s="16" t="n">
        <f aca="false">IF(D100="","",MAX(0,MIN($B$8,IFERROR(LOOKUP(2,1/($U$24:U99&lt;&gt;""),$U$24:U99),$B$11))))</f>
        <v>124.670154430672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13.0651346893155</v>
      </c>
      <c r="J100" s="16" t="n">
        <f aca="false">IF(D100="","",$B$12)</f>
        <v>0.432</v>
      </c>
      <c r="K100" s="16" t="n">
        <f aca="false">IF(J100="","",J100*$B$15)</f>
        <v>1.119744</v>
      </c>
      <c r="L100" s="16" t="n">
        <f aca="false">IF(D100="","",H100+E100-K100-G100*I100)</f>
        <v>131.059091638213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13.5302925420655</v>
      </c>
      <c r="N100" s="16" t="n">
        <f aca="false">IF(D100="","",(I100+M100)/2)</f>
        <v>13.2977136156905</v>
      </c>
      <c r="O100" s="16" t="n">
        <f aca="false">IF(D100="","",G100*N100)</f>
        <v>1.11168885827172</v>
      </c>
      <c r="P100" s="16" t="n">
        <f aca="false">IF(D100="","",H100+E100-K100-O100)</f>
        <v>131.039648039968</v>
      </c>
      <c r="Q100" s="16" t="n">
        <f aca="false">IF(D100="","",IF(P100&gt;=0,K100,MAX(0,K100+P100)))</f>
        <v>1.119744</v>
      </c>
      <c r="R100" s="16" t="n">
        <f aca="false">IF(D100="","",Q100/$B$15)</f>
        <v>0.432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131.039648039968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80.8886716296099</v>
      </c>
      <c r="Z100" s="18" t="n">
        <f aca="false">IF(D100="","",MAX(0,IF(P100&gt;=0,P100,IF(K100+P100&gt;=0,0,P100+K100))))</f>
        <v>131.039648039968</v>
      </c>
      <c r="AA100" s="18" t="n">
        <f aca="false">IF(D100="","",IF(H100&lt;=$B$16,1,IF(H100&gt;=$B$17,$B$21,MATCH(H100,Aux_CAV!$A$2:$A$121,1))))</f>
        <v>22</v>
      </c>
      <c r="AB100" s="18" t="n">
        <f aca="false">IF(D100="","",IF(L100&lt;=$B$16,1,IF(L100&gt;=$B$17,$B$21,MATCH(L100,Aux_CAV!$A$2:$A$121,1))))</f>
        <v>22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2.65173664480927</v>
      </c>
      <c r="E101" s="16" t="n">
        <f aca="false">IF(D101="","",D101*$B$15)</f>
        <v>6.87330138334563</v>
      </c>
      <c r="F101" s="16" t="n">
        <f aca="false" t="array" ref="F101:F101">IF(D101="","",IFERROR(INDEX(Dados_Evap!$C$2:$N$15,MATCH($B$9,Dados_Evap!$A$2:$A$15,0),C101),0))</f>
        <v>108.2</v>
      </c>
      <c r="G101" s="16" t="n">
        <f aca="false">IF(F101="","",F101/1000)</f>
        <v>0.1082</v>
      </c>
      <c r="H101" s="16" t="n">
        <f aca="false">IF(D101="","",MAX(0,MIN($B$8,IFERROR(LOOKUP(2,1/($U$24:U100&lt;&gt;""),$U$24:U100),$B$11))))</f>
        <v>131.039648039968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13.5288769165685</v>
      </c>
      <c r="J101" s="16" t="n">
        <f aca="false">IF(D101="","",$B$12)</f>
        <v>0.432</v>
      </c>
      <c r="K101" s="16" t="n">
        <f aca="false">IF(J101="","",J101*$B$15)</f>
        <v>1.119744</v>
      </c>
      <c r="L101" s="16" t="n">
        <f aca="false">IF(D101="","",H101+E101-K101-G101*I101)</f>
        <v>135.329380940941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13.8411984937367</v>
      </c>
      <c r="N101" s="16" t="n">
        <f aca="false">IF(D101="","",(I101+M101)/2)</f>
        <v>13.6850377051526</v>
      </c>
      <c r="O101" s="16" t="n">
        <f aca="false">IF(D101="","",G101*N101)</f>
        <v>1.48072107969751</v>
      </c>
      <c r="P101" s="16" t="n">
        <f aca="false">IF(D101="","",H101+E101-K101-O101)</f>
        <v>135.312484343616</v>
      </c>
      <c r="Q101" s="16" t="n">
        <f aca="false">IF(D101="","",IF(P101&gt;=0,K101,MAX(0,K101+P101)))</f>
        <v>1.119744</v>
      </c>
      <c r="R101" s="16" t="n">
        <f aca="false">IF(D101="","",Q101/$B$15)</f>
        <v>0.432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135.312484343616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83.5262249034667</v>
      </c>
      <c r="Z101" s="18" t="n">
        <f aca="false">IF(D101="","",MAX(0,IF(P101&gt;=0,P101,IF(K101+P101&gt;=0,0,P101+K101))))</f>
        <v>135.312484343616</v>
      </c>
      <c r="AA101" s="18" t="n">
        <f aca="false">IF(D101="","",IF(H101&lt;=$B$16,1,IF(H101&gt;=$B$17,$B$21,MATCH(H101,Aux_CAV!$A$2:$A$121,1))))</f>
        <v>22</v>
      </c>
      <c r="AB101" s="18" t="n">
        <f aca="false">IF(D101="","",IF(L101&lt;=$B$16,1,IF(L101&gt;=$B$17,$B$21,MATCH(L101,Aux_CAV!$A$2:$A$121,1))))</f>
        <v>22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0.180108022151777</v>
      </c>
      <c r="E102" s="16" t="n">
        <f aca="false">IF(D102="","",D102*$B$15)</f>
        <v>0.466839993417406</v>
      </c>
      <c r="F102" s="16" t="n">
        <f aca="false" t="array" ref="F102:F102">IF(D102="","",IFERROR(INDEX(Dados_Evap!$C$2:$N$15,MATCH($B$9,Dados_Evap!$A$2:$A$15,0),C102),0))</f>
        <v>149</v>
      </c>
      <c r="G102" s="16" t="n">
        <f aca="false">IF(F102="","",F102/1000)</f>
        <v>0.149</v>
      </c>
      <c r="H102" s="16" t="n">
        <f aca="false">IF(D102="","",MAX(0,MIN($B$8,IFERROR(LOOKUP(2,1/($U$24:U101&lt;&gt;""),$U$24:U101),$B$11))))</f>
        <v>135.312484343616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13.8399683071383</v>
      </c>
      <c r="J102" s="16" t="n">
        <f aca="false">IF(D102="","",$B$12)</f>
        <v>0.432</v>
      </c>
      <c r="K102" s="16" t="n">
        <f aca="false">IF(J102="","",J102*$B$15)</f>
        <v>1.119744</v>
      </c>
      <c r="L102" s="16" t="n">
        <f aca="false">IF(D102="","",H102+E102-K102-G102*I102)</f>
        <v>132.59742505927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13.6422936226376</v>
      </c>
      <c r="N102" s="16" t="n">
        <f aca="false">IF(D102="","",(I102+M102)/2)</f>
        <v>13.741130964888</v>
      </c>
      <c r="O102" s="16" t="n">
        <f aca="false">IF(D102="","",G102*N102)</f>
        <v>2.04742851376831</v>
      </c>
      <c r="P102" s="16" t="n">
        <f aca="false">IF(D102="","",H102+E102-K102-O102)</f>
        <v>132.612151823265</v>
      </c>
      <c r="Q102" s="16" t="n">
        <f aca="false">IF(D102="","",IF(P102&gt;=0,K102,MAX(0,K102+P102)))</f>
        <v>1.119744</v>
      </c>
      <c r="R102" s="16" t="n">
        <f aca="false">IF(D102="","",Q102/$B$15)</f>
        <v>0.432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132.612151823265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81.8593529773242</v>
      </c>
      <c r="Z102" s="18" t="n">
        <f aca="false">IF(D102="","",MAX(0,IF(P102&gt;=0,P102,IF(K102+P102&gt;=0,0,P102+K102))))</f>
        <v>132.612151823265</v>
      </c>
      <c r="AA102" s="18" t="n">
        <f aca="false">IF(D102="","",IF(H102&lt;=$B$16,1,IF(H102&gt;=$B$17,$B$21,MATCH(H102,Aux_CAV!$A$2:$A$121,1))))</f>
        <v>22</v>
      </c>
      <c r="AB102" s="18" t="n">
        <f aca="false">IF(D102="","",IF(L102&lt;=$B$16,1,IF(L102&gt;=$B$17,$B$21,MATCH(L102,Aux_CAV!$A$2:$A$121,1))))</f>
        <v>22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0.198182873561889</v>
      </c>
      <c r="E103" s="16" t="n">
        <f aca="false">IF(D103="","",D103*$B$15)</f>
        <v>0.513690008272416</v>
      </c>
      <c r="F103" s="16" t="n">
        <f aca="false" t="array" ref="F103:F103">IF(D103="","",IFERROR(INDEX(Dados_Evap!$C$2:$N$15,MATCH($B$9,Dados_Evap!$A$2:$A$15,0),C103),0))</f>
        <v>206.8</v>
      </c>
      <c r="G103" s="16" t="n">
        <f aca="false">IF(F103="","",F103/1000)</f>
        <v>0.2068</v>
      </c>
      <c r="H103" s="16" t="n">
        <f aca="false">IF(D103="","",MAX(0,MIN($B$8,IFERROR(LOOKUP(2,1/($U$24:U102&lt;&gt;""),$U$24:U102),$B$11))))</f>
        <v>132.612151823265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13.6433658306897</v>
      </c>
      <c r="J103" s="16" t="n">
        <f aca="false">IF(D103="","",$B$12)</f>
        <v>0.432</v>
      </c>
      <c r="K103" s="16" t="n">
        <f aca="false">IF(J103="","",J103*$B$15)</f>
        <v>1.119744</v>
      </c>
      <c r="L103" s="16" t="n">
        <f aca="false">IF(D103="","",H103+E103-K103-G103*I103)</f>
        <v>129.184649777751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13.3938204931795</v>
      </c>
      <c r="N103" s="16" t="n">
        <f aca="false">IF(D103="","",(I103+M103)/2)</f>
        <v>13.5185931619346</v>
      </c>
      <c r="O103" s="16" t="n">
        <f aca="false">IF(D103="","",G103*N103)</f>
        <v>2.79564506588807</v>
      </c>
      <c r="P103" s="16" t="n">
        <f aca="false">IF(D103="","",H103+E103-K103-O103)</f>
        <v>129.21045276565</v>
      </c>
      <c r="Q103" s="16" t="n">
        <f aca="false">IF(D103="","",IF(P103&gt;=0,K103,MAX(0,K103+P103)))</f>
        <v>1.119744</v>
      </c>
      <c r="R103" s="16" t="n">
        <f aca="false">IF(D103="","",Q103/$B$15)</f>
        <v>0.432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129.21045276565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79.7595387442281</v>
      </c>
      <c r="Z103" s="18" t="n">
        <f aca="false">IF(D103="","",MAX(0,IF(P103&gt;=0,P103,IF(K103+P103&gt;=0,0,P103+K103))))</f>
        <v>129.21045276565</v>
      </c>
      <c r="AA103" s="18" t="n">
        <f aca="false">IF(D103="","",IF(H103&lt;=$B$16,1,IF(H103&gt;=$B$17,$B$21,MATCH(H103,Aux_CAV!$A$2:$A$121,1))))</f>
        <v>22</v>
      </c>
      <c r="AB103" s="18" t="n">
        <f aca="false">IF(D103="","",IF(L103&lt;=$B$16,1,IF(L103&gt;=$B$17,$B$21,MATCH(L103,Aux_CAV!$A$2:$A$121,1))))</f>
        <v>22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0.214584009305788</v>
      </c>
      <c r="E104" s="16" t="n">
        <f aca="false">IF(D104="","",D104*$B$15)</f>
        <v>0.556201752120603</v>
      </c>
      <c r="F104" s="16" t="n">
        <f aca="false" t="array" ref="F104:F104">IF(D104="","",IFERROR(INDEX(Dados_Evap!$C$2:$N$15,MATCH($B$9,Dados_Evap!$A$2:$A$15,0),C104),0))</f>
        <v>245.9</v>
      </c>
      <c r="G104" s="16" t="n">
        <f aca="false">IF(F104="","",F104/1000)</f>
        <v>0.2459</v>
      </c>
      <c r="H104" s="16" t="n">
        <f aca="false">IF(D104="","",MAX(0,MIN($B$8,IFERROR(LOOKUP(2,1/($U$24:U103&lt;&gt;""),$U$24:U103),$B$11))))</f>
        <v>129.21045276565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13.3956991252673</v>
      </c>
      <c r="J104" s="16" t="n">
        <f aca="false">IF(D104="","",$B$12)</f>
        <v>0.432</v>
      </c>
      <c r="K104" s="16" t="n">
        <f aca="false">IF(J104="","",J104*$B$15)</f>
        <v>1.119744</v>
      </c>
      <c r="L104" s="16" t="n">
        <f aca="false">IF(D104="","",H104+E104-K104-G104*I104)</f>
        <v>125.352908102867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13.1148437757877</v>
      </c>
      <c r="N104" s="16" t="n">
        <f aca="false">IF(D104="","",(I104+M104)/2)</f>
        <v>13.2552714505275</v>
      </c>
      <c r="O104" s="16" t="n">
        <f aca="false">IF(D104="","",G104*N104)</f>
        <v>3.25947124968472</v>
      </c>
      <c r="P104" s="16" t="n">
        <f aca="false">IF(D104="","",H104+E104-K104-O104)</f>
        <v>125.387439268085</v>
      </c>
      <c r="Q104" s="16" t="n">
        <f aca="false">IF(D104="","",IF(P104&gt;=0,K104,MAX(0,K104+P104)))</f>
        <v>1.119744</v>
      </c>
      <c r="R104" s="16" t="n">
        <f aca="false">IF(D104="","",Q104/$B$15)</f>
        <v>0.432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125.387439268085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77.3996538691886</v>
      </c>
      <c r="Z104" s="18" t="n">
        <f aca="false">IF(D104="","",MAX(0,IF(P104&gt;=0,P104,IF(K104+P104&gt;=0,0,P104+K104))))</f>
        <v>125.387439268085</v>
      </c>
      <c r="AA104" s="18" t="n">
        <f aca="false">IF(D104="","",IF(H104&lt;=$B$16,1,IF(H104&gt;=$B$17,$B$21,MATCH(H104,Aux_CAV!$A$2:$A$121,1))))</f>
        <v>22</v>
      </c>
      <c r="AB104" s="18" t="n">
        <f aca="false">IF(D104="","",IF(L104&lt;=$B$16,1,IF(L104&gt;=$B$17,$B$21,MATCH(L104,Aux_CAV!$A$2:$A$121,1))))</f>
        <v>22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0.215712868998857</v>
      </c>
      <c r="E105" s="16" t="n">
        <f aca="false">IF(D105="","",D105*$B$15)</f>
        <v>0.559127756445037</v>
      </c>
      <c r="F105" s="16" t="n">
        <f aca="false" t="array" ref="F105:F105">IF(D105="","",IFERROR(INDEX(Dados_Evap!$C$2:$N$15,MATCH($B$9,Dados_Evap!$A$2:$A$15,0),C105),0))</f>
        <v>282.3</v>
      </c>
      <c r="G105" s="16" t="n">
        <f aca="false">IF(F105="","",F105/1000)</f>
        <v>0.2823</v>
      </c>
      <c r="H105" s="16" t="n">
        <f aca="false">IF(D105="","",MAX(0,MIN($B$8,IFERROR(LOOKUP(2,1/($U$24:U104&lt;&gt;""),$U$24:U104),$B$11))))</f>
        <v>125.387439268085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13.1173578782345</v>
      </c>
      <c r="J105" s="16" t="n">
        <f aca="false">IF(D105="","",$B$12)</f>
        <v>0.432</v>
      </c>
      <c r="K105" s="16" t="n">
        <f aca="false">IF(J105="","",J105*$B$15)</f>
        <v>1.119744</v>
      </c>
      <c r="L105" s="16" t="n">
        <f aca="false">IF(D105="","",H105+E105-K105-G105*I105)</f>
        <v>121.123792895505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12.8069355768205</v>
      </c>
      <c r="N105" s="16" t="n">
        <f aca="false">IF(D105="","",(I105+M105)/2)</f>
        <v>12.9621467275275</v>
      </c>
      <c r="O105" s="16" t="n">
        <f aca="false">IF(D105="","",G105*N105)</f>
        <v>3.65921402118101</v>
      </c>
      <c r="P105" s="16" t="n">
        <f aca="false">IF(D105="","",H105+E105-K105-O105)</f>
        <v>121.167609003349</v>
      </c>
      <c r="Q105" s="16" t="n">
        <f aca="false">IF(D105="","",IF(P105&gt;=0,K105,MAX(0,K105+P105)))</f>
        <v>1.119744</v>
      </c>
      <c r="R105" s="16" t="n">
        <f aca="false">IF(D105="","",Q105/$B$15)</f>
        <v>0.432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121.167609003349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74.794820372438</v>
      </c>
      <c r="Z105" s="18" t="n">
        <f aca="false">IF(D105="","",MAX(0,IF(P105&gt;=0,P105,IF(K105+P105&gt;=0,0,P105+K105))))</f>
        <v>121.167609003349</v>
      </c>
      <c r="AA105" s="18" t="n">
        <f aca="false">IF(D105="","",IF(H105&lt;=$B$16,1,IF(H105&gt;=$B$17,$B$21,MATCH(H105,Aux_CAV!$A$2:$A$121,1))))</f>
        <v>22</v>
      </c>
      <c r="AB105" s="18" t="n">
        <f aca="false">IF(D105="","",IF(L105&lt;=$B$16,1,IF(L105&gt;=$B$17,$B$21,MATCH(L105,Aux_CAV!$A$2:$A$121,1))))</f>
        <v>22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0.337085074820523</v>
      </c>
      <c r="E106" s="16" t="n">
        <f aca="false">IF(D106="","",D106*$B$15)</f>
        <v>0.873724513934796</v>
      </c>
      <c r="F106" s="16" t="n">
        <f aca="false" t="array" ref="F106:F106">IF(D106="","",IFERROR(INDEX(Dados_Evap!$C$2:$N$15,MATCH($B$9,Dados_Evap!$A$2:$A$15,0),C106),0))</f>
        <v>241.3</v>
      </c>
      <c r="G106" s="16" t="n">
        <f aca="false">IF(F106="","",F106/1000)</f>
        <v>0.2413</v>
      </c>
      <c r="H106" s="16" t="n">
        <f aca="false">IF(D106="","",MAX(0,MIN($B$8,IFERROR(LOOKUP(2,1/($U$24:U105&lt;&gt;""),$U$24:U105),$B$11))))</f>
        <v>121.167609003349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12.8101256859073</v>
      </c>
      <c r="J106" s="16" t="n">
        <f aca="false">IF(D106="","",$B$12)</f>
        <v>0.432</v>
      </c>
      <c r="K106" s="16" t="n">
        <f aca="false">IF(J106="","",J106*$B$15)</f>
        <v>1.119744</v>
      </c>
      <c r="L106" s="16" t="n">
        <f aca="false">IF(D106="","",H106+E106-K106-G106*I106)</f>
        <v>117.830506189275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12.5671620240374</v>
      </c>
      <c r="N106" s="16" t="n">
        <f aca="false">IF(D106="","",(I106+M106)/2)</f>
        <v>12.6886438549723</v>
      </c>
      <c r="O106" s="16" t="n">
        <f aca="false">IF(D106="","",G106*N106)</f>
        <v>3.06176976220482</v>
      </c>
      <c r="P106" s="16" t="n">
        <f aca="false">IF(D106="","",H106+E106-K106-O106)</f>
        <v>117.859819755079</v>
      </c>
      <c r="Q106" s="16" t="n">
        <f aca="false">IF(D106="","",IF(P106&gt;=0,K106,MAX(0,K106+P106)))</f>
        <v>1.119744</v>
      </c>
      <c r="R106" s="16" t="n">
        <f aca="false">IF(D106="","",Q106/$B$15)</f>
        <v>0.432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117.859819755079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72.7529751574565</v>
      </c>
      <c r="Z106" s="18" t="n">
        <f aca="false">IF(D106="","",MAX(0,IF(P106&gt;=0,P106,IF(K106+P106&gt;=0,0,P106+K106))))</f>
        <v>117.859819755079</v>
      </c>
      <c r="AA106" s="18" t="n">
        <f aca="false">IF(D106="","",IF(H106&lt;=$B$16,1,IF(H106&gt;=$B$17,$B$21,MATCH(H106,Aux_CAV!$A$2:$A$121,1))))</f>
        <v>22</v>
      </c>
      <c r="AB106" s="18" t="n">
        <f aca="false">IF(D106="","",IF(L106&lt;=$B$16,1,IF(L106&gt;=$B$17,$B$21,MATCH(L106,Aux_CAV!$A$2:$A$121,1))))</f>
        <v>22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0.597088250403989</v>
      </c>
      <c r="E107" s="16" t="n">
        <f aca="false">IF(D107="","",D107*$B$15)</f>
        <v>1.54765274504714</v>
      </c>
      <c r="F107" s="16" t="n">
        <f aca="false" t="array" ref="F107:F107">IF(D107="","",IFERROR(INDEX(Dados_Evap!$C$2:$N$15,MATCH($B$9,Dados_Evap!$A$2:$A$15,0),C107),0))</f>
        <v>241.8</v>
      </c>
      <c r="G107" s="16" t="n">
        <f aca="false">IF(F107="","",F107/1000)</f>
        <v>0.2418</v>
      </c>
      <c r="H107" s="16" t="n">
        <f aca="false">IF(D107="","",MAX(0,MIN($B$8,IFERROR(LOOKUP(2,1/($U$24:U106&lt;&gt;""),$U$24:U106),$B$11))))</f>
        <v>117.859819755079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12.5692962499474</v>
      </c>
      <c r="J107" s="16" t="n">
        <f aca="false">IF(D107="","",$B$12)</f>
        <v>0.432</v>
      </c>
      <c r="K107" s="16" t="n">
        <f aca="false">IF(J107="","",J107*$B$15)</f>
        <v>1.119744</v>
      </c>
      <c r="L107" s="16" t="n">
        <f aca="false">IF(D107="","",H107+E107-K107-G107*I107)</f>
        <v>115.248472666889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12.3791725149867</v>
      </c>
      <c r="N107" s="16" t="n">
        <f aca="false">IF(D107="","",(I107+M107)/2)</f>
        <v>12.4742343824671</v>
      </c>
      <c r="O107" s="16" t="n">
        <f aca="false">IF(D107="","",G107*N107)</f>
        <v>3.01626987368054</v>
      </c>
      <c r="P107" s="16" t="n">
        <f aca="false">IF(D107="","",H107+E107-K107-O107)</f>
        <v>115.271458626446</v>
      </c>
      <c r="Q107" s="16" t="n">
        <f aca="false">IF(D107="","",IF(P107&gt;=0,K107,MAX(0,K107+P107)))</f>
        <v>1.119744</v>
      </c>
      <c r="R107" s="16" t="n">
        <f aca="false">IF(D107="","",Q107/$B$15)</f>
        <v>0.432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115.271458626446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71.1552213743494</v>
      </c>
      <c r="Z107" s="18" t="n">
        <f aca="false">IF(D107="","",MAX(0,IF(P107&gt;=0,P107,IF(K107+P107&gt;=0,0,P107+K107))))</f>
        <v>115.271458626446</v>
      </c>
      <c r="AA107" s="18" t="n">
        <f aca="false">IF(D107="","",IF(H107&lt;=$B$16,1,IF(H107&gt;=$B$17,$B$21,MATCH(H107,Aux_CAV!$A$2:$A$121,1))))</f>
        <v>22</v>
      </c>
      <c r="AB107" s="18" t="n">
        <f aca="false">IF(D107="","",IF(L107&lt;=$B$16,1,IF(L107&gt;=$B$17,$B$21,MATCH(L107,Aux_CAV!$A$2:$A$121,1))))</f>
        <v>22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2.6408341473122</v>
      </c>
      <c r="E108" s="16" t="n">
        <f aca="false">IF(D108="","",D108*$B$15)</f>
        <v>6.84504210983322</v>
      </c>
      <c r="F108" s="16" t="n">
        <f aca="false" t="array" ref="F108:F108">IF(D108="","",IFERROR(INDEX(Dados_Evap!$C$2:$N$15,MATCH($B$9,Dados_Evap!$A$2:$A$15,0),C108),0))</f>
        <v>189</v>
      </c>
      <c r="G108" s="16" t="n">
        <f aca="false">IF(F108="","",F108/1000)</f>
        <v>0.189</v>
      </c>
      <c r="H108" s="16" t="n">
        <f aca="false">IF(D108="","",MAX(0,MIN($B$8,IFERROR(LOOKUP(2,1/($U$24:U107&lt;&gt;""),$U$24:U107),$B$11))))</f>
        <v>115.271458626446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12.3808460483528</v>
      </c>
      <c r="J108" s="16" t="n">
        <f aca="false">IF(D108="","",$B$12)</f>
        <v>0.432</v>
      </c>
      <c r="K108" s="16" t="n">
        <f aca="false">IF(J108="","",J108*$B$15)</f>
        <v>1.119744</v>
      </c>
      <c r="L108" s="16" t="n">
        <f aca="false">IF(D108="","",H108+E108-K108-G108*I108)</f>
        <v>118.656776833141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12.6273201170043</v>
      </c>
      <c r="N108" s="16" t="n">
        <f aca="false">IF(D108="","",(I108+M108)/2)</f>
        <v>12.5040830826785</v>
      </c>
      <c r="O108" s="16" t="n">
        <f aca="false">IF(D108="","",G108*N108)</f>
        <v>2.36327170262624</v>
      </c>
      <c r="P108" s="16" t="n">
        <f aca="false">IF(D108="","",H108+E108-K108-O108)</f>
        <v>118.633485033653</v>
      </c>
      <c r="Q108" s="16" t="n">
        <f aca="false">IF(D108="","",IF(P108&gt;=0,K108,MAX(0,K108+P108)))</f>
        <v>1.119744</v>
      </c>
      <c r="R108" s="16" t="n">
        <f aca="false">IF(D108="","",Q108/$B$15)</f>
        <v>0.432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118.633485033653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73.2305463170698</v>
      </c>
      <c r="Z108" s="18" t="n">
        <f aca="false">IF(D108="","",MAX(0,IF(P108&gt;=0,P108,IF(K108+P108&gt;=0,0,P108+K108))))</f>
        <v>118.633485033653</v>
      </c>
      <c r="AA108" s="18" t="n">
        <f aca="false">IF(D108="","",IF(H108&lt;=$B$16,1,IF(H108&gt;=$B$17,$B$21,MATCH(H108,Aux_CAV!$A$2:$A$121,1))))</f>
        <v>22</v>
      </c>
      <c r="AB108" s="18" t="n">
        <f aca="false">IF(D108="","",IF(L108&lt;=$B$16,1,IF(L108&gt;=$B$17,$B$21,MATCH(L108,Aux_CAV!$A$2:$A$121,1))))</f>
        <v>22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7.81788306268952</v>
      </c>
      <c r="E109" s="16" t="n">
        <f aca="false">IF(D109="","",D109*$B$15)</f>
        <v>20.2639528984912</v>
      </c>
      <c r="F109" s="16" t="n">
        <f aca="false" t="array" ref="F109:F109">IF(D109="","",IFERROR(INDEX(Dados_Evap!$C$2:$N$15,MATCH($B$9,Dados_Evap!$A$2:$A$15,0),C109),0))</f>
        <v>136.9</v>
      </c>
      <c r="G109" s="16" t="n">
        <f aca="false">IF(F109="","",F109/1000)</f>
        <v>0.1369</v>
      </c>
      <c r="H109" s="16" t="n">
        <f aca="false">IF(D109="","",MAX(0,MIN($B$8,IFERROR(LOOKUP(2,1/($U$24:U108&lt;&gt;""),$U$24:U108),$B$11))))</f>
        <v>118.633485033653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12.6256243164221</v>
      </c>
      <c r="J109" s="16" t="n">
        <f aca="false">IF(D109="","",$B$12)</f>
        <v>0.432</v>
      </c>
      <c r="K109" s="16" t="n">
        <f aca="false">IF(J109="","",J109*$B$15)</f>
        <v>1.119744</v>
      </c>
      <c r="L109" s="16" t="n">
        <f aca="false">IF(D109="","",H109+E109-K109-G109*I109)</f>
        <v>136.049245963226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13.8936095375705</v>
      </c>
      <c r="N109" s="16" t="n">
        <f aca="false">IF(D109="","",(I109+M109)/2)</f>
        <v>13.2596169269963</v>
      </c>
      <c r="O109" s="16" t="n">
        <f aca="false">IF(D109="","",G109*N109)</f>
        <v>1.81524155730579</v>
      </c>
      <c r="P109" s="16" t="n">
        <f aca="false">IF(D109="","",H109+E109-K109-O109)</f>
        <v>135.962452374838</v>
      </c>
      <c r="Q109" s="16" t="n">
        <f aca="false">IF(D109="","",IF(P109&gt;=0,K109,MAX(0,K109+P109)))</f>
        <v>1.119744</v>
      </c>
      <c r="R109" s="16" t="n">
        <f aca="false">IF(D109="","",Q109/$B$15)</f>
        <v>0.432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135.962452374838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83.9274397375546</v>
      </c>
      <c r="Z109" s="18" t="n">
        <f aca="false">IF(D109="","",MAX(0,IF(P109&gt;=0,P109,IF(K109+P109&gt;=0,0,P109+K109))))</f>
        <v>135.962452374838</v>
      </c>
      <c r="AA109" s="18" t="n">
        <f aca="false">IF(D109="","",IF(H109&lt;=$B$16,1,IF(H109&gt;=$B$17,$B$21,MATCH(H109,Aux_CAV!$A$2:$A$121,1))))</f>
        <v>22</v>
      </c>
      <c r="AB109" s="18" t="n">
        <f aca="false">IF(D109="","",IF(L109&lt;=$B$16,1,IF(L109&gt;=$B$17,$B$21,MATCH(L109,Aux_CAV!$A$2:$A$121,1))))</f>
        <v>22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19.6107050082218</v>
      </c>
      <c r="E110" s="16" t="n">
        <f aca="false">IF(D110="","",D110*$B$15)</f>
        <v>50.8309473813109</v>
      </c>
      <c r="F110" s="16" t="n">
        <f aca="false" t="array" ref="F110:F110">IF(D110="","",IFERROR(INDEX(Dados_Evap!$C$2:$N$15,MATCH($B$9,Dados_Evap!$A$2:$A$15,0),C110),0))</f>
        <v>102.9</v>
      </c>
      <c r="G110" s="16" t="n">
        <f aca="false">IF(F110="","",F110/1000)</f>
        <v>0.1029</v>
      </c>
      <c r="H110" s="16" t="n">
        <f aca="false">IF(D110="","",MAX(0,MIN($B$8,IFERROR(LOOKUP(2,1/($U$24:U109&lt;&gt;""),$U$24:U109),$B$11))))</f>
        <v>135.962452374838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13.8872903771381</v>
      </c>
      <c r="J110" s="16" t="n">
        <f aca="false">IF(D110="","",$B$12)</f>
        <v>0.432</v>
      </c>
      <c r="K110" s="16" t="n">
        <f aca="false">IF(J110="","",J110*$B$15)</f>
        <v>1.119744</v>
      </c>
      <c r="L110" s="16" t="n">
        <f aca="false">IF(D110="","",H110+E110-K110-G110*I110)</f>
        <v>184.244653576342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17.1134421377088</v>
      </c>
      <c r="N110" s="16" t="n">
        <f aca="false">IF(D110="","",(I110+M110)/2)</f>
        <v>15.5003662574235</v>
      </c>
      <c r="O110" s="16" t="n">
        <f aca="false">IF(D110="","",G110*N110)</f>
        <v>1.59498768788888</v>
      </c>
      <c r="P110" s="16" t="n">
        <f aca="false">IF(D110="","",H110+E110-K110-O110)</f>
        <v>184.078668068261</v>
      </c>
      <c r="Q110" s="16" t="n">
        <f aca="false">IF(D110="","",IF(P110&gt;=0,K110,MAX(0,K110+P110)))</f>
        <v>1.119744</v>
      </c>
      <c r="R110" s="16" t="n">
        <f aca="false">IF(D110="","",Q110/$B$15)</f>
        <v>0.432</v>
      </c>
      <c r="S110" s="16" t="n">
        <f aca="false">IF(D110="","",MAX(0,J110-R110))</f>
        <v>0</v>
      </c>
      <c r="T110" s="16" t="n">
        <f aca="false">IF(D110="","",MAX(0,Z110-$B$8))</f>
        <v>22.0786680682605</v>
      </c>
      <c r="U110" s="16" t="n">
        <f aca="false">IF(D110="","",MAX(0,MIN($B$8,Z110)))</f>
        <v>162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184.078668068261</v>
      </c>
      <c r="AA110" s="18" t="n">
        <f aca="false">IF(D110="","",IF(H110&lt;=$B$16,1,IF(H110&gt;=$B$17,$B$21,MATCH(H110,Aux_CAV!$A$2:$A$121,1))))</f>
        <v>22</v>
      </c>
      <c r="AB110" s="18" t="n">
        <f aca="false">IF(D110="","",IF(L110&lt;=$B$16,1,IF(L110&gt;=$B$17,$B$21,MATCH(L110,Aux_CAV!$A$2:$A$121,1))))</f>
        <v>23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19.8984531954379</v>
      </c>
      <c r="E111" s="16" t="n">
        <f aca="false">IF(D111="","",D111*$B$15)</f>
        <v>51.576790682575</v>
      </c>
      <c r="F111" s="16" t="n">
        <f aca="false" t="array" ref="F111:F111">IF(D111="","",IFERROR(INDEX(Dados_Evap!$C$2:$N$15,MATCH($B$9,Dados_Evap!$A$2:$A$15,0),C111),0))</f>
        <v>81.8</v>
      </c>
      <c r="G111" s="16" t="n">
        <f aca="false">IF(F111="","",F111/1000)</f>
        <v>0.0818</v>
      </c>
      <c r="H111" s="16" t="n">
        <f aca="false">IF(D111="","",MAX(0,MIN($B$8,IFERROR(LOOKUP(2,1/($U$24:U110&lt;&gt;""),$U$24:U110),$B$11))))</f>
        <v>162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15.783</v>
      </c>
      <c r="J111" s="16" t="n">
        <f aca="false">IF(D111="","",$B$12)</f>
        <v>0.432</v>
      </c>
      <c r="K111" s="16" t="n">
        <f aca="false">IF(J111="","",J111*$B$15)</f>
        <v>1.119744</v>
      </c>
      <c r="L111" s="16" t="n">
        <f aca="false">IF(D111="","",H111+E111-K111-G111*I111)</f>
        <v>211.165997282575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18.7235948850912</v>
      </c>
      <c r="N111" s="16" t="n">
        <f aca="false">IF(D111="","",(I111+M111)/2)</f>
        <v>17.2532974425456</v>
      </c>
      <c r="O111" s="16" t="n">
        <f aca="false">IF(D111="","",G111*N111)</f>
        <v>1.41131973080023</v>
      </c>
      <c r="P111" s="16" t="n">
        <f aca="false">IF(D111="","",H111+E111-K111-O111)</f>
        <v>211.045726951775</v>
      </c>
      <c r="Q111" s="16" t="n">
        <f aca="false">IF(D111="","",IF(P111&gt;=0,K111,MAX(0,K111+P111)))</f>
        <v>1.119744</v>
      </c>
      <c r="R111" s="16" t="n">
        <f aca="false">IF(D111="","",Q111/$B$15)</f>
        <v>0.432</v>
      </c>
      <c r="S111" s="16" t="n">
        <f aca="false">IF(D111="","",MAX(0,J111-R111))</f>
        <v>0</v>
      </c>
      <c r="T111" s="16" t="n">
        <f aca="false">IF(D111="","",MAX(0,Z111-$B$8))</f>
        <v>49.0457269517748</v>
      </c>
      <c r="U111" s="16" t="n">
        <f aca="false">IF(D111="","",MAX(0,MIN($B$8,Z111)))</f>
        <v>162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211.045726951775</v>
      </c>
      <c r="AA111" s="18" t="n">
        <f aca="false">IF(D111="","",IF(H111&lt;=$B$16,1,IF(H111&gt;=$B$17,$B$21,MATCH(H111,Aux_CAV!$A$2:$A$121,1))))</f>
        <v>23</v>
      </c>
      <c r="AB111" s="18" t="n">
        <f aca="false">IF(D111="","",IF(L111&lt;=$B$16,1,IF(L111&gt;=$B$17,$B$21,MATCH(L111,Aux_CAV!$A$2:$A$121,1))))</f>
        <v>23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37.0759892396878</v>
      </c>
      <c r="E112" s="16" t="n">
        <f aca="false">IF(D112="","",D112*$B$15)</f>
        <v>96.1009641092708</v>
      </c>
      <c r="F112" s="16" t="n">
        <f aca="false" t="array" ref="F112:F112">IF(D112="","",IFERROR(INDEX(Dados_Evap!$C$2:$N$15,MATCH($B$9,Dados_Evap!$A$2:$A$15,0),C112),0))</f>
        <v>83.6</v>
      </c>
      <c r="G112" s="16" t="n">
        <f aca="false">IF(F112="","",F112/1000)</f>
        <v>0.0836</v>
      </c>
      <c r="H112" s="16" t="n">
        <f aca="false">IF(D112="","",MAX(0,MIN($B$8,IFERROR(LOOKUP(2,1/($U$24:U111&lt;&gt;""),$U$24:U111),$B$11))))</f>
        <v>162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15.783</v>
      </c>
      <c r="J112" s="16" t="n">
        <f aca="false">IF(D112="","",$B$12)</f>
        <v>0.432</v>
      </c>
      <c r="K112" s="16" t="n">
        <f aca="false">IF(J112="","",J112*$B$15)</f>
        <v>1.119744</v>
      </c>
      <c r="L112" s="16" t="n">
        <f aca="false">IF(D112="","",H112+E112-K112-G112*I112)</f>
        <v>255.661761309271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21.3848653430688</v>
      </c>
      <c r="N112" s="16" t="n">
        <f aca="false">IF(D112="","",(I112+M112)/2)</f>
        <v>18.5839326715344</v>
      </c>
      <c r="O112" s="16" t="n">
        <f aca="false">IF(D112="","",G112*N112)</f>
        <v>1.55361677134027</v>
      </c>
      <c r="P112" s="16" t="n">
        <f aca="false">IF(D112="","",H112+E112-K112-O112)</f>
        <v>255.42760333793</v>
      </c>
      <c r="Q112" s="16" t="n">
        <f aca="false">IF(D112="","",IF(P112&gt;=0,K112,MAX(0,K112+P112)))</f>
        <v>1.119744</v>
      </c>
      <c r="R112" s="16" t="n">
        <f aca="false">IF(D112="","",Q112/$B$15)</f>
        <v>0.432</v>
      </c>
      <c r="S112" s="16" t="n">
        <f aca="false">IF(D112="","",MAX(0,J112-R112))</f>
        <v>0</v>
      </c>
      <c r="T112" s="16" t="n">
        <f aca="false">IF(D112="","",MAX(0,Z112-$B$8))</f>
        <v>93.4276033379305</v>
      </c>
      <c r="U112" s="16" t="n">
        <f aca="false">IF(D112="","",MAX(0,MIN($B$8,Z112)))</f>
        <v>162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255.42760333793</v>
      </c>
      <c r="AA112" s="18" t="n">
        <f aca="false">IF(D112="","",IF(H112&lt;=$B$16,1,IF(H112&gt;=$B$17,$B$21,MATCH(H112,Aux_CAV!$A$2:$A$121,1))))</f>
        <v>23</v>
      </c>
      <c r="AB112" s="18" t="n">
        <f aca="false">IF(D112="","",IF(L112&lt;=$B$16,1,IF(L112&gt;=$B$17,$B$21,MATCH(L112,Aux_CAV!$A$2:$A$121,1))))</f>
        <v>23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10.3367211166141</v>
      </c>
      <c r="E113" s="16" t="n">
        <f aca="false">IF(D113="","",D113*$B$15)</f>
        <v>26.7927811342638</v>
      </c>
      <c r="F113" s="16" t="n">
        <f aca="false" t="array" ref="F113:F113">IF(D113="","",IFERROR(INDEX(Dados_Evap!$C$2:$N$15,MATCH($B$9,Dados_Evap!$A$2:$A$15,0),C113),0))</f>
        <v>108.2</v>
      </c>
      <c r="G113" s="16" t="n">
        <f aca="false">IF(F113="","",F113/1000)</f>
        <v>0.1082</v>
      </c>
      <c r="H113" s="16" t="n">
        <f aca="false">IF(D113="","",MAX(0,MIN($B$8,IFERROR(LOOKUP(2,1/($U$24:U112&lt;&gt;""),$U$24:U112),$B$11))))</f>
        <v>162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15.783</v>
      </c>
      <c r="J113" s="16" t="n">
        <f aca="false">IF(D113="","",$B$12)</f>
        <v>0.432</v>
      </c>
      <c r="K113" s="16" t="n">
        <f aca="false">IF(J113="","",J113*$B$15)</f>
        <v>1.119744</v>
      </c>
      <c r="L113" s="16" t="n">
        <f aca="false">IF(D113="","",H113+E113-K113-G113*I113)</f>
        <v>185.965316534264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17.2163541698588</v>
      </c>
      <c r="N113" s="16" t="n">
        <f aca="false">IF(D113="","",(I113+M113)/2)</f>
        <v>16.4996770849294</v>
      </c>
      <c r="O113" s="16" t="n">
        <f aca="false">IF(D113="","",G113*N113)</f>
        <v>1.78526506058936</v>
      </c>
      <c r="P113" s="16" t="n">
        <f aca="false">IF(D113="","",H113+E113-K113-O113)</f>
        <v>185.887772073674</v>
      </c>
      <c r="Q113" s="16" t="n">
        <f aca="false">IF(D113="","",IF(P113&gt;=0,K113,MAX(0,K113+P113)))</f>
        <v>1.119744</v>
      </c>
      <c r="R113" s="16" t="n">
        <f aca="false">IF(D113="","",Q113/$B$15)</f>
        <v>0.432</v>
      </c>
      <c r="S113" s="16" t="n">
        <f aca="false">IF(D113="","",MAX(0,J113-R113))</f>
        <v>0</v>
      </c>
      <c r="T113" s="16" t="n">
        <f aca="false">IF(D113="","",MAX(0,Z113-$B$8))</f>
        <v>23.8877720736744</v>
      </c>
      <c r="U113" s="16" t="n">
        <f aca="false">IF(D113="","",MAX(0,MIN($B$8,Z113)))</f>
        <v>162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185.887772073674</v>
      </c>
      <c r="AA113" s="18" t="n">
        <f aca="false">IF(D113="","",IF(H113&lt;=$B$16,1,IF(H113&gt;=$B$17,$B$21,MATCH(H113,Aux_CAV!$A$2:$A$121,1))))</f>
        <v>23</v>
      </c>
      <c r="AB113" s="18" t="n">
        <f aca="false">IF(D113="","",IF(L113&lt;=$B$16,1,IF(L113&gt;=$B$17,$B$21,MATCH(L113,Aux_CAV!$A$2:$A$121,1))))</f>
        <v>23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2.29235443196121</v>
      </c>
      <c r="E114" s="16" t="n">
        <f aca="false">IF(D114="","",D114*$B$15)</f>
        <v>5.94178268764346</v>
      </c>
      <c r="F114" s="16" t="n">
        <f aca="false" t="array" ref="F114:F114">IF(D114="","",IFERROR(INDEX(Dados_Evap!$C$2:$N$15,MATCH($B$9,Dados_Evap!$A$2:$A$15,0),C114),0))</f>
        <v>149</v>
      </c>
      <c r="G114" s="16" t="n">
        <f aca="false">IF(F114="","",F114/1000)</f>
        <v>0.149</v>
      </c>
      <c r="H114" s="16" t="n">
        <f aca="false">IF(D114="","",MAX(0,MIN($B$8,IFERROR(LOOKUP(2,1/($U$24:U113&lt;&gt;""),$U$24:U113),$B$11))))</f>
        <v>162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15.783</v>
      </c>
      <c r="J114" s="16" t="n">
        <f aca="false">IF(D114="","",$B$12)</f>
        <v>0.432</v>
      </c>
      <c r="K114" s="16" t="n">
        <f aca="false">IF(J114="","",J114*$B$15)</f>
        <v>1.119744</v>
      </c>
      <c r="L114" s="16" t="n">
        <f aca="false">IF(D114="","",H114+E114-K114-G114*I114)</f>
        <v>164.470371687643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15.9307517542705</v>
      </c>
      <c r="N114" s="16" t="n">
        <f aca="false">IF(D114="","",(I114+M114)/2)</f>
        <v>15.8568758771352</v>
      </c>
      <c r="O114" s="16" t="n">
        <f aca="false">IF(D114="","",G114*N114)</f>
        <v>2.36267450569315</v>
      </c>
      <c r="P114" s="16" t="n">
        <f aca="false">IF(D114="","",H114+E114-K114-O114)</f>
        <v>164.45936418195</v>
      </c>
      <c r="Q114" s="16" t="n">
        <f aca="false">IF(D114="","",IF(P114&gt;=0,K114,MAX(0,K114+P114)))</f>
        <v>1.119744</v>
      </c>
      <c r="R114" s="16" t="n">
        <f aca="false">IF(D114="","",Q114/$B$15)</f>
        <v>0.432</v>
      </c>
      <c r="S114" s="16" t="n">
        <f aca="false">IF(D114="","",MAX(0,J114-R114))</f>
        <v>0</v>
      </c>
      <c r="T114" s="16" t="n">
        <f aca="false">IF(D114="","",MAX(0,Z114-$B$8))</f>
        <v>2.45936418195032</v>
      </c>
      <c r="U114" s="16" t="n">
        <f aca="false">IF(D114="","",MAX(0,MIN($B$8,Z114)))</f>
        <v>162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100</v>
      </c>
      <c r="Z114" s="18" t="n">
        <f aca="false">IF(D114="","",MAX(0,IF(P114&gt;=0,P114,IF(K114+P114&gt;=0,0,P114+K114))))</f>
        <v>164.45936418195</v>
      </c>
      <c r="AA114" s="18" t="n">
        <f aca="false">IF(D114="","",IF(H114&lt;=$B$16,1,IF(H114&gt;=$B$17,$B$21,MATCH(H114,Aux_CAV!$A$2:$A$121,1))))</f>
        <v>23</v>
      </c>
      <c r="AB114" s="18" t="n">
        <f aca="false">IF(D114="","",IF(L114&lt;=$B$16,1,IF(L114&gt;=$B$17,$B$21,MATCH(L114,Aux_CAV!$A$2:$A$121,1))))</f>
        <v>23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1.25287240260625</v>
      </c>
      <c r="E115" s="16" t="n">
        <f aca="false">IF(D115="","",D115*$B$15)</f>
        <v>3.2474452675554</v>
      </c>
      <c r="F115" s="16" t="n">
        <f aca="false" t="array" ref="F115:F115">IF(D115="","",IFERROR(INDEX(Dados_Evap!$C$2:$N$15,MATCH($B$9,Dados_Evap!$A$2:$A$15,0),C115),0))</f>
        <v>206.8</v>
      </c>
      <c r="G115" s="16" t="n">
        <f aca="false">IF(F115="","",F115/1000)</f>
        <v>0.2068</v>
      </c>
      <c r="H115" s="16" t="n">
        <f aca="false">IF(D115="","",MAX(0,MIN($B$8,IFERROR(LOOKUP(2,1/($U$24:U114&lt;&gt;""),$U$24:U114),$B$11))))</f>
        <v>162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15.783</v>
      </c>
      <c r="J115" s="16" t="n">
        <f aca="false">IF(D115="","",$B$12)</f>
        <v>0.432</v>
      </c>
      <c r="K115" s="16" t="n">
        <f aca="false">IF(J115="","",J115*$B$15)</f>
        <v>1.119744</v>
      </c>
      <c r="L115" s="16" t="n">
        <f aca="false">IF(D115="","",H115+E115-K115-G115*I115)</f>
        <v>160.863776867555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15.7002752688962</v>
      </c>
      <c r="N115" s="16" t="n">
        <f aca="false">IF(D115="","",(I115+M115)/2)</f>
        <v>15.7416376344481</v>
      </c>
      <c r="O115" s="16" t="n">
        <f aca="false">IF(D115="","",G115*N115)</f>
        <v>3.25537066280387</v>
      </c>
      <c r="P115" s="16" t="n">
        <f aca="false">IF(D115="","",H115+E115-K115-O115)</f>
        <v>160.872330604752</v>
      </c>
      <c r="Q115" s="16" t="n">
        <f aca="false">IF(D115="","",IF(P115&gt;=0,K115,MAX(0,K115+P115)))</f>
        <v>1.119744</v>
      </c>
      <c r="R115" s="16" t="n">
        <f aca="false">IF(D115="","",Q115/$B$15)</f>
        <v>0.432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160.872330604752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99.3039077807108</v>
      </c>
      <c r="Z115" s="18" t="n">
        <f aca="false">IF(D115="","",MAX(0,IF(P115&gt;=0,P115,IF(K115+P115&gt;=0,0,P115+K115))))</f>
        <v>160.872330604752</v>
      </c>
      <c r="AA115" s="18" t="n">
        <f aca="false">IF(D115="","",IF(H115&lt;=$B$16,1,IF(H115&gt;=$B$17,$B$21,MATCH(H115,Aux_CAV!$A$2:$A$121,1))))</f>
        <v>23</v>
      </c>
      <c r="AB115" s="18" t="n">
        <f aca="false">IF(D115="","",IF(L115&lt;=$B$16,1,IF(L115&gt;=$B$17,$B$21,MATCH(L115,Aux_CAV!$A$2:$A$121,1))))</f>
        <v>22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1.4718930899328</v>
      </c>
      <c r="E116" s="16" t="n">
        <f aca="false">IF(D116="","",D116*$B$15)</f>
        <v>3.81514688910582</v>
      </c>
      <c r="F116" s="16" t="n">
        <f aca="false" t="array" ref="F116:F116">IF(D116="","",IFERROR(INDEX(Dados_Evap!$C$2:$N$15,MATCH($B$9,Dados_Evap!$A$2:$A$15,0),C116),0))</f>
        <v>245.9</v>
      </c>
      <c r="G116" s="16" t="n">
        <f aca="false">IF(F116="","",F116/1000)</f>
        <v>0.2459</v>
      </c>
      <c r="H116" s="16" t="n">
        <f aca="false">IF(D116="","",MAX(0,MIN($B$8,IFERROR(LOOKUP(2,1/($U$24:U115&lt;&gt;""),$U$24:U115),$B$11))))</f>
        <v>160.872330604752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15.700898038834</v>
      </c>
      <c r="J116" s="16" t="n">
        <f aca="false">IF(D116="","",$B$12)</f>
        <v>0.432</v>
      </c>
      <c r="K116" s="16" t="n">
        <f aca="false">IF(J116="","",J116*$B$15)</f>
        <v>1.119744</v>
      </c>
      <c r="L116" s="16" t="n">
        <f aca="false">IF(D116="","",H116+E116-K116-G116*I116)</f>
        <v>159.706882666108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15.6160455441199</v>
      </c>
      <c r="N116" s="16" t="n">
        <f aca="false">IF(D116="","",(I116+M116)/2)</f>
        <v>15.658471791477</v>
      </c>
      <c r="O116" s="16" t="n">
        <f aca="false">IF(D116="","",G116*N116)</f>
        <v>3.85041821352418</v>
      </c>
      <c r="P116" s="16" t="n">
        <f aca="false">IF(D116="","",H116+E116-K116-O116)</f>
        <v>159.717315280333</v>
      </c>
      <c r="Q116" s="16" t="n">
        <f aca="false">IF(D116="","",IF(P116&gt;=0,K116,MAX(0,K116+P116)))</f>
        <v>1.119744</v>
      </c>
      <c r="R116" s="16" t="n">
        <f aca="false">IF(D116="","",Q116/$B$15)</f>
        <v>0.432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159.717315280333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98.5909353582304</v>
      </c>
      <c r="Z116" s="18" t="n">
        <f aca="false">IF(D116="","",MAX(0,IF(P116&gt;=0,P116,IF(K116+P116&gt;=0,0,P116+K116))))</f>
        <v>159.717315280333</v>
      </c>
      <c r="AA116" s="18" t="n">
        <f aca="false">IF(D116="","",IF(H116&lt;=$B$16,1,IF(H116&gt;=$B$17,$B$21,MATCH(H116,Aux_CAV!$A$2:$A$121,1))))</f>
        <v>22</v>
      </c>
      <c r="AB116" s="18" t="n">
        <f aca="false">IF(D116="","",IF(L116&lt;=$B$16,1,IF(L116&gt;=$B$17,$B$21,MATCH(L116,Aux_CAV!$A$2:$A$121,1))))</f>
        <v>22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0.875409998942901</v>
      </c>
      <c r="E117" s="16" t="n">
        <f aca="false">IF(D117="","",D117*$B$15)</f>
        <v>2.26906271726</v>
      </c>
      <c r="F117" s="16" t="n">
        <f aca="false" t="array" ref="F117:F117">IF(D117="","",IFERROR(INDEX(Dados_Evap!$C$2:$N$15,MATCH($B$9,Dados_Evap!$A$2:$A$15,0),C117),0))</f>
        <v>282.3</v>
      </c>
      <c r="G117" s="16" t="n">
        <f aca="false">IF(F117="","",F117/1000)</f>
        <v>0.2823</v>
      </c>
      <c r="H117" s="16" t="n">
        <f aca="false">IF(D117="","",MAX(0,MIN($B$8,IFERROR(LOOKUP(2,1/($U$24:U116&lt;&gt;""),$U$24:U116),$B$11))))</f>
        <v>159.717315280333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15.6168051090169</v>
      </c>
      <c r="J117" s="16" t="n">
        <f aca="false">IF(D117="","",$B$12)</f>
        <v>0.432</v>
      </c>
      <c r="K117" s="16" t="n">
        <f aca="false">IF(J117="","",J117*$B$15)</f>
        <v>1.119744</v>
      </c>
      <c r="L117" s="16" t="n">
        <f aca="false">IF(D117="","",H117+E117-K117-G117*I117)</f>
        <v>156.458009915318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15.3795056277733</v>
      </c>
      <c r="N117" s="16" t="n">
        <f aca="false">IF(D117="","",(I117+M117)/2)</f>
        <v>15.4981553683951</v>
      </c>
      <c r="O117" s="16" t="n">
        <f aca="false">IF(D117="","",G117*N117)</f>
        <v>4.37512926049793</v>
      </c>
      <c r="P117" s="16" t="n">
        <f aca="false">IF(D117="","",H117+E117-K117-O117)</f>
        <v>156.491504737095</v>
      </c>
      <c r="Q117" s="16" t="n">
        <f aca="false">IF(D117="","",IF(P117&gt;=0,K117,MAX(0,K117+P117)))</f>
        <v>1.119744</v>
      </c>
      <c r="R117" s="16" t="n">
        <f aca="false">IF(D117="","",Q117/$B$15)</f>
        <v>0.432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156.491504737095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96.5996942821575</v>
      </c>
      <c r="Z117" s="18" t="n">
        <f aca="false">IF(D117="","",MAX(0,IF(P117&gt;=0,P117,IF(K117+P117&gt;=0,0,P117+K117))))</f>
        <v>156.491504737095</v>
      </c>
      <c r="AA117" s="18" t="n">
        <f aca="false">IF(D117="","",IF(H117&lt;=$B$16,1,IF(H117&gt;=$B$17,$B$21,MATCH(H117,Aux_CAV!$A$2:$A$121,1))))</f>
        <v>22</v>
      </c>
      <c r="AB117" s="18" t="n">
        <f aca="false">IF(D117="","",IF(L117&lt;=$B$16,1,IF(L117&gt;=$B$17,$B$21,MATCH(L117,Aux_CAV!$A$2:$A$121,1))))</f>
        <v>22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1.53284986162845</v>
      </c>
      <c r="E118" s="16" t="n">
        <f aca="false">IF(D118="","",D118*$B$15)</f>
        <v>3.97314684134094</v>
      </c>
      <c r="F118" s="16" t="n">
        <f aca="false" t="array" ref="F118:F118">IF(D118="","",IFERROR(INDEX(Dados_Evap!$C$2:$N$15,MATCH($B$9,Dados_Evap!$A$2:$A$15,0),C118),0))</f>
        <v>241.3</v>
      </c>
      <c r="G118" s="16" t="n">
        <f aca="false">IF(F118="","",F118/1000)</f>
        <v>0.2413</v>
      </c>
      <c r="H118" s="16" t="n">
        <f aca="false">IF(D118="","",MAX(0,MIN($B$8,IFERROR(LOOKUP(2,1/($U$24:U117&lt;&gt;""),$U$24:U117),$B$11))))</f>
        <v>156.491504737095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15.3819442774063</v>
      </c>
      <c r="J118" s="16" t="n">
        <f aca="false">IF(D118="","",$B$12)</f>
        <v>0.432</v>
      </c>
      <c r="K118" s="16" t="n">
        <f aca="false">IF(J118="","",J118*$B$15)</f>
        <v>1.119744</v>
      </c>
      <c r="L118" s="16" t="n">
        <f aca="false">IF(D118="","",H118+E118-K118-G118*I118)</f>
        <v>155.633244424298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15.3194571201166</v>
      </c>
      <c r="N118" s="16" t="n">
        <f aca="false">IF(D118="","",(I118+M118)/2)</f>
        <v>15.3507006987615</v>
      </c>
      <c r="O118" s="16" t="n">
        <f aca="false">IF(D118="","",G118*N118)</f>
        <v>3.70412407861114</v>
      </c>
      <c r="P118" s="16" t="n">
        <f aca="false">IF(D118="","",H118+E118-K118-O118)</f>
        <v>155.640783499825</v>
      </c>
      <c r="Q118" s="16" t="n">
        <f aca="false">IF(D118="","",IF(P118&gt;=0,K118,MAX(0,K118+P118)))</f>
        <v>1.119744</v>
      </c>
      <c r="R118" s="16" t="n">
        <f aca="false">IF(D118="","",Q118/$B$15)</f>
        <v>0.432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155.640783499825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96.0745577159414</v>
      </c>
      <c r="Z118" s="18" t="n">
        <f aca="false">IF(D118="","",MAX(0,IF(P118&gt;=0,P118,IF(K118+P118&gt;=0,0,P118+K118))))</f>
        <v>155.640783499825</v>
      </c>
      <c r="AA118" s="18" t="n">
        <f aca="false">IF(D118="","",IF(H118&lt;=$B$16,1,IF(H118&gt;=$B$17,$B$21,MATCH(H118,Aux_CAV!$A$2:$A$121,1))))</f>
        <v>22</v>
      </c>
      <c r="AB118" s="18" t="n">
        <f aca="false">IF(D118="","",IF(L118&lt;=$B$16,1,IF(L118&gt;=$B$17,$B$21,MATCH(L118,Aux_CAV!$A$2:$A$121,1))))</f>
        <v>22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1.26992423971596</v>
      </c>
      <c r="E119" s="16" t="n">
        <f aca="false">IF(D119="","",D119*$B$15)</f>
        <v>3.29164362934377</v>
      </c>
      <c r="F119" s="16" t="n">
        <f aca="false" t="array" ref="F119:F119">IF(D119="","",IFERROR(INDEX(Dados_Evap!$C$2:$N$15,MATCH($B$9,Dados_Evap!$A$2:$A$15,0),C119),0))</f>
        <v>241.8</v>
      </c>
      <c r="G119" s="16" t="n">
        <f aca="false">IF(F119="","",F119/1000)</f>
        <v>0.2418</v>
      </c>
      <c r="H119" s="16" t="n">
        <f aca="false">IF(D119="","",MAX(0,MIN($B$8,IFERROR(LOOKUP(2,1/($U$24:U118&lt;&gt;""),$U$24:U118),$B$11))))</f>
        <v>155.640783499825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15.3200060158202</v>
      </c>
      <c r="J119" s="16" t="n">
        <f aca="false">IF(D119="","",$B$12)</f>
        <v>0.432</v>
      </c>
      <c r="K119" s="16" t="n">
        <f aca="false">IF(J119="","",J119*$B$15)</f>
        <v>1.119744</v>
      </c>
      <c r="L119" s="16" t="n">
        <f aca="false">IF(D119="","",H119+E119-K119-G119*I119)</f>
        <v>154.108305674544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15.2084312622363</v>
      </c>
      <c r="N119" s="16" t="n">
        <f aca="false">IF(D119="","",(I119+M119)/2)</f>
        <v>15.2642186390283</v>
      </c>
      <c r="O119" s="16" t="n">
        <f aca="false">IF(D119="","",G119*N119)</f>
        <v>3.69088806691703</v>
      </c>
      <c r="P119" s="16" t="n">
        <f aca="false">IF(D119="","",H119+E119-K119-O119)</f>
        <v>154.121795062252</v>
      </c>
      <c r="Q119" s="16" t="n">
        <f aca="false">IF(D119="","",IF(P119&gt;=0,K119,MAX(0,K119+P119)))</f>
        <v>1.119744</v>
      </c>
      <c r="R119" s="16" t="n">
        <f aca="false">IF(D119="","",Q119/$B$15)</f>
        <v>0.432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154.121795062252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95.1369105322542</v>
      </c>
      <c r="Z119" s="18" t="n">
        <f aca="false">IF(D119="","",MAX(0,IF(P119&gt;=0,P119,IF(K119+P119&gt;=0,0,P119+K119))))</f>
        <v>154.121795062252</v>
      </c>
      <c r="AA119" s="18" t="n">
        <f aca="false">IF(D119="","",IF(H119&lt;=$B$16,1,IF(H119&gt;=$B$17,$B$21,MATCH(H119,Aux_CAV!$A$2:$A$121,1))))</f>
        <v>22</v>
      </c>
      <c r="AB119" s="18" t="n">
        <f aca="false">IF(D119="","",IF(L119&lt;=$B$16,1,IF(L119&gt;=$B$17,$B$21,MATCH(L119,Aux_CAV!$A$2:$A$121,1))))</f>
        <v>22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1.66797958835732</v>
      </c>
      <c r="E120" s="16" t="n">
        <f aca="false">IF(D120="","",D120*$B$15)</f>
        <v>4.32340309302217</v>
      </c>
      <c r="F120" s="16" t="n">
        <f aca="false" t="array" ref="F120:F120">IF(D120="","",IFERROR(INDEX(Dados_Evap!$C$2:$N$15,MATCH($B$9,Dados_Evap!$A$2:$A$15,0),C120),0))</f>
        <v>189</v>
      </c>
      <c r="G120" s="16" t="n">
        <f aca="false">IF(F120="","",F120/1000)</f>
        <v>0.189</v>
      </c>
      <c r="H120" s="16" t="n">
        <f aca="false">IF(D120="","",MAX(0,MIN($B$8,IFERROR(LOOKUP(2,1/($U$24:U119&lt;&gt;""),$U$24:U119),$B$11))))</f>
        <v>154.121795062252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15.2094133809232</v>
      </c>
      <c r="J120" s="16" t="n">
        <f aca="false">IF(D120="","",$B$12)</f>
        <v>0.432</v>
      </c>
      <c r="K120" s="16" t="n">
        <f aca="false">IF(J120="","",J120*$B$15)</f>
        <v>1.119744</v>
      </c>
      <c r="L120" s="16" t="n">
        <f aca="false">IF(D120="","",H120+E120-K120-G120*I120)</f>
        <v>154.450875026279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15.2333726286788</v>
      </c>
      <c r="N120" s="16" t="n">
        <f aca="false">IF(D120="","",(I120+M120)/2)</f>
        <v>15.221393004801</v>
      </c>
      <c r="O120" s="16" t="n">
        <f aca="false">IF(D120="","",G120*N120)</f>
        <v>2.87684327790739</v>
      </c>
      <c r="P120" s="16" t="n">
        <f aca="false">IF(D120="","",H120+E120-K120-O120)</f>
        <v>154.448610877367</v>
      </c>
      <c r="Q120" s="16" t="n">
        <f aca="false">IF(D120="","",IF(P120&gt;=0,K120,MAX(0,K120+P120)))</f>
        <v>1.119744</v>
      </c>
      <c r="R120" s="16" t="n">
        <f aca="false">IF(D120="","",Q120/$B$15)</f>
        <v>0.432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154.448610877367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95.3386486897324</v>
      </c>
      <c r="Z120" s="18" t="n">
        <f aca="false">IF(D120="","",MAX(0,IF(P120&gt;=0,P120,IF(K120+P120&gt;=0,0,P120+K120))))</f>
        <v>154.448610877367</v>
      </c>
      <c r="AA120" s="18" t="n">
        <f aca="false">IF(D120="","",IF(H120&lt;=$B$16,1,IF(H120&gt;=$B$17,$B$21,MATCH(H120,Aux_CAV!$A$2:$A$121,1))))</f>
        <v>22</v>
      </c>
      <c r="AB120" s="18" t="n">
        <f aca="false">IF(D120="","",IF(L120&lt;=$B$16,1,IF(L120&gt;=$B$17,$B$21,MATCH(L120,Aux_CAV!$A$2:$A$121,1))))</f>
        <v>22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2.87917271047924</v>
      </c>
      <c r="E121" s="16" t="n">
        <f aca="false">IF(D121="","",D121*$B$15)</f>
        <v>7.46281566556219</v>
      </c>
      <c r="F121" s="16" t="n">
        <f aca="false" t="array" ref="F121:F121">IF(D121="","",IFERROR(INDEX(Dados_Evap!$C$2:$N$15,MATCH($B$9,Dados_Evap!$A$2:$A$15,0),C121),0))</f>
        <v>136.9</v>
      </c>
      <c r="G121" s="16" t="n">
        <f aca="false">IF(F121="","",F121/1000)</f>
        <v>0.1369</v>
      </c>
      <c r="H121" s="16" t="n">
        <f aca="false">IF(D121="","",MAX(0,MIN($B$8,IFERROR(LOOKUP(2,1/($U$24:U120&lt;&gt;""),$U$24:U120),$B$11))))</f>
        <v>154.448610877367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15.2332077833199</v>
      </c>
      <c r="J121" s="16" t="n">
        <f aca="false">IF(D121="","",$B$12)</f>
        <v>0.432</v>
      </c>
      <c r="K121" s="16" t="n">
        <f aca="false">IF(J121="","",J121*$B$15)</f>
        <v>1.119744</v>
      </c>
      <c r="L121" s="16" t="n">
        <f aca="false">IF(D121="","",H121+E121-K121-G121*I121)</f>
        <v>158.706256397392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15.5431931820695</v>
      </c>
      <c r="N121" s="16" t="n">
        <f aca="false">IF(D121="","",(I121+M121)/2)</f>
        <v>15.3882004826947</v>
      </c>
      <c r="O121" s="16" t="n">
        <f aca="false">IF(D121="","",G121*N121)</f>
        <v>2.10664464608091</v>
      </c>
      <c r="P121" s="16" t="n">
        <f aca="false">IF(D121="","",H121+E121-K121-O121)</f>
        <v>158.685037896848</v>
      </c>
      <c r="Q121" s="16" t="n">
        <f aca="false">IF(D121="","",IF(P121&gt;=0,K121,MAX(0,K121+P121)))</f>
        <v>1.119744</v>
      </c>
      <c r="R121" s="16" t="n">
        <f aca="false">IF(D121="","",Q121/$B$15)</f>
        <v>0.432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158.685037896848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97.9537270968197</v>
      </c>
      <c r="Z121" s="18" t="n">
        <f aca="false">IF(D121="","",MAX(0,IF(P121&gt;=0,P121,IF(K121+P121&gt;=0,0,P121+K121))))</f>
        <v>158.685037896848</v>
      </c>
      <c r="AA121" s="18" t="n">
        <f aca="false">IF(D121="","",IF(H121&lt;=$B$16,1,IF(H121&gt;=$B$17,$B$21,MATCH(H121,Aux_CAV!$A$2:$A$121,1))))</f>
        <v>22</v>
      </c>
      <c r="AB121" s="18" t="n">
        <f aca="false">IF(D121="","",IF(L121&lt;=$B$16,1,IF(L121&gt;=$B$17,$B$21,MATCH(L121,Aux_CAV!$A$2:$A$121,1))))</f>
        <v>22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5.06083214896496</v>
      </c>
      <c r="E122" s="16" t="n">
        <f aca="false">IF(D122="","",D122*$B$15)</f>
        <v>13.1176769301172</v>
      </c>
      <c r="F122" s="16" t="n">
        <f aca="false" t="array" ref="F122:F122">IF(D122="","",IFERROR(INDEX(Dados_Evap!$C$2:$N$15,MATCH($B$9,Dados_Evap!$A$2:$A$15,0),C122),0))</f>
        <v>102.9</v>
      </c>
      <c r="G122" s="16" t="n">
        <f aca="false">IF(F122="","",F122/1000)</f>
        <v>0.1029</v>
      </c>
      <c r="H122" s="16" t="n">
        <f aca="false">IF(D122="","",MAX(0,MIN($B$8,IFERROR(LOOKUP(2,1/($U$24:U121&lt;&gt;""),$U$24:U121),$B$11))))</f>
        <v>158.685037896848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15.5416483316772</v>
      </c>
      <c r="J122" s="16" t="n">
        <f aca="false">IF(D122="","",$B$12)</f>
        <v>0.432</v>
      </c>
      <c r="K122" s="16" t="n">
        <f aca="false">IF(J122="","",J122*$B$15)</f>
        <v>1.119744</v>
      </c>
      <c r="L122" s="16" t="n">
        <f aca="false">IF(D122="","",H122+E122-K122-G122*I122)</f>
        <v>169.083735213635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16.2066748299203</v>
      </c>
      <c r="N122" s="16" t="n">
        <f aca="false">IF(D122="","",(I122+M122)/2)</f>
        <v>15.8741615807987</v>
      </c>
      <c r="O122" s="16" t="n">
        <f aca="false">IF(D122="","",G122*N122)</f>
        <v>1.63345122666419</v>
      </c>
      <c r="P122" s="16" t="n">
        <f aca="false">IF(D122="","",H122+E122-K122-O122)</f>
        <v>169.049519600301</v>
      </c>
      <c r="Q122" s="16" t="n">
        <f aca="false">IF(D122="","",IF(P122&gt;=0,K122,MAX(0,K122+P122)))</f>
        <v>1.119744</v>
      </c>
      <c r="R122" s="16" t="n">
        <f aca="false">IF(D122="","",Q122/$B$15)</f>
        <v>0.432</v>
      </c>
      <c r="S122" s="16" t="n">
        <f aca="false">IF(D122="","",MAX(0,J122-R122))</f>
        <v>0</v>
      </c>
      <c r="T122" s="16" t="n">
        <f aca="false">IF(D122="","",MAX(0,Z122-$B$8))</f>
        <v>7.04951960030084</v>
      </c>
      <c r="U122" s="16" t="n">
        <f aca="false">IF(D122="","",MAX(0,MIN($B$8,Z122)))</f>
        <v>162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169.049519600301</v>
      </c>
      <c r="AA122" s="18" t="n">
        <f aca="false">IF(D122="","",IF(H122&lt;=$B$16,1,IF(H122&gt;=$B$17,$B$21,MATCH(H122,Aux_CAV!$A$2:$A$121,1))))</f>
        <v>22</v>
      </c>
      <c r="AB122" s="18" t="n">
        <f aca="false">IF(D122="","",IF(L122&lt;=$B$16,1,IF(L122&gt;=$B$17,$B$21,MATCH(L122,Aux_CAV!$A$2:$A$121,1))))</f>
        <v>23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6.96928395640389</v>
      </c>
      <c r="E123" s="16" t="n">
        <f aca="false">IF(D123="","",D123*$B$15)</f>
        <v>18.0643840149989</v>
      </c>
      <c r="F123" s="16" t="n">
        <f aca="false" t="array" ref="F123:F123">IF(D123="","",IFERROR(INDEX(Dados_Evap!$C$2:$N$15,MATCH($B$9,Dados_Evap!$A$2:$A$15,0),C123),0))</f>
        <v>81.8</v>
      </c>
      <c r="G123" s="16" t="n">
        <f aca="false">IF(F123="","",F123/1000)</f>
        <v>0.0818</v>
      </c>
      <c r="H123" s="16" t="n">
        <f aca="false">IF(D123="","",MAX(0,MIN($B$8,IFERROR(LOOKUP(2,1/($U$24:U122&lt;&gt;""),$U$24:U122),$B$11))))</f>
        <v>162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15.783</v>
      </c>
      <c r="J123" s="16" t="n">
        <f aca="false">IF(D123="","",$B$12)</f>
        <v>0.432</v>
      </c>
      <c r="K123" s="16" t="n">
        <f aca="false">IF(J123="","",J123*$B$15)</f>
        <v>1.119744</v>
      </c>
      <c r="L123" s="16" t="n">
        <f aca="false">IF(D123="","",H123+E123-K123-G123*I123)</f>
        <v>177.653590614999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16.7192338005923</v>
      </c>
      <c r="N123" s="16" t="n">
        <f aca="false">IF(D123="","",(I123+M123)/2)</f>
        <v>16.2511169002962</v>
      </c>
      <c r="O123" s="16" t="n">
        <f aca="false">IF(D123="","",G123*N123)</f>
        <v>1.32934136244423</v>
      </c>
      <c r="P123" s="16" t="n">
        <f aca="false">IF(D123="","",H123+E123-K123-O123)</f>
        <v>177.615298652555</v>
      </c>
      <c r="Q123" s="16" t="n">
        <f aca="false">IF(D123="","",IF(P123&gt;=0,K123,MAX(0,K123+P123)))</f>
        <v>1.119744</v>
      </c>
      <c r="R123" s="16" t="n">
        <f aca="false">IF(D123="","",Q123/$B$15)</f>
        <v>0.432</v>
      </c>
      <c r="S123" s="16" t="n">
        <f aca="false">IF(D123="","",MAX(0,J123-R123))</f>
        <v>0</v>
      </c>
      <c r="T123" s="16" t="n">
        <f aca="false">IF(D123="","",MAX(0,Z123-$B$8))</f>
        <v>15.6152986525547</v>
      </c>
      <c r="U123" s="16" t="n">
        <f aca="false">IF(D123="","",MAX(0,MIN($B$8,Z123)))</f>
        <v>162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177.615298652555</v>
      </c>
      <c r="AA123" s="18" t="n">
        <f aca="false">IF(D123="","",IF(H123&lt;=$B$16,1,IF(H123&gt;=$B$17,$B$21,MATCH(H123,Aux_CAV!$A$2:$A$121,1))))</f>
        <v>23</v>
      </c>
      <c r="AB123" s="18" t="n">
        <f aca="false">IF(D123="","",IF(L123&lt;=$B$16,1,IF(L123&gt;=$B$17,$B$21,MATCH(L123,Aux_CAV!$A$2:$A$121,1))))</f>
        <v>23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6.63544274555092</v>
      </c>
      <c r="E124" s="16" t="n">
        <f aca="false">IF(D124="","",D124*$B$15)</f>
        <v>17.199067596468</v>
      </c>
      <c r="F124" s="16" t="n">
        <f aca="false" t="array" ref="F124:F124">IF(D124="","",IFERROR(INDEX(Dados_Evap!$C$2:$N$15,MATCH($B$9,Dados_Evap!$A$2:$A$15,0),C124),0))</f>
        <v>83.6</v>
      </c>
      <c r="G124" s="16" t="n">
        <f aca="false">IF(F124="","",F124/1000)</f>
        <v>0.0836</v>
      </c>
      <c r="H124" s="16" t="n">
        <f aca="false">IF(D124="","",MAX(0,MIN($B$8,IFERROR(LOOKUP(2,1/($U$24:U123&lt;&gt;""),$U$24:U123),$B$11))))</f>
        <v>162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15.783</v>
      </c>
      <c r="J124" s="16" t="n">
        <f aca="false">IF(D124="","",$B$12)</f>
        <v>0.432</v>
      </c>
      <c r="K124" s="16" t="n">
        <f aca="false">IF(J124="","",J124*$B$15)</f>
        <v>1.119744</v>
      </c>
      <c r="L124" s="16" t="n">
        <f aca="false">IF(D124="","",H124+E124-K124-G124*I124)</f>
        <v>176.759864796468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16.6657804849697</v>
      </c>
      <c r="N124" s="16" t="n">
        <f aca="false">IF(D124="","",(I124+M124)/2)</f>
        <v>16.2243902424849</v>
      </c>
      <c r="O124" s="16" t="n">
        <f aca="false">IF(D124="","",G124*N124)</f>
        <v>1.35635902427173</v>
      </c>
      <c r="P124" s="16" t="n">
        <f aca="false">IF(D124="","",H124+E124-K124-O124)</f>
        <v>176.722964572196</v>
      </c>
      <c r="Q124" s="16" t="n">
        <f aca="false">IF(D124="","",IF(P124&gt;=0,K124,MAX(0,K124+P124)))</f>
        <v>1.119744</v>
      </c>
      <c r="R124" s="16" t="n">
        <f aca="false">IF(D124="","",Q124/$B$15)</f>
        <v>0.432</v>
      </c>
      <c r="S124" s="16" t="n">
        <f aca="false">IF(D124="","",MAX(0,J124-R124))</f>
        <v>0</v>
      </c>
      <c r="T124" s="16" t="n">
        <f aca="false">IF(D124="","",MAX(0,Z124-$B$8))</f>
        <v>14.7229645721962</v>
      </c>
      <c r="U124" s="16" t="n">
        <f aca="false">IF(D124="","",MAX(0,MIN($B$8,Z124)))</f>
        <v>162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176.722964572196</v>
      </c>
      <c r="AA124" s="18" t="n">
        <f aca="false">IF(D124="","",IF(H124&lt;=$B$16,1,IF(H124&gt;=$B$17,$B$21,MATCH(H124,Aux_CAV!$A$2:$A$121,1))))</f>
        <v>23</v>
      </c>
      <c r="AB124" s="18" t="n">
        <f aca="false">IF(D124="","",IF(L124&lt;=$B$16,1,IF(L124&gt;=$B$17,$B$21,MATCH(L124,Aux_CAV!$A$2:$A$121,1))))</f>
        <v>23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2.9477408719971</v>
      </c>
      <c r="E125" s="16" t="n">
        <f aca="false">IF(D125="","",D125*$B$15)</f>
        <v>7.64054434021648</v>
      </c>
      <c r="F125" s="16" t="n">
        <f aca="false" t="array" ref="F125:F125">IF(D125="","",IFERROR(INDEX(Dados_Evap!$C$2:$N$15,MATCH($B$9,Dados_Evap!$A$2:$A$15,0),C125),0))</f>
        <v>108.2</v>
      </c>
      <c r="G125" s="16" t="n">
        <f aca="false">IF(F125="","",F125/1000)</f>
        <v>0.1082</v>
      </c>
      <c r="H125" s="16" t="n">
        <f aca="false">IF(D125="","",MAX(0,MIN($B$8,IFERROR(LOOKUP(2,1/($U$24:U124&lt;&gt;""),$U$24:U124),$B$11))))</f>
        <v>162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15.783</v>
      </c>
      <c r="J125" s="16" t="n">
        <f aca="false">IF(D125="","",$B$12)</f>
        <v>0.432</v>
      </c>
      <c r="K125" s="16" t="n">
        <f aca="false">IF(J125="","",J125*$B$15)</f>
        <v>1.119744</v>
      </c>
      <c r="L125" s="16" t="n">
        <f aca="false">IF(D125="","",H125+E125-K125-G125*I125)</f>
        <v>166.813079740217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16.0708680073196</v>
      </c>
      <c r="N125" s="16" t="n">
        <f aca="false">IF(D125="","",(I125+M125)/2)</f>
        <v>15.9269340036598</v>
      </c>
      <c r="O125" s="16" t="n">
        <f aca="false">IF(D125="","",G125*N125)</f>
        <v>1.72329425919599</v>
      </c>
      <c r="P125" s="16" t="n">
        <f aca="false">IF(D125="","",H125+E125-K125-O125)</f>
        <v>166.797506081021</v>
      </c>
      <c r="Q125" s="16" t="n">
        <f aca="false">IF(D125="","",IF(P125&gt;=0,K125,MAX(0,K125+P125)))</f>
        <v>1.119744</v>
      </c>
      <c r="R125" s="16" t="n">
        <f aca="false">IF(D125="","",Q125/$B$15)</f>
        <v>0.432</v>
      </c>
      <c r="S125" s="16" t="n">
        <f aca="false">IF(D125="","",MAX(0,J125-R125))</f>
        <v>0</v>
      </c>
      <c r="T125" s="16" t="n">
        <f aca="false">IF(D125="","",MAX(0,Z125-$B$8))</f>
        <v>4.79750608102049</v>
      </c>
      <c r="U125" s="16" t="n">
        <f aca="false">IF(D125="","",MAX(0,MIN($B$8,Z125)))</f>
        <v>162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166.797506081021</v>
      </c>
      <c r="AA125" s="18" t="n">
        <f aca="false">IF(D125="","",IF(H125&lt;=$B$16,1,IF(H125&gt;=$B$17,$B$21,MATCH(H125,Aux_CAV!$A$2:$A$121,1))))</f>
        <v>23</v>
      </c>
      <c r="AB125" s="18" t="n">
        <f aca="false">IF(D125="","",IF(L125&lt;=$B$16,1,IF(L125&gt;=$B$17,$B$21,MATCH(L125,Aux_CAV!$A$2:$A$121,1))))</f>
        <v>23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1.05035383207631</v>
      </c>
      <c r="E126" s="16" t="n">
        <f aca="false">IF(D126="","",D126*$B$15)</f>
        <v>2.7225171327418</v>
      </c>
      <c r="F126" s="16" t="n">
        <f aca="false" t="array" ref="F126:F126">IF(D126="","",IFERROR(INDEX(Dados_Evap!$C$2:$N$15,MATCH($B$9,Dados_Evap!$A$2:$A$15,0),C126),0))</f>
        <v>149</v>
      </c>
      <c r="G126" s="16" t="n">
        <f aca="false">IF(F126="","",F126/1000)</f>
        <v>0.149</v>
      </c>
      <c r="H126" s="16" t="n">
        <f aca="false">IF(D126="","",MAX(0,MIN($B$8,IFERROR(LOOKUP(2,1/($U$24:U125&lt;&gt;""),$U$24:U125),$B$11))))</f>
        <v>162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15.783</v>
      </c>
      <c r="J126" s="16" t="n">
        <f aca="false">IF(D126="","",$B$12)</f>
        <v>0.432</v>
      </c>
      <c r="K126" s="16" t="n">
        <f aca="false">IF(J126="","",J126*$B$15)</f>
        <v>1.119744</v>
      </c>
      <c r="L126" s="16" t="n">
        <f aca="false">IF(D126="","",H126+E126-K126-G126*I126)</f>
        <v>161.251106132742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15.7284754598589</v>
      </c>
      <c r="N126" s="16" t="n">
        <f aca="false">IF(D126="","",(I126+M126)/2)</f>
        <v>15.7557377299295</v>
      </c>
      <c r="O126" s="16" t="n">
        <f aca="false">IF(D126="","",G126*N126)</f>
        <v>2.34760492175949</v>
      </c>
      <c r="P126" s="16" t="n">
        <f aca="false">IF(D126="","",H126+E126-K126-O126)</f>
        <v>161.255168210982</v>
      </c>
      <c r="Q126" s="16" t="n">
        <f aca="false">IF(D126="","",IF(P126&gt;=0,K126,MAX(0,K126+P126)))</f>
        <v>1.119744</v>
      </c>
      <c r="R126" s="16" t="n">
        <f aca="false">IF(D126="","",Q126/$B$15)</f>
        <v>0.432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161.255168210982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99.5402272907298</v>
      </c>
      <c r="Z126" s="18" t="n">
        <f aca="false">IF(D126="","",MAX(0,IF(P126&gt;=0,P126,IF(K126+P126&gt;=0,0,P126+K126))))</f>
        <v>161.255168210982</v>
      </c>
      <c r="AA126" s="18" t="n">
        <f aca="false">IF(D126="","",IF(H126&lt;=$B$16,1,IF(H126&gt;=$B$17,$B$21,MATCH(H126,Aux_CAV!$A$2:$A$121,1))))</f>
        <v>23</v>
      </c>
      <c r="AB126" s="18" t="n">
        <f aca="false">IF(D126="","",IF(L126&lt;=$B$16,1,IF(L126&gt;=$B$17,$B$21,MATCH(L126,Aux_CAV!$A$2:$A$121,1))))</f>
        <v>22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1.52014240357046</v>
      </c>
      <c r="E127" s="16" t="n">
        <f aca="false">IF(D127="","",D127*$B$15)</f>
        <v>3.94020911005463</v>
      </c>
      <c r="F127" s="16" t="n">
        <f aca="false" t="array" ref="F127:F127">IF(D127="","",IFERROR(INDEX(Dados_Evap!$C$2:$N$15,MATCH($B$9,Dados_Evap!$A$2:$A$15,0),C127),0))</f>
        <v>206.8</v>
      </c>
      <c r="G127" s="16" t="n">
        <f aca="false">IF(F127="","",F127/1000)</f>
        <v>0.2068</v>
      </c>
      <c r="H127" s="16" t="n">
        <f aca="false">IF(D127="","",MAX(0,MIN($B$8,IFERROR(LOOKUP(2,1/($U$24:U126&lt;&gt;""),$U$24:U126),$B$11))))</f>
        <v>161.255168210982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15.7287712066366</v>
      </c>
      <c r="J127" s="16" t="n">
        <f aca="false">IF(D127="","",$B$12)</f>
        <v>0.432</v>
      </c>
      <c r="K127" s="16" t="n">
        <f aca="false">IF(J127="","",J127*$B$15)</f>
        <v>1.119744</v>
      </c>
      <c r="L127" s="16" t="n">
        <f aca="false">IF(D127="","",H127+E127-K127-G127*I127)</f>
        <v>160.822923435505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15.697300862651</v>
      </c>
      <c r="N127" s="16" t="n">
        <f aca="false">IF(D127="","",(I127+M127)/2)</f>
        <v>15.7130360346438</v>
      </c>
      <c r="O127" s="16" t="n">
        <f aca="false">IF(D127="","",G127*N127)</f>
        <v>3.24945585196434</v>
      </c>
      <c r="P127" s="16" t="n">
        <f aca="false">IF(D127="","",H127+E127-K127-O127)</f>
        <v>160.826177469073</v>
      </c>
      <c r="Q127" s="16" t="n">
        <f aca="false">IF(D127="","",IF(P127&gt;=0,K127,MAX(0,K127+P127)))</f>
        <v>1.119744</v>
      </c>
      <c r="R127" s="16" t="n">
        <f aca="false">IF(D127="","",Q127/$B$15)</f>
        <v>0.432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160.826177469073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99.2754181907856</v>
      </c>
      <c r="Z127" s="18" t="n">
        <f aca="false">IF(D127="","",MAX(0,IF(P127&gt;=0,P127,IF(K127+P127&gt;=0,0,P127+K127))))</f>
        <v>160.826177469073</v>
      </c>
      <c r="AA127" s="18" t="n">
        <f aca="false">IF(D127="","",IF(H127&lt;=$B$16,1,IF(H127&gt;=$B$17,$B$21,MATCH(H127,Aux_CAV!$A$2:$A$121,1))))</f>
        <v>22</v>
      </c>
      <c r="AB127" s="18" t="n">
        <f aca="false">IF(D127="","",IF(L127&lt;=$B$16,1,IF(L127&gt;=$B$17,$B$21,MATCH(L127,Aux_CAV!$A$2:$A$121,1))))</f>
        <v>22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0.734505954971456</v>
      </c>
      <c r="E128" s="16" t="n">
        <f aca="false">IF(D128="","",D128*$B$15)</f>
        <v>1.90383943528601</v>
      </c>
      <c r="F128" s="16" t="n">
        <f aca="false" t="array" ref="F128:F128">IF(D128="","",IFERROR(INDEX(Dados_Evap!$C$2:$N$15,MATCH($B$9,Dados_Evap!$A$2:$A$15,0),C128),0))</f>
        <v>245.9</v>
      </c>
      <c r="G128" s="16" t="n">
        <f aca="false">IF(F128="","",F128/1000)</f>
        <v>0.2459</v>
      </c>
      <c r="H128" s="16" t="n">
        <f aca="false">IF(D128="","",MAX(0,MIN($B$8,IFERROR(LOOKUP(2,1/($U$24:U127&lt;&gt;""),$U$24:U127),$B$11))))</f>
        <v>160.826177469073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15.6975377783098</v>
      </c>
      <c r="J128" s="16" t="n">
        <f aca="false">IF(D128="","",$B$12)</f>
        <v>0.432</v>
      </c>
      <c r="K128" s="16" t="n">
        <f aca="false">IF(J128="","",J128*$B$15)</f>
        <v>1.119744</v>
      </c>
      <c r="L128" s="16" t="n">
        <f aca="false">IF(D128="","",H128+E128-K128-G128*I128)</f>
        <v>157.750248364672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15.4735893294621</v>
      </c>
      <c r="N128" s="16" t="n">
        <f aca="false">IF(D128="","",(I128+M128)/2)</f>
        <v>15.5855635538859</v>
      </c>
      <c r="O128" s="16" t="n">
        <f aca="false">IF(D128="","",G128*N128)</f>
        <v>3.83249007790055</v>
      </c>
      <c r="P128" s="16" t="n">
        <f aca="false">IF(D128="","",H128+E128-K128-O128)</f>
        <v>157.777782826458</v>
      </c>
      <c r="Q128" s="16" t="n">
        <f aca="false">IF(D128="","",IF(P128&gt;=0,K128,MAX(0,K128+P128)))</f>
        <v>1.119744</v>
      </c>
      <c r="R128" s="16" t="n">
        <f aca="false">IF(D128="","",Q128/$B$15)</f>
        <v>0.432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157.777782826458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97.3936931027519</v>
      </c>
      <c r="Z128" s="18" t="n">
        <f aca="false">IF(D128="","",MAX(0,IF(P128&gt;=0,P128,IF(K128+P128&gt;=0,0,P128+K128))))</f>
        <v>157.777782826458</v>
      </c>
      <c r="AA128" s="18" t="n">
        <f aca="false">IF(D128="","",IF(H128&lt;=$B$16,1,IF(H128&gt;=$B$17,$B$21,MATCH(H128,Aux_CAV!$A$2:$A$121,1))))</f>
        <v>22</v>
      </c>
      <c r="AB128" s="18" t="n">
        <f aca="false">IF(D128="","",IF(L128&lt;=$B$16,1,IF(L128&gt;=$B$17,$B$21,MATCH(L128,Aux_CAV!$A$2:$A$121,1))))</f>
        <v>22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0.535431611738911</v>
      </c>
      <c r="E129" s="16" t="n">
        <f aca="false">IF(D129="","",D129*$B$15)</f>
        <v>1.38783873762726</v>
      </c>
      <c r="F129" s="16" t="n">
        <f aca="false" t="array" ref="F129:F129">IF(D129="","",IFERROR(INDEX(Dados_Evap!$C$2:$N$15,MATCH($B$9,Dados_Evap!$A$2:$A$15,0),C129),0))</f>
        <v>282.3</v>
      </c>
      <c r="G129" s="16" t="n">
        <f aca="false">IF(F129="","",F129/1000)</f>
        <v>0.2823</v>
      </c>
      <c r="H129" s="16" t="n">
        <f aca="false">IF(D129="","",MAX(0,MIN($B$8,IFERROR(LOOKUP(2,1/($U$24:U128&lt;&gt;""),$U$24:U128),$B$11))))</f>
        <v>157.777782826458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15.4755940245632</v>
      </c>
      <c r="J129" s="16" t="n">
        <f aca="false">IF(D129="","",$B$12)</f>
        <v>0.432</v>
      </c>
      <c r="K129" s="16" t="n">
        <f aca="false">IF(J129="","",J129*$B$15)</f>
        <v>1.119744</v>
      </c>
      <c r="L129" s="16" t="n">
        <f aca="false">IF(D129="","",H129+E129-K129-G129*I129)</f>
        <v>153.677117370951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15.1770378365514</v>
      </c>
      <c r="N129" s="16" t="n">
        <f aca="false">IF(D129="","",(I129+M129)/2)</f>
        <v>15.3263159305573</v>
      </c>
      <c r="O129" s="16" t="n">
        <f aca="false">IF(D129="","",G129*N129)</f>
        <v>4.32661898719632</v>
      </c>
      <c r="P129" s="16" t="n">
        <f aca="false">IF(D129="","",H129+E129-K129-O129)</f>
        <v>153.719258576889</v>
      </c>
      <c r="Q129" s="16" t="n">
        <f aca="false">IF(D129="","",IF(P129&gt;=0,K129,MAX(0,K129+P129)))</f>
        <v>1.119744</v>
      </c>
      <c r="R129" s="16" t="n">
        <f aca="false">IF(D129="","",Q129/$B$15)</f>
        <v>0.432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153.719258576889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94.8884312203019</v>
      </c>
      <c r="Z129" s="18" t="n">
        <f aca="false">IF(D129="","",MAX(0,IF(P129&gt;=0,P129,IF(K129+P129&gt;=0,0,P129+K129))))</f>
        <v>153.719258576889</v>
      </c>
      <c r="AA129" s="18" t="n">
        <f aca="false">IF(D129="","",IF(H129&lt;=$B$16,1,IF(H129&gt;=$B$17,$B$21,MATCH(H129,Aux_CAV!$A$2:$A$121,1))))</f>
        <v>22</v>
      </c>
      <c r="AB129" s="18" t="n">
        <f aca="false">IF(D129="","",IF(L129&lt;=$B$16,1,IF(L129&gt;=$B$17,$B$21,MATCH(L129,Aux_CAV!$A$2:$A$121,1))))</f>
        <v>22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0.457443690950225</v>
      </c>
      <c r="E130" s="16" t="n">
        <f aca="false">IF(D130="","",D130*$B$15)</f>
        <v>1.18569404694298</v>
      </c>
      <c r="F130" s="16" t="n">
        <f aca="false" t="array" ref="F130:F130">IF(D130="","",IFERROR(INDEX(Dados_Evap!$C$2:$N$15,MATCH($B$9,Dados_Evap!$A$2:$A$15,0),C130),0))</f>
        <v>241.3</v>
      </c>
      <c r="G130" s="16" t="n">
        <f aca="false">IF(F130="","",F130/1000)</f>
        <v>0.2413</v>
      </c>
      <c r="H130" s="16" t="n">
        <f aca="false">IF(D130="","",MAX(0,MIN($B$8,IFERROR(LOOKUP(2,1/($U$24:U129&lt;&gt;""),$U$24:U129),$B$11))))</f>
        <v>153.719258576889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15.180106001448</v>
      </c>
      <c r="J130" s="16" t="n">
        <f aca="false">IF(D130="","",$B$12)</f>
        <v>0.432</v>
      </c>
      <c r="K130" s="16" t="n">
        <f aca="false">IF(J130="","",J130*$B$15)</f>
        <v>1.119744</v>
      </c>
      <c r="L130" s="16" t="n">
        <f aca="false">IF(D130="","",H130+E130-K130-G130*I130)</f>
        <v>150.122249045683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14.9182193721848</v>
      </c>
      <c r="N130" s="16" t="n">
        <f aca="false">IF(D130="","",(I130+M130)/2)</f>
        <v>15.0491626868164</v>
      </c>
      <c r="O130" s="16" t="n">
        <f aca="false">IF(D130="","",G130*N130)</f>
        <v>3.63136295632879</v>
      </c>
      <c r="P130" s="16" t="n">
        <f aca="false">IF(D130="","",H130+E130-K130-O130)</f>
        <v>150.153845667503</v>
      </c>
      <c r="Q130" s="16" t="n">
        <f aca="false">IF(D130="","",IF(P130&gt;=0,K130,MAX(0,K130+P130)))</f>
        <v>1.119744</v>
      </c>
      <c r="R130" s="16" t="n">
        <f aca="false">IF(D130="","",Q130/$B$15)</f>
        <v>0.432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150.153845667503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92.6875590540143</v>
      </c>
      <c r="Z130" s="18" t="n">
        <f aca="false">IF(D130="","",MAX(0,IF(P130&gt;=0,P130,IF(K130+P130&gt;=0,0,P130+K130))))</f>
        <v>150.153845667503</v>
      </c>
      <c r="AA130" s="18" t="n">
        <f aca="false">IF(D130="","",IF(H130&lt;=$B$16,1,IF(H130&gt;=$B$17,$B$21,MATCH(H130,Aux_CAV!$A$2:$A$121,1))))</f>
        <v>22</v>
      </c>
      <c r="AB130" s="18" t="n">
        <f aca="false">IF(D130="","",IF(L130&lt;=$B$16,1,IF(L130&gt;=$B$17,$B$21,MATCH(L130,Aux_CAV!$A$2:$A$121,1))))</f>
        <v>22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0.833175556988856</v>
      </c>
      <c r="E131" s="16" t="n">
        <f aca="false">IF(D131="","",D131*$B$15)</f>
        <v>2.15959104371512</v>
      </c>
      <c r="F131" s="16" t="n">
        <f aca="false" t="array" ref="F131:F131">IF(D131="","",IFERROR(INDEX(Dados_Evap!$C$2:$N$15,MATCH($B$9,Dados_Evap!$A$2:$A$15,0),C131),0))</f>
        <v>241.8</v>
      </c>
      <c r="G131" s="16" t="n">
        <f aca="false">IF(F131="","",F131/1000)</f>
        <v>0.2418</v>
      </c>
      <c r="H131" s="16" t="n">
        <f aca="false">IF(D131="","",MAX(0,MIN($B$8,IFERROR(LOOKUP(2,1/($U$24:U130&lt;&gt;""),$U$24:U130),$B$11))))</f>
        <v>150.153845667503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14.9205198200187</v>
      </c>
      <c r="J131" s="16" t="n">
        <f aca="false">IF(D131="","",$B$12)</f>
        <v>0.432</v>
      </c>
      <c r="K131" s="16" t="n">
        <f aca="false">IF(J131="","",J131*$B$15)</f>
        <v>1.119744</v>
      </c>
      <c r="L131" s="16" t="n">
        <f aca="false">IF(D131="","",H131+E131-K131-G131*I131)</f>
        <v>147.585911018738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14.7335568043528</v>
      </c>
      <c r="N131" s="16" t="n">
        <f aca="false">IF(D131="","",(I131+M131)/2)</f>
        <v>14.8270383121857</v>
      </c>
      <c r="O131" s="16" t="n">
        <f aca="false">IF(D131="","",G131*N131)</f>
        <v>3.58517786388651</v>
      </c>
      <c r="P131" s="16" t="n">
        <f aca="false">IF(D131="","",H131+E131-K131-O131)</f>
        <v>147.608514847332</v>
      </c>
      <c r="Q131" s="16" t="n">
        <f aca="false">IF(D131="","",IF(P131&gt;=0,K131,MAX(0,K131+P131)))</f>
        <v>1.119744</v>
      </c>
      <c r="R131" s="16" t="n">
        <f aca="false">IF(D131="","",Q131/$B$15)</f>
        <v>0.432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147.608514847332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91.116367189711</v>
      </c>
      <c r="Z131" s="18" t="n">
        <f aca="false">IF(D131="","",MAX(0,IF(P131&gt;=0,P131,IF(K131+P131&gt;=0,0,P131+K131))))</f>
        <v>147.608514847332</v>
      </c>
      <c r="AA131" s="18" t="n">
        <f aca="false">IF(D131="","",IF(H131&lt;=$B$16,1,IF(H131&gt;=$B$17,$B$21,MATCH(H131,Aux_CAV!$A$2:$A$121,1))))</f>
        <v>22</v>
      </c>
      <c r="AB131" s="18" t="n">
        <f aca="false">IF(D131="","",IF(L131&lt;=$B$16,1,IF(L131&gt;=$B$17,$B$21,MATCH(L131,Aux_CAV!$A$2:$A$121,1))))</f>
        <v>22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0.410604364026169</v>
      </c>
      <c r="E132" s="16" t="n">
        <f aca="false">IF(D132="","",D132*$B$15)</f>
        <v>1.06428651155583</v>
      </c>
      <c r="F132" s="16" t="n">
        <f aca="false" t="array" ref="F132:F132">IF(D132="","",IFERROR(INDEX(Dados_Evap!$C$2:$N$15,MATCH($B$9,Dados_Evap!$A$2:$A$15,0),C132),0))</f>
        <v>189</v>
      </c>
      <c r="G132" s="16" t="n">
        <f aca="false">IF(F132="","",F132/1000)</f>
        <v>0.189</v>
      </c>
      <c r="H132" s="16" t="n">
        <f aca="false">IF(D132="","",MAX(0,MIN($B$8,IFERROR(LOOKUP(2,1/($U$24:U131&lt;&gt;""),$U$24:U131),$B$11))))</f>
        <v>147.608514847332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14.7352025159995</v>
      </c>
      <c r="J132" s="16" t="n">
        <f aca="false">IF(D132="","",$B$12)</f>
        <v>0.432</v>
      </c>
      <c r="K132" s="16" t="n">
        <f aca="false">IF(J132="","",J132*$B$15)</f>
        <v>1.119744</v>
      </c>
      <c r="L132" s="16" t="n">
        <f aca="false">IF(D132="","",H132+E132-K132-G132*I132)</f>
        <v>144.768104083364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14.5284013957231</v>
      </c>
      <c r="N132" s="16" t="n">
        <f aca="false">IF(D132="","",(I132+M132)/2)</f>
        <v>14.6318019558613</v>
      </c>
      <c r="O132" s="16" t="n">
        <f aca="false">IF(D132="","",G132*N132)</f>
        <v>2.76541056965779</v>
      </c>
      <c r="P132" s="16" t="n">
        <f aca="false">IF(D132="","",H132+E132-K132-O132)</f>
        <v>144.78764678923</v>
      </c>
      <c r="Q132" s="16" t="n">
        <f aca="false">IF(D132="","",IF(P132&gt;=0,K132,MAX(0,K132+P132)))</f>
        <v>1.119744</v>
      </c>
      <c r="R132" s="16" t="n">
        <f aca="false">IF(D132="","",Q132/$B$15)</f>
        <v>0.432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144.78764678923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89.3750906106357</v>
      </c>
      <c r="Z132" s="18" t="n">
        <f aca="false">IF(D132="","",MAX(0,IF(P132&gt;=0,P132,IF(K132+P132&gt;=0,0,P132+K132))))</f>
        <v>144.78764678923</v>
      </c>
      <c r="AA132" s="18" t="n">
        <f aca="false">IF(D132="","",IF(H132&lt;=$B$16,1,IF(H132&gt;=$B$17,$B$21,MATCH(H132,Aux_CAV!$A$2:$A$121,1))))</f>
        <v>22</v>
      </c>
      <c r="AB132" s="18" t="n">
        <f aca="false">IF(D132="","",IF(L132&lt;=$B$16,1,IF(L132&gt;=$B$17,$B$21,MATCH(L132,Aux_CAV!$A$2:$A$121,1))))</f>
        <v>22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0.459964620525859</v>
      </c>
      <c r="E133" s="16" t="n">
        <f aca="false">IF(D133="","",D133*$B$15)</f>
        <v>1.19222829640303</v>
      </c>
      <c r="F133" s="16" t="n">
        <f aca="false" t="array" ref="F133:F133">IF(D133="","",IFERROR(INDEX(Dados_Evap!$C$2:$N$15,MATCH($B$9,Dados_Evap!$A$2:$A$15,0),C133),0))</f>
        <v>136.9</v>
      </c>
      <c r="G133" s="16" t="n">
        <f aca="false">IF(F133="","",F133/1000)</f>
        <v>0.1369</v>
      </c>
      <c r="H133" s="16" t="n">
        <f aca="false">IF(D133="","",MAX(0,MIN($B$8,IFERROR(LOOKUP(2,1/($U$24:U132&lt;&gt;""),$U$24:U132),$B$11))))</f>
        <v>144.78764678923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14.5298242369253</v>
      </c>
      <c r="J133" s="16" t="n">
        <f aca="false">IF(D133="","",$B$12)</f>
        <v>0.432</v>
      </c>
      <c r="K133" s="16" t="n">
        <f aca="false">IF(J133="","",J133*$B$15)</f>
        <v>1.119744</v>
      </c>
      <c r="L133" s="16" t="n">
        <f aca="false">IF(D133="","",H133+E133-K133-G133*I133)</f>
        <v>142.870998147598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14.3902792488222</v>
      </c>
      <c r="N133" s="16" t="n">
        <f aca="false">IF(D133="","",(I133+M133)/2)</f>
        <v>14.4600517428738</v>
      </c>
      <c r="O133" s="16" t="n">
        <f aca="false">IF(D133="","",G133*N133)</f>
        <v>1.97958108359942</v>
      </c>
      <c r="P133" s="16" t="n">
        <f aca="false">IF(D133="","",H133+E133-K133-O133)</f>
        <v>142.880550002033</v>
      </c>
      <c r="Q133" s="16" t="n">
        <f aca="false">IF(D133="","",IF(P133&gt;=0,K133,MAX(0,K133+P133)))</f>
        <v>1.119744</v>
      </c>
      <c r="R133" s="16" t="n">
        <f aca="false">IF(D133="","",Q133/$B$15)</f>
        <v>0.432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142.880550002033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88.1978703716256</v>
      </c>
      <c r="Z133" s="18" t="n">
        <f aca="false">IF(D133="","",MAX(0,IF(P133&gt;=0,P133,IF(K133+P133&gt;=0,0,P133+K133))))</f>
        <v>142.880550002033</v>
      </c>
      <c r="AA133" s="18" t="n">
        <f aca="false">IF(D133="","",IF(H133&lt;=$B$16,1,IF(H133&gt;=$B$17,$B$21,MATCH(H133,Aux_CAV!$A$2:$A$121,1))))</f>
        <v>22</v>
      </c>
      <c r="AB133" s="18" t="n">
        <f aca="false">IF(D133="","",IF(L133&lt;=$B$16,1,IF(L133&gt;=$B$17,$B$21,MATCH(L133,Aux_CAV!$A$2:$A$121,1))))</f>
        <v>22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0.412145229896769</v>
      </c>
      <c r="E134" s="16" t="n">
        <f aca="false">IF(D134="","",D134*$B$15)</f>
        <v>1.06828043589243</v>
      </c>
      <c r="F134" s="16" t="n">
        <f aca="false" t="array" ref="F134:F134">IF(D134="","",IFERROR(INDEX(Dados_Evap!$C$2:$N$15,MATCH($B$9,Dados_Evap!$A$2:$A$15,0),C134),0))</f>
        <v>102.9</v>
      </c>
      <c r="G134" s="16" t="n">
        <f aca="false">IF(F134="","",F134/1000)</f>
        <v>0.1029</v>
      </c>
      <c r="H134" s="16" t="n">
        <f aca="false">IF(D134="","",MAX(0,MIN($B$8,IFERROR(LOOKUP(2,1/($U$24:U133&lt;&gt;""),$U$24:U133),$B$11))))</f>
        <v>142.880550002033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14.3909746884478</v>
      </c>
      <c r="J134" s="16" t="n">
        <f aca="false">IF(D134="","",$B$12)</f>
        <v>0.432</v>
      </c>
      <c r="K134" s="16" t="n">
        <f aca="false">IF(J134="","",J134*$B$15)</f>
        <v>1.119744</v>
      </c>
      <c r="L134" s="16" t="n">
        <f aca="false">IF(D134="","",H134+E134-K134-G134*I134)</f>
        <v>141.348255142485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14.279413256007</v>
      </c>
      <c r="N134" s="16" t="n">
        <f aca="false">IF(D134="","",(I134+M134)/2)</f>
        <v>14.3351939722274</v>
      </c>
      <c r="O134" s="16" t="n">
        <f aca="false">IF(D134="","",G134*N134)</f>
        <v>1.4750914597422</v>
      </c>
      <c r="P134" s="16" t="n">
        <f aca="false">IF(D134="","",H134+E134-K134-O134)</f>
        <v>141.353994978184</v>
      </c>
      <c r="Q134" s="16" t="n">
        <f aca="false">IF(D134="","",IF(P134&gt;=0,K134,MAX(0,K134+P134)))</f>
        <v>1.119744</v>
      </c>
      <c r="R134" s="16" t="n">
        <f aca="false">IF(D134="","",Q134/$B$15)</f>
        <v>0.432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141.353994978184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87.255552455669</v>
      </c>
      <c r="Z134" s="18" t="n">
        <f aca="false">IF(D134="","",MAX(0,IF(P134&gt;=0,P134,IF(K134+P134&gt;=0,0,P134+K134))))</f>
        <v>141.353994978184</v>
      </c>
      <c r="AA134" s="18" t="n">
        <f aca="false">IF(D134="","",IF(H134&lt;=$B$16,1,IF(H134&gt;=$B$17,$B$21,MATCH(H134,Aux_CAV!$A$2:$A$121,1))))</f>
        <v>22</v>
      </c>
      <c r="AB134" s="18" t="n">
        <f aca="false">IF(D134="","",IF(L134&lt;=$B$16,1,IF(L134&gt;=$B$17,$B$21,MATCH(L134,Aux_CAV!$A$2:$A$121,1))))</f>
        <v>22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0.360910502055863</v>
      </c>
      <c r="E135" s="16" t="n">
        <f aca="false">IF(D135="","",D135*$B$15)</f>
        <v>0.935480021328797</v>
      </c>
      <c r="F135" s="16" t="n">
        <f aca="false" t="array" ref="F135:F135">IF(D135="","",IFERROR(INDEX(Dados_Evap!$C$2:$N$15,MATCH($B$9,Dados_Evap!$A$2:$A$15,0),C135),0))</f>
        <v>81.8</v>
      </c>
      <c r="G135" s="16" t="n">
        <f aca="false">IF(F135="","",F135/1000)</f>
        <v>0.0818</v>
      </c>
      <c r="H135" s="16" t="n">
        <f aca="false">IF(D135="","",MAX(0,MIN($B$8,IFERROR(LOOKUP(2,1/($U$24:U134&lt;&gt;""),$U$24:U134),$B$11))))</f>
        <v>141.353994978184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14.2798311548784</v>
      </c>
      <c r="J135" s="16" t="n">
        <f aca="false">IF(D135="","",$B$12)</f>
        <v>0.432</v>
      </c>
      <c r="K135" s="16" t="n">
        <f aca="false">IF(J135="","",J135*$B$15)</f>
        <v>1.119744</v>
      </c>
      <c r="L135" s="16" t="n">
        <f aca="false">IF(D135="","",H135+E135-K135-G135*I135)</f>
        <v>140.001640811043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14.1813706222249</v>
      </c>
      <c r="N135" s="16" t="n">
        <f aca="false">IF(D135="","",(I135+M135)/2)</f>
        <v>14.2306008885517</v>
      </c>
      <c r="O135" s="16" t="n">
        <f aca="false">IF(D135="","",G135*N135)</f>
        <v>1.16406315268353</v>
      </c>
      <c r="P135" s="16" t="n">
        <f aca="false">IF(D135="","",H135+E135-K135-O135)</f>
        <v>140.005667846829</v>
      </c>
      <c r="Q135" s="16" t="n">
        <f aca="false">IF(D135="","",IF(P135&gt;=0,K135,MAX(0,K135+P135)))</f>
        <v>1.119744</v>
      </c>
      <c r="R135" s="16" t="n">
        <f aca="false">IF(D135="","",Q135/$B$15)</f>
        <v>0.432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140.005667846829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86.4232517573018</v>
      </c>
      <c r="Z135" s="18" t="n">
        <f aca="false">IF(D135="","",MAX(0,IF(P135&gt;=0,P135,IF(K135+P135&gt;=0,0,P135+K135))))</f>
        <v>140.005667846829</v>
      </c>
      <c r="AA135" s="18" t="n">
        <f aca="false">IF(D135="","",IF(H135&lt;=$B$16,1,IF(H135&gt;=$B$17,$B$21,MATCH(H135,Aux_CAV!$A$2:$A$121,1))))</f>
        <v>22</v>
      </c>
      <c r="AB135" s="18" t="n">
        <f aca="false">IF(D135="","",IF(L135&lt;=$B$16,1,IF(L135&gt;=$B$17,$B$21,MATCH(L135,Aux_CAV!$A$2:$A$121,1))))</f>
        <v>22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0.343015343287623</v>
      </c>
      <c r="E136" s="16" t="n">
        <f aca="false">IF(D136="","",D136*$B$15)</f>
        <v>0.889095769801519</v>
      </c>
      <c r="F136" s="16" t="n">
        <f aca="false" t="array" ref="F136:F136">IF(D136="","",IFERROR(INDEX(Dados_Evap!$C$2:$N$15,MATCH($B$9,Dados_Evap!$A$2:$A$15,0),C136),0))</f>
        <v>83.6</v>
      </c>
      <c r="G136" s="16" t="n">
        <f aca="false">IF(F136="","",F136/1000)</f>
        <v>0.0836</v>
      </c>
      <c r="H136" s="16" t="n">
        <f aca="false">IF(D136="","",MAX(0,MIN($B$8,IFERROR(LOOKUP(2,1/($U$24:U135&lt;&gt;""),$U$24:U135),$B$11))))</f>
        <v>140.005667846829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14.1816638176748</v>
      </c>
      <c r="J136" s="16" t="n">
        <f aca="false">IF(D136="","",$B$12)</f>
        <v>0.432</v>
      </c>
      <c r="K136" s="16" t="n">
        <f aca="false">IF(J136="","",J136*$B$15)</f>
        <v>1.119744</v>
      </c>
      <c r="L136" s="16" t="n">
        <f aca="false">IF(D136="","",H136+E136-K136-G136*I136)</f>
        <v>138.589432521473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14.0785523045183</v>
      </c>
      <c r="N136" s="16" t="n">
        <f aca="false">IF(D136="","",(I136+M136)/2)</f>
        <v>14.1301080610966</v>
      </c>
      <c r="O136" s="16" t="n">
        <f aca="false">IF(D136="","",G136*N136)</f>
        <v>1.18127703390767</v>
      </c>
      <c r="P136" s="16" t="n">
        <f aca="false">IF(D136="","",H136+E136-K136-O136)</f>
        <v>138.593742582723</v>
      </c>
      <c r="Q136" s="16" t="n">
        <f aca="false">IF(D136="","",IF(P136&gt;=0,K136,MAX(0,K136+P136)))</f>
        <v>1.119744</v>
      </c>
      <c r="R136" s="16" t="n">
        <f aca="false">IF(D136="","",Q136/$B$15)</f>
        <v>0.432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138.593742582723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85.551692952298</v>
      </c>
      <c r="Z136" s="18" t="n">
        <f aca="false">IF(D136="","",MAX(0,IF(P136&gt;=0,P136,IF(K136+P136&gt;=0,0,P136+K136))))</f>
        <v>138.593742582723</v>
      </c>
      <c r="AA136" s="18" t="n">
        <f aca="false">IF(D136="","",IF(H136&lt;=$B$16,1,IF(H136&gt;=$B$17,$B$21,MATCH(H136,Aux_CAV!$A$2:$A$121,1))))</f>
        <v>22</v>
      </c>
      <c r="AB136" s="18" t="n">
        <f aca="false">IF(D136="","",IF(L136&lt;=$B$16,1,IF(L136&gt;=$B$17,$B$21,MATCH(L136,Aux_CAV!$A$2:$A$121,1))))</f>
        <v>22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0.229094931130714</v>
      </c>
      <c r="E137" s="16" t="n">
        <f aca="false">IF(D137="","",D137*$B$15)</f>
        <v>0.593814061490811</v>
      </c>
      <c r="F137" s="16" t="n">
        <f aca="false" t="array" ref="F137:F137">IF(D137="","",IFERROR(INDEX(Dados_Evap!$C$2:$N$15,MATCH($B$9,Dados_Evap!$A$2:$A$15,0),C137),0))</f>
        <v>108.2</v>
      </c>
      <c r="G137" s="16" t="n">
        <f aca="false">IF(F137="","",F137/1000)</f>
        <v>0.1082</v>
      </c>
      <c r="H137" s="16" t="n">
        <f aca="false">IF(D137="","",MAX(0,MIN($B$8,IFERROR(LOOKUP(2,1/($U$24:U136&lt;&gt;""),$U$24:U136),$B$11))))</f>
        <v>138.593742582723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14.0788661061368</v>
      </c>
      <c r="J137" s="16" t="n">
        <f aca="false">IF(D137="","",$B$12)</f>
        <v>0.432</v>
      </c>
      <c r="K137" s="16" t="n">
        <f aca="false">IF(J137="","",J137*$B$15)</f>
        <v>1.119744</v>
      </c>
      <c r="L137" s="16" t="n">
        <f aca="false">IF(D137="","",H137+E137-K137-G137*I137)</f>
        <v>136.54447933153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13.92966587726</v>
      </c>
      <c r="N137" s="16" t="n">
        <f aca="false">IF(D137="","",(I137+M137)/2)</f>
        <v>14.0042659916984</v>
      </c>
      <c r="O137" s="16" t="n">
        <f aca="false">IF(D137="","",G137*N137)</f>
        <v>1.51526158030177</v>
      </c>
      <c r="P137" s="16" t="n">
        <f aca="false">IF(D137="","",H137+E137-K137-O137)</f>
        <v>136.552551063912</v>
      </c>
      <c r="Q137" s="16" t="n">
        <f aca="false">IF(D137="","",IF(P137&gt;=0,K137,MAX(0,K137+P137)))</f>
        <v>1.119744</v>
      </c>
      <c r="R137" s="16" t="n">
        <f aca="false">IF(D137="","",Q137/$B$15)</f>
        <v>0.432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136.552551063912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84.2916981875999</v>
      </c>
      <c r="Z137" s="18" t="n">
        <f aca="false">IF(D137="","",MAX(0,IF(P137&gt;=0,P137,IF(K137+P137&gt;=0,0,P137+K137))))</f>
        <v>136.552551063912</v>
      </c>
      <c r="AA137" s="18" t="n">
        <f aca="false">IF(D137="","",IF(H137&lt;=$B$16,1,IF(H137&gt;=$B$17,$B$21,MATCH(H137,Aux_CAV!$A$2:$A$121,1))))</f>
        <v>22</v>
      </c>
      <c r="AB137" s="18" t="n">
        <f aca="false">IF(D137="","",IF(L137&lt;=$B$16,1,IF(L137&gt;=$B$17,$B$21,MATCH(L137,Aux_CAV!$A$2:$A$121,1))))</f>
        <v>22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0.224154967964532</v>
      </c>
      <c r="E138" s="16" t="n">
        <f aca="false">IF(D138="","",D138*$B$15)</f>
        <v>0.581009676964067</v>
      </c>
      <c r="F138" s="16" t="n">
        <f aca="false" t="array" ref="F138:F138">IF(D138="","",IFERROR(INDEX(Dados_Evap!$C$2:$N$15,MATCH($B$9,Dados_Evap!$A$2:$A$15,0),C138),0))</f>
        <v>149</v>
      </c>
      <c r="G138" s="16" t="n">
        <f aca="false">IF(F138="","",F138/1000)</f>
        <v>0.149</v>
      </c>
      <c r="H138" s="16" t="n">
        <f aca="false">IF(D138="","",MAX(0,MIN($B$8,IFERROR(LOOKUP(2,1/($U$24:U137&lt;&gt;""),$U$24:U137),$B$11))))</f>
        <v>136.552551063912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13.9302535539864</v>
      </c>
      <c r="J138" s="16" t="n">
        <f aca="false">IF(D138="","",$B$12)</f>
        <v>0.432</v>
      </c>
      <c r="K138" s="16" t="n">
        <f aca="false">IF(J138="","",J138*$B$15)</f>
        <v>1.119744</v>
      </c>
      <c r="L138" s="16" t="n">
        <f aca="false">IF(D138="","",H138+E138-K138-G138*I138)</f>
        <v>133.938208961332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13.7399117617154</v>
      </c>
      <c r="N138" s="16" t="n">
        <f aca="false">IF(D138="","",(I138+M138)/2)</f>
        <v>13.8350826578509</v>
      </c>
      <c r="O138" s="16" t="n">
        <f aca="false">IF(D138="","",G138*N138)</f>
        <v>2.06142731601978</v>
      </c>
      <c r="P138" s="16" t="n">
        <f aca="false">IF(D138="","",H138+E138-K138-O138)</f>
        <v>133.952389424856</v>
      </c>
      <c r="Q138" s="16" t="n">
        <f aca="false">IF(D138="","",IF(P138&gt;=0,K138,MAX(0,K138+P138)))</f>
        <v>1.119744</v>
      </c>
      <c r="R138" s="16" t="n">
        <f aca="false">IF(D138="","",Q138/$B$15)</f>
        <v>0.432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133.952389424856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82.6866601388001</v>
      </c>
      <c r="Z138" s="18" t="n">
        <f aca="false">IF(D138="","",MAX(0,IF(P138&gt;=0,P138,IF(K138+P138&gt;=0,0,P138+K138))))</f>
        <v>133.952389424856</v>
      </c>
      <c r="AA138" s="18" t="n">
        <f aca="false">IF(D138="","",IF(H138&lt;=$B$16,1,IF(H138&gt;=$B$17,$B$21,MATCH(H138,Aux_CAV!$A$2:$A$121,1))))</f>
        <v>22</v>
      </c>
      <c r="AB138" s="18" t="n">
        <f aca="false">IF(D138="","",IF(L138&lt;=$B$16,1,IF(L138&gt;=$B$17,$B$21,MATCH(L138,Aux_CAV!$A$2:$A$121,1))))</f>
        <v>22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0.169798685285105</v>
      </c>
      <c r="E139" s="16" t="n">
        <f aca="false">IF(D139="","",D139*$B$15)</f>
        <v>0.440118192258992</v>
      </c>
      <c r="F139" s="16" t="n">
        <f aca="false" t="array" ref="F139:F139">IF(D139="","",IFERROR(INDEX(Dados_Evap!$C$2:$N$15,MATCH($B$9,Dados_Evap!$A$2:$A$15,0),C139),0))</f>
        <v>206.8</v>
      </c>
      <c r="G139" s="16" t="n">
        <f aca="false">IF(F139="","",F139/1000)</f>
        <v>0.2068</v>
      </c>
      <c r="H139" s="16" t="n">
        <f aca="false">IF(D139="","",MAX(0,MIN($B$8,IFERROR(LOOKUP(2,1/($U$24:U138&lt;&gt;""),$U$24:U138),$B$11))))</f>
        <v>133.952389424856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13.7409441953972</v>
      </c>
      <c r="J139" s="16" t="n">
        <f aca="false">IF(D139="","",$B$12)</f>
        <v>0.432</v>
      </c>
      <c r="K139" s="16" t="n">
        <f aca="false">IF(J139="","",J139*$B$15)</f>
        <v>1.119744</v>
      </c>
      <c r="L139" s="16" t="n">
        <f aca="false">IF(D139="","",H139+E139-K139-G139*I139)</f>
        <v>130.431136357507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13.4845731492294</v>
      </c>
      <c r="N139" s="16" t="n">
        <f aca="false">IF(D139="","",(I139+M139)/2)</f>
        <v>13.6127586723133</v>
      </c>
      <c r="O139" s="16" t="n">
        <f aca="false">IF(D139="","",G139*N139)</f>
        <v>2.8151184934344</v>
      </c>
      <c r="P139" s="16" t="n">
        <f aca="false">IF(D139="","",H139+E139-K139-O139)</f>
        <v>130.457645123681</v>
      </c>
      <c r="Q139" s="16" t="n">
        <f aca="false">IF(D139="","",IF(P139&gt;=0,K139,MAX(0,K139+P139)))</f>
        <v>1.119744</v>
      </c>
      <c r="R139" s="16" t="n">
        <f aca="false">IF(D139="","",Q139/$B$15)</f>
        <v>0.432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130.457645123681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80.5294105701733</v>
      </c>
      <c r="Z139" s="18" t="n">
        <f aca="false">IF(D139="","",MAX(0,IF(P139&gt;=0,P139,IF(K139+P139&gt;=0,0,P139+K139))))</f>
        <v>130.457645123681</v>
      </c>
      <c r="AA139" s="18" t="n">
        <f aca="false">IF(D139="","",IF(H139&lt;=$B$16,1,IF(H139&gt;=$B$17,$B$21,MATCH(H139,Aux_CAV!$A$2:$A$121,1))))</f>
        <v>22</v>
      </c>
      <c r="AB139" s="18" t="n">
        <f aca="false">IF(D139="","",IF(L139&lt;=$B$16,1,IF(L139&gt;=$B$17,$B$21,MATCH(L139,Aux_CAV!$A$2:$A$121,1))))</f>
        <v>22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0.144362621623421</v>
      </c>
      <c r="E140" s="16" t="n">
        <f aca="false">IF(D140="","",D140*$B$15)</f>
        <v>0.374187915247907</v>
      </c>
      <c r="F140" s="16" t="n">
        <f aca="false" t="array" ref="F140:F140">IF(D140="","",IFERROR(INDEX(Dados_Evap!$C$2:$N$15,MATCH($B$9,Dados_Evap!$A$2:$A$15,0),C140),0))</f>
        <v>245.9</v>
      </c>
      <c r="G140" s="16" t="n">
        <f aca="false">IF(F140="","",F140/1000)</f>
        <v>0.2459</v>
      </c>
      <c r="H140" s="16" t="n">
        <f aca="false">IF(D140="","",MAX(0,MIN($B$8,IFERROR(LOOKUP(2,1/($U$24:U139&lt;&gt;""),$U$24:U139),$B$11))))</f>
        <v>130.457645123681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13.4865031667507</v>
      </c>
      <c r="J140" s="16" t="n">
        <f aca="false">IF(D140="","",$B$12)</f>
        <v>0.432</v>
      </c>
      <c r="K140" s="16" t="n">
        <f aca="false">IF(J140="","",J140*$B$15)</f>
        <v>1.119744</v>
      </c>
      <c r="L140" s="16" t="n">
        <f aca="false">IF(D140="","",H140+E140-K140-G140*I140)</f>
        <v>126.395757910225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13.1907702971125</v>
      </c>
      <c r="N140" s="16" t="n">
        <f aca="false">IF(D140="","",(I140+M140)/2)</f>
        <v>13.3386367319316</v>
      </c>
      <c r="O140" s="16" t="n">
        <f aca="false">IF(D140="","",G140*N140)</f>
        <v>3.27997077238198</v>
      </c>
      <c r="P140" s="16" t="n">
        <f aca="false">IF(D140="","",H140+E140-K140-O140)</f>
        <v>126.432118266547</v>
      </c>
      <c r="Q140" s="16" t="n">
        <f aca="false">IF(D140="","",IF(P140&gt;=0,K140,MAX(0,K140+P140)))</f>
        <v>1.119744</v>
      </c>
      <c r="R140" s="16" t="n">
        <f aca="false">IF(D140="","",Q140/$B$15)</f>
        <v>0.432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126.432118266547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78.0445174484856</v>
      </c>
      <c r="Z140" s="18" t="n">
        <f aca="false">IF(D140="","",MAX(0,IF(P140&gt;=0,P140,IF(K140+P140&gt;=0,0,P140+K140))))</f>
        <v>126.432118266547</v>
      </c>
      <c r="AA140" s="18" t="n">
        <f aca="false">IF(D140="","",IF(H140&lt;=$B$16,1,IF(H140&gt;=$B$17,$B$21,MATCH(H140,Aux_CAV!$A$2:$A$121,1))))</f>
        <v>22</v>
      </c>
      <c r="AB140" s="18" t="n">
        <f aca="false">IF(D140="","",IF(L140&lt;=$B$16,1,IF(L140&gt;=$B$17,$B$21,MATCH(L140,Aux_CAV!$A$2:$A$121,1))))</f>
        <v>22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0.102685576932334</v>
      </c>
      <c r="E141" s="16" t="n">
        <f aca="false">IF(D141="","",D141*$B$15)</f>
        <v>0.26616101540861</v>
      </c>
      <c r="F141" s="16" t="n">
        <f aca="false" t="array" ref="F141:F141">IF(D141="","",IFERROR(INDEX(Dados_Evap!$C$2:$N$15,MATCH($B$9,Dados_Evap!$A$2:$A$15,0),C141),0))</f>
        <v>282.3</v>
      </c>
      <c r="G141" s="16" t="n">
        <f aca="false">IF(F141="","",F141/1000)</f>
        <v>0.2823</v>
      </c>
      <c r="H141" s="16" t="n">
        <f aca="false">IF(D141="","",MAX(0,MIN($B$8,IFERROR(LOOKUP(2,1/($U$24:U140&lt;&gt;""),$U$24:U140),$B$11))))</f>
        <v>126.432118266547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13.193417577047</v>
      </c>
      <c r="J141" s="16" t="n">
        <f aca="false">IF(D141="","",$B$12)</f>
        <v>0.432</v>
      </c>
      <c r="K141" s="16" t="n">
        <f aca="false">IF(J141="","",J141*$B$15)</f>
        <v>1.119744</v>
      </c>
      <c r="L141" s="16" t="n">
        <f aca="false">IF(D141="","",H141+E141-K141-G141*I141)</f>
        <v>121.854033499955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12.8601020332314</v>
      </c>
      <c r="N141" s="16" t="n">
        <f aca="false">IF(D141="","",(I141+M141)/2)</f>
        <v>13.0267598051392</v>
      </c>
      <c r="O141" s="16" t="n">
        <f aca="false">IF(D141="","",G141*N141)</f>
        <v>3.67745429299079</v>
      </c>
      <c r="P141" s="16" t="n">
        <f aca="false">IF(D141="","",H141+E141-K141-O141)</f>
        <v>121.901080988965</v>
      </c>
      <c r="Q141" s="16" t="n">
        <f aca="false">IF(D141="","",IF(P141&gt;=0,K141,MAX(0,K141+P141)))</f>
        <v>1.119744</v>
      </c>
      <c r="R141" s="16" t="n">
        <f aca="false">IF(D141="","",Q141/$B$15)</f>
        <v>0.432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121.901080988965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75.2475808573855</v>
      </c>
      <c r="Z141" s="18" t="n">
        <f aca="false">IF(D141="","",MAX(0,IF(P141&gt;=0,P141,IF(K141+P141&gt;=0,0,P141+K141))))</f>
        <v>121.901080988965</v>
      </c>
      <c r="AA141" s="18" t="n">
        <f aca="false">IF(D141="","",IF(H141&lt;=$B$16,1,IF(H141&gt;=$B$17,$B$21,MATCH(H141,Aux_CAV!$A$2:$A$121,1))))</f>
        <v>22</v>
      </c>
      <c r="AB141" s="18" t="n">
        <f aca="false">IF(D141="","",IF(L141&lt;=$B$16,1,IF(L141&gt;=$B$17,$B$21,MATCH(L141,Aux_CAV!$A$2:$A$121,1))))</f>
        <v>22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0.0866658575787508</v>
      </c>
      <c r="E142" s="16" t="n">
        <f aca="false">IF(D142="","",D142*$B$15)</f>
        <v>0.224637902844122</v>
      </c>
      <c r="F142" s="16" t="n">
        <f aca="false" t="array" ref="F142:F142">IF(D142="","",IFERROR(INDEX(Dados_Evap!$C$2:$N$15,MATCH($B$9,Dados_Evap!$A$2:$A$15,0),C142),0))</f>
        <v>241.3</v>
      </c>
      <c r="G142" s="16" t="n">
        <f aca="false">IF(F142="","",F142/1000)</f>
        <v>0.2413</v>
      </c>
      <c r="H142" s="16" t="n">
        <f aca="false">IF(D142="","",MAX(0,MIN($B$8,IFERROR(LOOKUP(2,1/($U$24:U141&lt;&gt;""),$U$24:U141),$B$11))))</f>
        <v>121.901080988965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12.8635274087288</v>
      </c>
      <c r="J142" s="16" t="n">
        <f aca="false">IF(D142="","",$B$12)</f>
        <v>0.432</v>
      </c>
      <c r="K142" s="16" t="n">
        <f aca="false">IF(J142="","",J142*$B$15)</f>
        <v>1.119744</v>
      </c>
      <c r="L142" s="16" t="n">
        <f aca="false">IF(D142="","",H142+E142-K142-G142*I142)</f>
        <v>117.902005728082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12.5723676741892</v>
      </c>
      <c r="N142" s="16" t="n">
        <f aca="false">IF(D142="","",(I142+M142)/2)</f>
        <v>12.717947541459</v>
      </c>
      <c r="O142" s="16" t="n">
        <f aca="false">IF(D142="","",G142*N142)</f>
        <v>3.06884074175405</v>
      </c>
      <c r="P142" s="16" t="n">
        <f aca="false">IF(D142="","",H142+E142-K142-O142)</f>
        <v>117.937134150055</v>
      </c>
      <c r="Q142" s="16" t="n">
        <f aca="false">IF(D142="","",IF(P142&gt;=0,K142,MAX(0,K142+P142)))</f>
        <v>1.119744</v>
      </c>
      <c r="R142" s="16" t="n">
        <f aca="false">IF(D142="","",Q142/$B$15)</f>
        <v>0.432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117.937134150055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72.8007000926263</v>
      </c>
      <c r="Z142" s="18" t="n">
        <f aca="false">IF(D142="","",MAX(0,IF(P142&gt;=0,P142,IF(K142+P142&gt;=0,0,P142+K142))))</f>
        <v>117.937134150055</v>
      </c>
      <c r="AA142" s="18" t="n">
        <f aca="false">IF(D142="","",IF(H142&lt;=$B$16,1,IF(H142&gt;=$B$17,$B$21,MATCH(H142,Aux_CAV!$A$2:$A$121,1))))</f>
        <v>22</v>
      </c>
      <c r="AB142" s="18" t="n">
        <f aca="false">IF(D142="","",IF(L142&lt;=$B$16,1,IF(L142&gt;=$B$17,$B$21,MATCH(L142,Aux_CAV!$A$2:$A$121,1))))</f>
        <v>22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0.07290647157612</v>
      </c>
      <c r="E143" s="16" t="n">
        <f aca="false">IF(D143="","",D143*$B$15)</f>
        <v>0.188973574325303</v>
      </c>
      <c r="F143" s="16" t="n">
        <f aca="false" t="array" ref="F143:F143">IF(D143="","",IFERROR(INDEX(Dados_Evap!$C$2:$N$15,MATCH($B$9,Dados_Evap!$A$2:$A$15,0),C143),0))</f>
        <v>241.8</v>
      </c>
      <c r="G143" s="16" t="n">
        <f aca="false">IF(F143="","",F143/1000)</f>
        <v>0.2418</v>
      </c>
      <c r="H143" s="16" t="n">
        <f aca="false">IF(D143="","",MAX(0,MIN($B$8,IFERROR(LOOKUP(2,1/($U$24:U142&lt;&gt;""),$U$24:U142),$B$11))))</f>
        <v>117.937134150055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12.5749252609684</v>
      </c>
      <c r="J143" s="16" t="n">
        <f aca="false">IF(D143="","",$B$12)</f>
        <v>0.432</v>
      </c>
      <c r="K143" s="16" t="n">
        <f aca="false">IF(J143="","",J143*$B$15)</f>
        <v>1.119744</v>
      </c>
      <c r="L143" s="16" t="n">
        <f aca="false">IF(D143="","",H143+E143-K143-G143*I143)</f>
        <v>113.965746796278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12.2857813933873</v>
      </c>
      <c r="N143" s="16" t="n">
        <f aca="false">IF(D143="","",(I143+M143)/2)</f>
        <v>12.4303533271778</v>
      </c>
      <c r="O143" s="16" t="n">
        <f aca="false">IF(D143="","",G143*N143)</f>
        <v>3.0056594345116</v>
      </c>
      <c r="P143" s="16" t="n">
        <f aca="false">IF(D143="","",H143+E143-K143-O143)</f>
        <v>114.000704289868</v>
      </c>
      <c r="Q143" s="16" t="n">
        <f aca="false">IF(D143="","",IF(P143&gt;=0,K143,MAX(0,K143+P143)))</f>
        <v>1.119744</v>
      </c>
      <c r="R143" s="16" t="n">
        <f aca="false">IF(D143="","",Q143/$B$15)</f>
        <v>0.432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114.000704289868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70.3708051172027</v>
      </c>
      <c r="Z143" s="18" t="n">
        <f aca="false">IF(D143="","",MAX(0,IF(P143&gt;=0,P143,IF(K143+P143&gt;=0,0,P143+K143))))</f>
        <v>114.000704289868</v>
      </c>
      <c r="AA143" s="18" t="n">
        <f aca="false">IF(D143="","",IF(H143&lt;=$B$16,1,IF(H143&gt;=$B$17,$B$21,MATCH(H143,Aux_CAV!$A$2:$A$121,1))))</f>
        <v>22</v>
      </c>
      <c r="AB143" s="18" t="n">
        <f aca="false">IF(D143="","",IF(L143&lt;=$B$16,1,IF(L143&gt;=$B$17,$B$21,MATCH(L143,Aux_CAV!$A$2:$A$121,1))))</f>
        <v>22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0.0657451141653148</v>
      </c>
      <c r="E144" s="16" t="n">
        <f aca="false">IF(D144="","",D144*$B$15)</f>
        <v>0.170411335916496</v>
      </c>
      <c r="F144" s="16" t="n">
        <f aca="false" t="array" ref="F144:F144">IF(D144="","",IFERROR(INDEX(Dados_Evap!$C$2:$N$15,MATCH($B$9,Dados_Evap!$A$2:$A$15,0),C144),0))</f>
        <v>189</v>
      </c>
      <c r="G144" s="16" t="n">
        <f aca="false">IF(F144="","",F144/1000)</f>
        <v>0.189</v>
      </c>
      <c r="H144" s="16" t="n">
        <f aca="false">IF(D144="","",MAX(0,MIN($B$8,IFERROR(LOOKUP(2,1/($U$24:U143&lt;&gt;""),$U$24:U143),$B$11))))</f>
        <v>114.000704289868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12.2883265354239</v>
      </c>
      <c r="J144" s="16" t="n">
        <f aca="false">IF(D144="","",$B$12)</f>
        <v>0.432</v>
      </c>
      <c r="K144" s="16" t="n">
        <f aca="false">IF(J144="","",J144*$B$15)</f>
        <v>1.119744</v>
      </c>
      <c r="L144" s="16" t="n">
        <f aca="false">IF(D144="","",H144+E144-K144-G144*I144)</f>
        <v>110.72887791059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12.0501154396316</v>
      </c>
      <c r="N144" s="16" t="n">
        <f aca="false">IF(D144="","",(I144+M144)/2)</f>
        <v>12.1692209875278</v>
      </c>
      <c r="O144" s="16" t="n">
        <f aca="false">IF(D144="","",G144*N144)</f>
        <v>2.29998276664275</v>
      </c>
      <c r="P144" s="16" t="n">
        <f aca="false">IF(D144="","",H144+E144-K144-O144)</f>
        <v>110.751388859142</v>
      </c>
      <c r="Q144" s="16" t="n">
        <f aca="false">IF(D144="","",IF(P144&gt;=0,K144,MAX(0,K144+P144)))</f>
        <v>1.119744</v>
      </c>
      <c r="R144" s="16" t="n">
        <f aca="false">IF(D144="","",Q144/$B$15)</f>
        <v>0.432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110.751388859142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68.3650548513223</v>
      </c>
      <c r="Z144" s="18" t="n">
        <f aca="false">IF(D144="","",MAX(0,IF(P144&gt;=0,P144,IF(K144+P144&gt;=0,0,P144+K144))))</f>
        <v>110.751388859142</v>
      </c>
      <c r="AA144" s="18" t="n">
        <f aca="false">IF(D144="","",IF(H144&lt;=$B$16,1,IF(H144&gt;=$B$17,$B$21,MATCH(H144,Aux_CAV!$A$2:$A$121,1))))</f>
        <v>22</v>
      </c>
      <c r="AB144" s="18" t="n">
        <f aca="false">IF(D144="","",IF(L144&lt;=$B$16,1,IF(L144&gt;=$B$17,$B$21,MATCH(L144,Aux_CAV!$A$2:$A$121,1))))</f>
        <v>22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0.0726589296581116</v>
      </c>
      <c r="E145" s="16" t="n">
        <f aca="false">IF(D145="","",D145*$B$15)</f>
        <v>0.188331945673825</v>
      </c>
      <c r="F145" s="16" t="n">
        <f aca="false" t="array" ref="F145:F145">IF(D145="","",IFERROR(INDEX(Dados_Evap!$C$2:$N$15,MATCH($B$9,Dados_Evap!$A$2:$A$15,0),C145),0))</f>
        <v>136.9</v>
      </c>
      <c r="G145" s="16" t="n">
        <f aca="false">IF(F145="","",F145/1000)</f>
        <v>0.1369</v>
      </c>
      <c r="H145" s="16" t="n">
        <f aca="false">IF(D145="","",MAX(0,MIN($B$8,IFERROR(LOOKUP(2,1/($U$24:U144&lt;&gt;""),$U$24:U144),$B$11))))</f>
        <v>110.751388859142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12.051754388983</v>
      </c>
      <c r="J145" s="16" t="n">
        <f aca="false">IF(D145="","",$B$12)</f>
        <v>0.432</v>
      </c>
      <c r="K145" s="16" t="n">
        <f aca="false">IF(J145="","",J145*$B$15)</f>
        <v>1.119744</v>
      </c>
      <c r="L145" s="16" t="n">
        <f aca="false">IF(D145="","",H145+E145-K145-G145*I145)</f>
        <v>108.170091628964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11.8638184869863</v>
      </c>
      <c r="N145" s="16" t="n">
        <f aca="false">IF(D145="","",(I145+M145)/2)</f>
        <v>11.9577864379847</v>
      </c>
      <c r="O145" s="16" t="n">
        <f aca="false">IF(D145="","",G145*N145)</f>
        <v>1.6370209633601</v>
      </c>
      <c r="P145" s="16" t="n">
        <f aca="false">IF(D145="","",H145+E145-K145-O145)</f>
        <v>108.182955841456</v>
      </c>
      <c r="Q145" s="16" t="n">
        <f aca="false">IF(D145="","",IF(P145&gt;=0,K145,MAX(0,K145+P145)))</f>
        <v>1.119744</v>
      </c>
      <c r="R145" s="16" t="n">
        <f aca="false">IF(D145="","",Q145/$B$15)</f>
        <v>0.432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108.182955841456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66.779602371269</v>
      </c>
      <c r="Z145" s="18" t="n">
        <f aca="false">IF(D145="","",MAX(0,IF(P145&gt;=0,P145,IF(K145+P145&gt;=0,0,P145+K145))))</f>
        <v>108.182955841456</v>
      </c>
      <c r="AA145" s="18" t="n">
        <f aca="false">IF(D145="","",IF(H145&lt;=$B$16,1,IF(H145&gt;=$B$17,$B$21,MATCH(H145,Aux_CAV!$A$2:$A$121,1))))</f>
        <v>22</v>
      </c>
      <c r="AB145" s="18" t="n">
        <f aca="false">IF(D145="","",IF(L145&lt;=$B$16,1,IF(L145&gt;=$B$17,$B$21,MATCH(L145,Aux_CAV!$A$2:$A$121,1))))</f>
        <v>22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0.884178096502283</v>
      </c>
      <c r="E146" s="16" t="n">
        <f aca="false">IF(D146="","",D146*$B$15)</f>
        <v>2.29178962613392</v>
      </c>
      <c r="F146" s="16" t="n">
        <f aca="false" t="array" ref="F146:F146">IF(D146="","",IFERROR(INDEX(Dados_Evap!$C$2:$N$15,MATCH($B$9,Dados_Evap!$A$2:$A$15,0),C146),0))</f>
        <v>102.9</v>
      </c>
      <c r="G146" s="16" t="n">
        <f aca="false">IF(F146="","",F146/1000)</f>
        <v>0.1029</v>
      </c>
      <c r="H146" s="16" t="n">
        <f aca="false">IF(D146="","",MAX(0,MIN($B$8,IFERROR(LOOKUP(2,1/($U$24:U145&lt;&gt;""),$U$24:U145),$B$11))))</f>
        <v>108.182955841456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11.8647550886879</v>
      </c>
      <c r="J146" s="16" t="n">
        <f aca="false">IF(D146="","",$B$12)</f>
        <v>0.432</v>
      </c>
      <c r="K146" s="16" t="n">
        <f aca="false">IF(J146="","",J146*$B$15)</f>
        <v>1.119744</v>
      </c>
      <c r="L146" s="16" t="n">
        <f aca="false">IF(D146="","",H146+E146-K146-G146*I146)</f>
        <v>108.134118168964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11.8611993757216</v>
      </c>
      <c r="N146" s="16" t="n">
        <f aca="false">IF(D146="","",(I146+M146)/2)</f>
        <v>11.8629772322048</v>
      </c>
      <c r="O146" s="16" t="n">
        <f aca="false">IF(D146="","",G146*N146)</f>
        <v>1.22070035719387</v>
      </c>
      <c r="P146" s="16" t="n">
        <f aca="false">IF(D146="","",H146+E146-K146-O146)</f>
        <v>108.134301110396</v>
      </c>
      <c r="Q146" s="16" t="n">
        <f aca="false">IF(D146="","",IF(P146&gt;=0,K146,MAX(0,K146+P146)))</f>
        <v>1.119744</v>
      </c>
      <c r="R146" s="16" t="n">
        <f aca="false">IF(D146="","",Q146/$B$15)</f>
        <v>0.432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108.134301110396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66.7495685866641</v>
      </c>
      <c r="Z146" s="18" t="n">
        <f aca="false">IF(D146="","",MAX(0,IF(P146&gt;=0,P146,IF(K146+P146&gt;=0,0,P146+K146))))</f>
        <v>108.134301110396</v>
      </c>
      <c r="AA146" s="18" t="n">
        <f aca="false">IF(D146="","",IF(H146&lt;=$B$16,1,IF(H146&gt;=$B$17,$B$21,MATCH(H146,Aux_CAV!$A$2:$A$121,1))))</f>
        <v>22</v>
      </c>
      <c r="AB146" s="18" t="n">
        <f aca="false">IF(D146="","",IF(L146&lt;=$B$16,1,IF(L146&gt;=$B$17,$B$21,MATCH(L146,Aux_CAV!$A$2:$A$121,1))))</f>
        <v>22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1.75189989437179</v>
      </c>
      <c r="E147" s="16" t="n">
        <f aca="false">IF(D147="","",D147*$B$15)</f>
        <v>4.54092452621168</v>
      </c>
      <c r="F147" s="16" t="n">
        <f aca="false" t="array" ref="F147:F147">IF(D147="","",IFERROR(INDEX(Dados_Evap!$C$2:$N$15,MATCH($B$9,Dados_Evap!$A$2:$A$15,0),C147),0))</f>
        <v>81.8</v>
      </c>
      <c r="G147" s="16" t="n">
        <f aca="false">IF(F147="","",F147/1000)</f>
        <v>0.0818</v>
      </c>
      <c r="H147" s="16" t="n">
        <f aca="false">IF(D147="","",MAX(0,MIN($B$8,IFERROR(LOOKUP(2,1/($U$24:U146&lt;&gt;""),$U$24:U146),$B$11))))</f>
        <v>108.134301110396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11.8612126950956</v>
      </c>
      <c r="J147" s="16" t="n">
        <f aca="false">IF(D147="","",$B$12)</f>
        <v>0.432</v>
      </c>
      <c r="K147" s="16" t="n">
        <f aca="false">IF(J147="","",J147*$B$15)</f>
        <v>1.119744</v>
      </c>
      <c r="L147" s="16" t="n">
        <f aca="false">IF(D147="","",H147+E147-K147-G147*I147)</f>
        <v>110.585234438149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12.0396572230251</v>
      </c>
      <c r="N147" s="16" t="n">
        <f aca="false">IF(D147="","",(I147+M147)/2)</f>
        <v>11.9504349590603</v>
      </c>
      <c r="O147" s="16" t="n">
        <f aca="false">IF(D147="","",G147*N147)</f>
        <v>0.977545579651135</v>
      </c>
      <c r="P147" s="16" t="n">
        <f aca="false">IF(D147="","",H147+E147-K147-O147)</f>
        <v>110.577936056956</v>
      </c>
      <c r="Q147" s="16" t="n">
        <f aca="false">IF(D147="","",IF(P147&gt;=0,K147,MAX(0,K147+P147)))</f>
        <v>1.119744</v>
      </c>
      <c r="R147" s="16" t="n">
        <f aca="false">IF(D147="","",Q147/$B$15)</f>
        <v>0.432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110.577936056956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68.2579852203435</v>
      </c>
      <c r="Z147" s="18" t="n">
        <f aca="false">IF(D147="","",MAX(0,IF(P147&gt;=0,P147,IF(K147+P147&gt;=0,0,P147+K147))))</f>
        <v>110.577936056956</v>
      </c>
      <c r="AA147" s="18" t="n">
        <f aca="false">IF(D147="","",IF(H147&lt;=$B$16,1,IF(H147&gt;=$B$17,$B$21,MATCH(H147,Aux_CAV!$A$2:$A$121,1))))</f>
        <v>22</v>
      </c>
      <c r="AB147" s="18" t="n">
        <f aca="false">IF(D147="","",IF(L147&lt;=$B$16,1,IF(L147&gt;=$B$17,$B$21,MATCH(L147,Aux_CAV!$A$2:$A$121,1))))</f>
        <v>22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2.55551968500814</v>
      </c>
      <c r="E148" s="16" t="n">
        <f aca="false">IF(D148="","",D148*$B$15)</f>
        <v>6.6239070235411</v>
      </c>
      <c r="F148" s="16" t="n">
        <f aca="false" t="array" ref="F148:F148">IF(D148="","",IFERROR(INDEX(Dados_Evap!$C$2:$N$15,MATCH($B$9,Dados_Evap!$A$2:$A$15,0),C148),0))</f>
        <v>83.6</v>
      </c>
      <c r="G148" s="16" t="n">
        <f aca="false">IF(F148="","",F148/1000)</f>
        <v>0.0836</v>
      </c>
      <c r="H148" s="16" t="n">
        <f aca="false">IF(D148="","",MAX(0,MIN($B$8,IFERROR(LOOKUP(2,1/($U$24:U147&lt;&gt;""),$U$24:U147),$B$11))))</f>
        <v>110.577936056956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12.0391258514974</v>
      </c>
      <c r="J148" s="16" t="n">
        <f aca="false">IF(D148="","",$B$12)</f>
        <v>0.432</v>
      </c>
      <c r="K148" s="16" t="n">
        <f aca="false">IF(J148="","",J148*$B$15)</f>
        <v>1.119744</v>
      </c>
      <c r="L148" s="16" t="n">
        <f aca="false">IF(D148="","",H148+E148-K148-G148*I148)</f>
        <v>115.075628159312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12.3665882654641</v>
      </c>
      <c r="N148" s="16" t="n">
        <f aca="false">IF(D148="","",(I148+M148)/2)</f>
        <v>12.2028570584807</v>
      </c>
      <c r="O148" s="16" t="n">
        <f aca="false">IF(D148="","",G148*N148)</f>
        <v>1.02015885008899</v>
      </c>
      <c r="P148" s="16" t="n">
        <f aca="false">IF(D148="","",H148+E148-K148-O148)</f>
        <v>115.061940230409</v>
      </c>
      <c r="Q148" s="16" t="n">
        <f aca="false">IF(D148="","",IF(P148&gt;=0,K148,MAX(0,K148+P148)))</f>
        <v>1.119744</v>
      </c>
      <c r="R148" s="16" t="n">
        <f aca="false">IF(D148="","",Q148/$B$15)</f>
        <v>0.432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115.061940230409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71.0258890311164</v>
      </c>
      <c r="Z148" s="18" t="n">
        <f aca="false">IF(D148="","",MAX(0,IF(P148&gt;=0,P148,IF(K148+P148&gt;=0,0,P148+K148))))</f>
        <v>115.061940230409</v>
      </c>
      <c r="AA148" s="18" t="n">
        <f aca="false">IF(D148="","",IF(H148&lt;=$B$16,1,IF(H148&gt;=$B$17,$B$21,MATCH(H148,Aux_CAV!$A$2:$A$121,1))))</f>
        <v>22</v>
      </c>
      <c r="AB148" s="18" t="n">
        <f aca="false">IF(D148="","",IF(L148&lt;=$B$16,1,IF(L148&gt;=$B$17,$B$21,MATCH(L148,Aux_CAV!$A$2:$A$121,1))))</f>
        <v>22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1.67183152766275</v>
      </c>
      <c r="E149" s="16" t="n">
        <f aca="false">IF(D149="","",D149*$B$15)</f>
        <v>4.33338731970185</v>
      </c>
      <c r="F149" s="16" t="n">
        <f aca="false" t="array" ref="F149:F149">IF(D149="","",IFERROR(INDEX(Dados_Evap!$C$2:$N$15,MATCH($B$9,Dados_Evap!$A$2:$A$15,0),C149),0))</f>
        <v>108.2</v>
      </c>
      <c r="G149" s="16" t="n">
        <f aca="false">IF(F149="","",F149/1000)</f>
        <v>0.1082</v>
      </c>
      <c r="H149" s="16" t="n">
        <f aca="false">IF(D149="","",MAX(0,MIN($B$8,IFERROR(LOOKUP(2,1/($U$24:U148&lt;&gt;""),$U$24:U148),$B$11))))</f>
        <v>115.061940230409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12.3655916916348</v>
      </c>
      <c r="J149" s="16" t="n">
        <f aca="false">IF(D149="","",$B$12)</f>
        <v>0.432</v>
      </c>
      <c r="K149" s="16" t="n">
        <f aca="false">IF(J149="","",J149*$B$15)</f>
        <v>1.119744</v>
      </c>
      <c r="L149" s="16" t="n">
        <f aca="false">IF(D149="","",H149+E149-K149-G149*I149)</f>
        <v>116.937626529075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12.5021543440414</v>
      </c>
      <c r="N149" s="16" t="n">
        <f aca="false">IF(D149="","",(I149+M149)/2)</f>
        <v>12.4338730178381</v>
      </c>
      <c r="O149" s="16" t="n">
        <f aca="false">IF(D149="","",G149*N149)</f>
        <v>1.34534506053008</v>
      </c>
      <c r="P149" s="16" t="n">
        <f aca="false">IF(D149="","",H149+E149-K149-O149)</f>
        <v>116.93023848958</v>
      </c>
      <c r="Q149" s="16" t="n">
        <f aca="false">IF(D149="","",IF(P149&gt;=0,K149,MAX(0,K149+P149)))</f>
        <v>1.119744</v>
      </c>
      <c r="R149" s="16" t="n">
        <f aca="false">IF(D149="","",Q149/$B$15)</f>
        <v>0.432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116.93023848958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72.1791595614693</v>
      </c>
      <c r="Z149" s="18" t="n">
        <f aca="false">IF(D149="","",MAX(0,IF(P149&gt;=0,P149,IF(K149+P149&gt;=0,0,P149+K149))))</f>
        <v>116.93023848958</v>
      </c>
      <c r="AA149" s="18" t="n">
        <f aca="false">IF(D149="","",IF(H149&lt;=$B$16,1,IF(H149&gt;=$B$17,$B$21,MATCH(H149,Aux_CAV!$A$2:$A$121,1))))</f>
        <v>22</v>
      </c>
      <c r="AB149" s="18" t="n">
        <f aca="false">IF(D149="","",IF(L149&lt;=$B$16,1,IF(L149&gt;=$B$17,$B$21,MATCH(L149,Aux_CAV!$A$2:$A$121,1))))</f>
        <v>22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0.938316798957682</v>
      </c>
      <c r="E150" s="16" t="n">
        <f aca="false">IF(D150="","",D150*$B$15)</f>
        <v>2.43211714289831</v>
      </c>
      <c r="F150" s="16" t="n">
        <f aca="false" t="array" ref="F150:F150">IF(D150="","",IFERROR(INDEX(Dados_Evap!$C$2:$N$15,MATCH($B$9,Dados_Evap!$A$2:$A$15,0),C150),0))</f>
        <v>149</v>
      </c>
      <c r="G150" s="16" t="n">
        <f aca="false">IF(F150="","",F150/1000)</f>
        <v>0.149</v>
      </c>
      <c r="H150" s="16" t="n">
        <f aca="false">IF(D150="","",MAX(0,MIN($B$8,IFERROR(LOOKUP(2,1/($U$24:U149&lt;&gt;""),$U$24:U149),$B$11))))</f>
        <v>116.93023848958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12.5016164447827</v>
      </c>
      <c r="J150" s="16" t="n">
        <f aca="false">IF(D150="","",$B$12)</f>
        <v>0.432</v>
      </c>
      <c r="K150" s="16" t="n">
        <f aca="false">IF(J150="","",J150*$B$15)</f>
        <v>1.119744</v>
      </c>
      <c r="L150" s="16" t="n">
        <f aca="false">IF(D150="","",H150+E150-K150-G150*I150)</f>
        <v>116.379870782206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12.4615459522001</v>
      </c>
      <c r="N150" s="16" t="n">
        <f aca="false">IF(D150="","",(I150+M150)/2)</f>
        <v>12.4815811984914</v>
      </c>
      <c r="O150" s="16" t="n">
        <f aca="false">IF(D150="","",G150*N150)</f>
        <v>1.85975559857522</v>
      </c>
      <c r="P150" s="16" t="n">
        <f aca="false">IF(D150="","",H150+E150-K150-O150)</f>
        <v>116.382856033903</v>
      </c>
      <c r="Q150" s="16" t="n">
        <f aca="false">IF(D150="","",IF(P150&gt;=0,K150,MAX(0,K150+P150)))</f>
        <v>1.119744</v>
      </c>
      <c r="R150" s="16" t="n">
        <f aca="false">IF(D150="","",Q150/$B$15)</f>
        <v>0.432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116.382856033903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71.8412691567305</v>
      </c>
      <c r="Z150" s="18" t="n">
        <f aca="false">IF(D150="","",MAX(0,IF(P150&gt;=0,P150,IF(K150+P150&gt;=0,0,P150+K150))))</f>
        <v>116.382856033903</v>
      </c>
      <c r="AA150" s="18" t="n">
        <f aca="false">IF(D150="","",IF(H150&lt;=$B$16,1,IF(H150&gt;=$B$17,$B$21,MATCH(H150,Aux_CAV!$A$2:$A$121,1))))</f>
        <v>22</v>
      </c>
      <c r="AB150" s="18" t="n">
        <f aca="false">IF(D150="","",IF(L150&lt;=$B$16,1,IF(L150&gt;=$B$17,$B$21,MATCH(L150,Aux_CAV!$A$2:$A$121,1))))</f>
        <v>22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0.354055371409675</v>
      </c>
      <c r="E151" s="16" t="n">
        <f aca="false">IF(D151="","",D151*$B$15)</f>
        <v>0.917711522693878</v>
      </c>
      <c r="F151" s="16" t="n">
        <f aca="false" t="array" ref="F151:F151">IF(D151="","",IFERROR(INDEX(Dados_Evap!$C$2:$N$15,MATCH($B$9,Dados_Evap!$A$2:$A$15,0),C151),0))</f>
        <v>206.8</v>
      </c>
      <c r="G151" s="16" t="n">
        <f aca="false">IF(F151="","",F151/1000)</f>
        <v>0.2068</v>
      </c>
      <c r="H151" s="16" t="n">
        <f aca="false">IF(D151="","",MAX(0,MIN($B$8,IFERROR(LOOKUP(2,1/($U$24:U150&lt;&gt;""),$U$24:U150),$B$11))))</f>
        <v>116.382856033903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12.4617632987203</v>
      </c>
      <c r="J151" s="16" t="n">
        <f aca="false">IF(D151="","",$B$12)</f>
        <v>0.432</v>
      </c>
      <c r="K151" s="16" t="n">
        <f aca="false">IF(J151="","",J151*$B$15)</f>
        <v>1.119744</v>
      </c>
      <c r="L151" s="16" t="n">
        <f aca="false">IF(D151="","",H151+E151-K151-G151*I151)</f>
        <v>113.603730906422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12.259424187405</v>
      </c>
      <c r="N151" s="16" t="n">
        <f aca="false">IF(D151="","",(I151+M151)/2)</f>
        <v>12.3605937430627</v>
      </c>
      <c r="O151" s="16" t="n">
        <f aca="false">IF(D151="","",G151*N151)</f>
        <v>2.55617078606536</v>
      </c>
      <c r="P151" s="16" t="n">
        <f aca="false">IF(D151="","",H151+E151-K151-O151)</f>
        <v>113.624652770532</v>
      </c>
      <c r="Q151" s="16" t="n">
        <f aca="false">IF(D151="","",IF(P151&gt;=0,K151,MAX(0,K151+P151)))</f>
        <v>1.119744</v>
      </c>
      <c r="R151" s="16" t="n">
        <f aca="false">IF(D151="","",Q151/$B$15)</f>
        <v>0.432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113.624652770532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70.138674549711</v>
      </c>
      <c r="Z151" s="18" t="n">
        <f aca="false">IF(D151="","",MAX(0,IF(P151&gt;=0,P151,IF(K151+P151&gt;=0,0,P151+K151))))</f>
        <v>113.624652770532</v>
      </c>
      <c r="AA151" s="18" t="n">
        <f aca="false">IF(D151="","",IF(H151&lt;=$B$16,1,IF(H151&gt;=$B$17,$B$21,MATCH(H151,Aux_CAV!$A$2:$A$121,1))))</f>
        <v>22</v>
      </c>
      <c r="AB151" s="18" t="n">
        <f aca="false">IF(D151="","",IF(L151&lt;=$B$16,1,IF(L151&gt;=$B$17,$B$21,MATCH(L151,Aux_CAV!$A$2:$A$121,1))))</f>
        <v>22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0.219563008002489</v>
      </c>
      <c r="E152" s="16" t="n">
        <f aca="false">IF(D152="","",D152*$B$15)</f>
        <v>0.569107316742452</v>
      </c>
      <c r="F152" s="16" t="n">
        <f aca="false" t="array" ref="F152:F152">IF(D152="","",IFERROR(INDEX(Dados_Evap!$C$2:$N$15,MATCH($B$9,Dados_Evap!$A$2:$A$15,0),C152),0))</f>
        <v>245.9</v>
      </c>
      <c r="G152" s="16" t="n">
        <f aca="false">IF(F152="","",F152/1000)</f>
        <v>0.2459</v>
      </c>
      <c r="H152" s="16" t="n">
        <f aca="false">IF(D152="","",MAX(0,MIN($B$8,IFERROR(LOOKUP(2,1/($U$24:U151&lt;&gt;""),$U$24:U151),$B$11))))</f>
        <v>113.624652770532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12.2609474406581</v>
      </c>
      <c r="J152" s="16" t="n">
        <f aca="false">IF(D152="","",$B$12)</f>
        <v>0.432</v>
      </c>
      <c r="K152" s="16" t="n">
        <f aca="false">IF(J152="","",J152*$B$15)</f>
        <v>1.119744</v>
      </c>
      <c r="L152" s="16" t="n">
        <f aca="false">IF(D152="","",H152+E152-K152-G152*I152)</f>
        <v>110.059049111617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12.0013473713725</v>
      </c>
      <c r="N152" s="16" t="n">
        <f aca="false">IF(D152="","",(I152+M152)/2)</f>
        <v>12.1311474060153</v>
      </c>
      <c r="O152" s="16" t="n">
        <f aca="false">IF(D152="","",G152*N152)</f>
        <v>2.98304914713917</v>
      </c>
      <c r="P152" s="16" t="n">
        <f aca="false">IF(D152="","",H152+E152-K152-O152)</f>
        <v>110.090966940135</v>
      </c>
      <c r="Q152" s="16" t="n">
        <f aca="false">IF(D152="","",IF(P152&gt;=0,K152,MAX(0,K152+P152)))</f>
        <v>1.119744</v>
      </c>
      <c r="R152" s="16" t="n">
        <f aca="false">IF(D152="","",Q152/$B$15)</f>
        <v>0.432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110.090966940135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67.9573870000834</v>
      </c>
      <c r="Z152" s="18" t="n">
        <f aca="false">IF(D152="","",MAX(0,IF(P152&gt;=0,P152,IF(K152+P152&gt;=0,0,P152+K152))))</f>
        <v>110.090966940135</v>
      </c>
      <c r="AA152" s="18" t="n">
        <f aca="false">IF(D152="","",IF(H152&lt;=$B$16,1,IF(H152&gt;=$B$17,$B$21,MATCH(H152,Aux_CAV!$A$2:$A$121,1))))</f>
        <v>22</v>
      </c>
      <c r="AB152" s="18" t="n">
        <f aca="false">IF(D152="","",IF(L152&lt;=$B$16,1,IF(L152&gt;=$B$17,$B$21,MATCH(L152,Aux_CAV!$A$2:$A$121,1))))</f>
        <v>22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0.172320416056201</v>
      </c>
      <c r="E153" s="16" t="n">
        <f aca="false">IF(D153="","",D153*$B$15)</f>
        <v>0.446654518417673</v>
      </c>
      <c r="F153" s="16" t="n">
        <f aca="false" t="array" ref="F153:F153">IF(D153="","",IFERROR(INDEX(Dados_Evap!$C$2:$N$15,MATCH($B$9,Dados_Evap!$A$2:$A$15,0),C153),0))</f>
        <v>282.3</v>
      </c>
      <c r="G153" s="16" t="n">
        <f aca="false">IF(F153="","",F153/1000)</f>
        <v>0.2823</v>
      </c>
      <c r="H153" s="16" t="n">
        <f aca="false">IF(D153="","",MAX(0,MIN($B$8,IFERROR(LOOKUP(2,1/($U$24:U152&lt;&gt;""),$U$24:U152),$B$11))))</f>
        <v>110.090966940135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12.0036712052272</v>
      </c>
      <c r="J153" s="16" t="n">
        <f aca="false">IF(D153="","",$B$12)</f>
        <v>0.432</v>
      </c>
      <c r="K153" s="16" t="n">
        <f aca="false">IF(J153="","",J153*$B$15)</f>
        <v>1.119744</v>
      </c>
      <c r="L153" s="16" t="n">
        <f aca="false">IF(D153="","",H153+E153-K153-G153*I153)</f>
        <v>106.029241077317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11.7079500830071</v>
      </c>
      <c r="N153" s="16" t="n">
        <f aca="false">IF(D153="","",(I153+M153)/2)</f>
        <v>11.8558106441172</v>
      </c>
      <c r="O153" s="16" t="n">
        <f aca="false">IF(D153="","",G153*N153)</f>
        <v>3.34689534483428</v>
      </c>
      <c r="P153" s="16" t="n">
        <f aca="false">IF(D153="","",H153+E153-K153-O153)</f>
        <v>106.070982113719</v>
      </c>
      <c r="Q153" s="16" t="n">
        <f aca="false">IF(D153="","",IF(P153&gt;=0,K153,MAX(0,K153+P153)))</f>
        <v>1.119744</v>
      </c>
      <c r="R153" s="16" t="n">
        <f aca="false">IF(D153="","",Q153/$B$15)</f>
        <v>0.432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106.070982113719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65.4759148850115</v>
      </c>
      <c r="Z153" s="18" t="n">
        <f aca="false">IF(D153="","",MAX(0,IF(P153&gt;=0,P153,IF(K153+P153&gt;=0,0,P153+K153))))</f>
        <v>106.070982113719</v>
      </c>
      <c r="AA153" s="18" t="n">
        <f aca="false">IF(D153="","",IF(H153&lt;=$B$16,1,IF(H153&gt;=$B$17,$B$21,MATCH(H153,Aux_CAV!$A$2:$A$121,1))))</f>
        <v>22</v>
      </c>
      <c r="AB153" s="18" t="n">
        <f aca="false">IF(D153="","",IF(L153&lt;=$B$16,1,IF(L153&gt;=$B$17,$B$21,MATCH(L153,Aux_CAV!$A$2:$A$121,1))))</f>
        <v>22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0.256134080173036</v>
      </c>
      <c r="E154" s="16" t="n">
        <f aca="false">IF(D154="","",D154*$B$15)</f>
        <v>0.663899535808509</v>
      </c>
      <c r="F154" s="16" t="n">
        <f aca="false" t="array" ref="F154:F154">IF(D154="","",IFERROR(INDEX(Dados_Evap!$C$2:$N$15,MATCH($B$9,Dados_Evap!$A$2:$A$15,0),C154),0))</f>
        <v>241.3</v>
      </c>
      <c r="G154" s="16" t="n">
        <f aca="false">IF(F154="","",F154/1000)</f>
        <v>0.2413</v>
      </c>
      <c r="H154" s="16" t="n">
        <f aca="false">IF(D154="","",MAX(0,MIN($B$8,IFERROR(LOOKUP(2,1/($U$24:U153&lt;&gt;""),$U$24:U153),$B$11))))</f>
        <v>106.070982113719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11.7109891128541</v>
      </c>
      <c r="J154" s="16" t="n">
        <f aca="false">IF(D154="","",$B$12)</f>
        <v>0.432</v>
      </c>
      <c r="K154" s="16" t="n">
        <f aca="false">IF(J154="","",J154*$B$15)</f>
        <v>1.119744</v>
      </c>
      <c r="L154" s="16" t="n">
        <f aca="false">IF(D154="","",H154+E154-K154-G154*I154)</f>
        <v>102.789275976595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11.4720587038498</v>
      </c>
      <c r="N154" s="16" t="n">
        <f aca="false">IF(D154="","",(I154+M154)/2)</f>
        <v>11.5915239083519</v>
      </c>
      <c r="O154" s="16" t="n">
        <f aca="false">IF(D154="","",G154*N154)</f>
        <v>2.79703471908532</v>
      </c>
      <c r="P154" s="16" t="n">
        <f aca="false">IF(D154="","",H154+E154-K154-O154)</f>
        <v>102.818102930442</v>
      </c>
      <c r="Q154" s="16" t="n">
        <f aca="false">IF(D154="","",IF(P154&gt;=0,K154,MAX(0,K154+P154)))</f>
        <v>1.119744</v>
      </c>
      <c r="R154" s="16" t="n">
        <f aca="false">IF(D154="","",Q154/$B$15)</f>
        <v>0.432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102.818102930442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63.4679647718776</v>
      </c>
      <c r="Z154" s="18" t="n">
        <f aca="false">IF(D154="","",MAX(0,IF(P154&gt;=0,P154,IF(K154+P154&gt;=0,0,P154+K154))))</f>
        <v>102.818102930442</v>
      </c>
      <c r="AA154" s="18" t="n">
        <f aca="false">IF(D154="","",IF(H154&lt;=$B$16,1,IF(H154&gt;=$B$17,$B$21,MATCH(H154,Aux_CAV!$A$2:$A$121,1))))</f>
        <v>22</v>
      </c>
      <c r="AB154" s="18" t="n">
        <f aca="false">IF(D154="","",IF(L154&lt;=$B$16,1,IF(L154&gt;=$B$17,$B$21,MATCH(L154,Aux_CAV!$A$2:$A$121,1))))</f>
        <v>22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0.52350243846948</v>
      </c>
      <c r="E155" s="16" t="n">
        <f aca="false">IF(D155="","",D155*$B$15)</f>
        <v>1.35691832051289</v>
      </c>
      <c r="F155" s="16" t="n">
        <f aca="false" t="array" ref="F155:F155">IF(D155="","",IFERROR(INDEX(Dados_Evap!$C$2:$N$15,MATCH($B$9,Dados_Evap!$A$2:$A$15,0),C155),0))</f>
        <v>241.8</v>
      </c>
      <c r="G155" s="16" t="n">
        <f aca="false">IF(F155="","",F155/1000)</f>
        <v>0.2418</v>
      </c>
      <c r="H155" s="16" t="n">
        <f aca="false">IF(D155="","",MAX(0,MIN($B$8,IFERROR(LOOKUP(2,1/($U$24:U154&lt;&gt;""),$U$24:U154),$B$11))))</f>
        <v>102.818102930442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11.4741575011171</v>
      </c>
      <c r="J155" s="16" t="n">
        <f aca="false">IF(D155="","",$B$12)</f>
        <v>0.432</v>
      </c>
      <c r="K155" s="16" t="n">
        <f aca="false">IF(J155="","",J155*$B$15)</f>
        <v>1.119744</v>
      </c>
      <c r="L155" s="16" t="n">
        <f aca="false">IF(D155="","",H155+E155-K155-G155*I155)</f>
        <v>100.280825967185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11.2894265723693</v>
      </c>
      <c r="N155" s="16" t="n">
        <f aca="false">IF(D155="","",(I155+M155)/2)</f>
        <v>11.3817920367432</v>
      </c>
      <c r="O155" s="16" t="n">
        <f aca="false">IF(D155="","",G155*N155)</f>
        <v>2.75211731448451</v>
      </c>
      <c r="P155" s="16" t="n">
        <f aca="false">IF(D155="","",H155+E155-K155-O155)</f>
        <v>100.30315993647</v>
      </c>
      <c r="Q155" s="16" t="n">
        <f aca="false">IF(D155="","",IF(P155&gt;=0,K155,MAX(0,K155+P155)))</f>
        <v>1.119744</v>
      </c>
      <c r="R155" s="16" t="n">
        <f aca="false">IF(D155="","",Q155/$B$15)</f>
        <v>0.432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100.30315993647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61.9155308249816</v>
      </c>
      <c r="Z155" s="18" t="n">
        <f aca="false">IF(D155="","",MAX(0,IF(P155&gt;=0,P155,IF(K155+P155&gt;=0,0,P155+K155))))</f>
        <v>100.30315993647</v>
      </c>
      <c r="AA155" s="18" t="n">
        <f aca="false">IF(D155="","",IF(H155&lt;=$B$16,1,IF(H155&gt;=$B$17,$B$21,MATCH(H155,Aux_CAV!$A$2:$A$121,1))))</f>
        <v>22</v>
      </c>
      <c r="AB155" s="18" t="n">
        <f aca="false">IF(D155="","",IF(L155&lt;=$B$16,1,IF(L155&gt;=$B$17,$B$21,MATCH(L155,Aux_CAV!$A$2:$A$121,1))))</f>
        <v>22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0.471455098373718</v>
      </c>
      <c r="E156" s="16" t="n">
        <f aca="false">IF(D156="","",D156*$B$15)</f>
        <v>1.22201161498468</v>
      </c>
      <c r="F156" s="16" t="n">
        <f aca="false" t="array" ref="F156:F156">IF(D156="","",IFERROR(INDEX(Dados_Evap!$C$2:$N$15,MATCH($B$9,Dados_Evap!$A$2:$A$15,0),C156),0))</f>
        <v>189</v>
      </c>
      <c r="G156" s="16" t="n">
        <f aca="false">IF(F156="","",F156/1000)</f>
        <v>0.189</v>
      </c>
      <c r="H156" s="16" t="n">
        <f aca="false">IF(D156="","",MAX(0,MIN($B$8,IFERROR(LOOKUP(2,1/($U$24:U155&lt;&gt;""),$U$24:U155),$B$11))))</f>
        <v>100.30315993647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11.2910526364327</v>
      </c>
      <c r="J156" s="16" t="n">
        <f aca="false">IF(D156="","",$B$12)</f>
        <v>0.432</v>
      </c>
      <c r="K156" s="16" t="n">
        <f aca="false">IF(J156="","",J156*$B$15)</f>
        <v>1.119744</v>
      </c>
      <c r="L156" s="16" t="n">
        <f aca="false">IF(D156="","",H156+E156-K156-G156*I156)</f>
        <v>98.2714186031691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11.1431281217221</v>
      </c>
      <c r="N156" s="16" t="n">
        <f aca="false">IF(D156="","",(I156+M156)/2)</f>
        <v>11.2170903790774</v>
      </c>
      <c r="O156" s="16" t="n">
        <f aca="false">IF(D156="","",G156*N156)</f>
        <v>2.12003008164562</v>
      </c>
      <c r="P156" s="16" t="n">
        <f aca="false">IF(D156="","",H156+E156-K156-O156)</f>
        <v>98.2853974698092</v>
      </c>
      <c r="Q156" s="16" t="n">
        <f aca="false">IF(D156="","",IF(P156&gt;=0,K156,MAX(0,K156+P156)))</f>
        <v>1.119744</v>
      </c>
      <c r="R156" s="16" t="n">
        <f aca="false">IF(D156="","",Q156/$B$15)</f>
        <v>0.432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98.2853974698092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60.6699984381538</v>
      </c>
      <c r="Z156" s="18" t="n">
        <f aca="false">IF(D156="","",MAX(0,IF(P156&gt;=0,P156,IF(K156+P156&gt;=0,0,P156+K156))))</f>
        <v>98.2853974698092</v>
      </c>
      <c r="AA156" s="18" t="n">
        <f aca="false">IF(D156="","",IF(H156&lt;=$B$16,1,IF(H156&gt;=$B$17,$B$21,MATCH(H156,Aux_CAV!$A$2:$A$121,1))))</f>
        <v>22</v>
      </c>
      <c r="AB156" s="18" t="n">
        <f aca="false">IF(D156="","",IF(L156&lt;=$B$16,1,IF(L156&gt;=$B$17,$B$21,MATCH(L156,Aux_CAV!$A$2:$A$121,1))))</f>
        <v>22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2.27740138413539</v>
      </c>
      <c r="E157" s="16" t="n">
        <f aca="false">IF(D157="","",D157*$B$15)</f>
        <v>5.90302438767893</v>
      </c>
      <c r="F157" s="16" t="n">
        <f aca="false" t="array" ref="F157:F157">IF(D157="","",IFERROR(INDEX(Dados_Evap!$C$2:$N$15,MATCH($B$9,Dados_Evap!$A$2:$A$15,0),C157),0))</f>
        <v>136.9</v>
      </c>
      <c r="G157" s="16" t="n">
        <f aca="false">IF(F157="","",F157/1000)</f>
        <v>0.1369</v>
      </c>
      <c r="H157" s="16" t="n">
        <f aca="false">IF(D157="","",MAX(0,MIN($B$8,IFERROR(LOOKUP(2,1/($U$24:U156&lt;&gt;""),$U$24:U156),$B$11))))</f>
        <v>98.2853974698092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11.1441458777868</v>
      </c>
      <c r="J157" s="16" t="n">
        <f aca="false">IF(D157="","",$B$12)</f>
        <v>0.432</v>
      </c>
      <c r="K157" s="16" t="n">
        <f aca="false">IF(J157="","",J157*$B$15)</f>
        <v>1.119744</v>
      </c>
      <c r="L157" s="16" t="n">
        <f aca="false">IF(D157="","",H157+E157-K157-G157*I157)</f>
        <v>101.543044286819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11.3813246055148</v>
      </c>
      <c r="N157" s="16" t="n">
        <f aca="false">IF(D157="","",(I157+M157)/2)</f>
        <v>11.2627352416508</v>
      </c>
      <c r="O157" s="16" t="n">
        <f aca="false">IF(D157="","",G157*N157)</f>
        <v>1.54186845458199</v>
      </c>
      <c r="P157" s="16" t="n">
        <f aca="false">IF(D157="","",H157+E157-K157-O157)</f>
        <v>101.526809402906</v>
      </c>
      <c r="Q157" s="16" t="n">
        <f aca="false">IF(D157="","",IF(P157&gt;=0,K157,MAX(0,K157+P157)))</f>
        <v>1.119744</v>
      </c>
      <c r="R157" s="16" t="n">
        <f aca="false">IF(D157="","",Q157/$B$15)</f>
        <v>0.432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101.526809402906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62.6708700017939</v>
      </c>
      <c r="Z157" s="18" t="n">
        <f aca="false">IF(D157="","",MAX(0,IF(P157&gt;=0,P157,IF(K157+P157&gt;=0,0,P157+K157))))</f>
        <v>101.526809402906</v>
      </c>
      <c r="AA157" s="18" t="n">
        <f aca="false">IF(D157="","",IF(H157&lt;=$B$16,1,IF(H157&gt;=$B$17,$B$21,MATCH(H157,Aux_CAV!$A$2:$A$121,1))))</f>
        <v>22</v>
      </c>
      <c r="AB157" s="18" t="n">
        <f aca="false">IF(D157="","",IF(L157&lt;=$B$16,1,IF(L157&gt;=$B$17,$B$21,MATCH(L157,Aux_CAV!$A$2:$A$121,1))))</f>
        <v>22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7.88370842041053</v>
      </c>
      <c r="E158" s="16" t="n">
        <f aca="false">IF(D158="","",D158*$B$15)</f>
        <v>20.4345722257041</v>
      </c>
      <c r="F158" s="16" t="n">
        <f aca="false" t="array" ref="F158:F158">IF(D158="","",IFERROR(INDEX(Dados_Evap!$C$2:$N$15,MATCH($B$9,Dados_Evap!$A$2:$A$15,0),C158),0))</f>
        <v>102.9</v>
      </c>
      <c r="G158" s="16" t="n">
        <f aca="false">IF(F158="","",F158/1000)</f>
        <v>0.1029</v>
      </c>
      <c r="H158" s="16" t="n">
        <f aca="false">IF(D158="","",MAX(0,MIN($B$8,IFERROR(LOOKUP(2,1/($U$24:U157&lt;&gt;""),$U$24:U157),$B$11))))</f>
        <v>101.526809402906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11.3801425961296</v>
      </c>
      <c r="J158" s="16" t="n">
        <f aca="false">IF(D158="","",$B$12)</f>
        <v>0.432</v>
      </c>
      <c r="K158" s="16" t="n">
        <f aca="false">IF(J158="","",J158*$B$15)</f>
        <v>1.119744</v>
      </c>
      <c r="L158" s="16" t="n">
        <f aca="false">IF(D158="","",H158+E158-K158-G158*I158)</f>
        <v>119.670620955469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12.7011348282224</v>
      </c>
      <c r="N158" s="16" t="n">
        <f aca="false">IF(D158="","",(I158+M158)/2)</f>
        <v>12.040638712176</v>
      </c>
      <c r="O158" s="16" t="n">
        <f aca="false">IF(D158="","",G158*N158)</f>
        <v>1.23898172348291</v>
      </c>
      <c r="P158" s="16" t="n">
        <f aca="false">IF(D158="","",H158+E158-K158-O158)</f>
        <v>119.602655905127</v>
      </c>
      <c r="Q158" s="16" t="n">
        <f aca="false">IF(D158="","",IF(P158&gt;=0,K158,MAX(0,K158+P158)))</f>
        <v>1.119744</v>
      </c>
      <c r="R158" s="16" t="n">
        <f aca="false">IF(D158="","",Q158/$B$15)</f>
        <v>0.432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119.602655905127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73.8287999414366</v>
      </c>
      <c r="Z158" s="18" t="n">
        <f aca="false">IF(D158="","",MAX(0,IF(P158&gt;=0,P158,IF(K158+P158&gt;=0,0,P158+K158))))</f>
        <v>119.602655905127</v>
      </c>
      <c r="AA158" s="18" t="n">
        <f aca="false">IF(D158="","",IF(H158&lt;=$B$16,1,IF(H158&gt;=$B$17,$B$21,MATCH(H158,Aux_CAV!$A$2:$A$121,1))))</f>
        <v>22</v>
      </c>
      <c r="AB158" s="18" t="n">
        <f aca="false">IF(D158="","",IF(L158&lt;=$B$16,1,IF(L158&gt;=$B$17,$B$21,MATCH(L158,Aux_CAV!$A$2:$A$121,1))))</f>
        <v>22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12.5877598921015</v>
      </c>
      <c r="E159" s="16" t="n">
        <f aca="false">IF(D159="","",D159*$B$15)</f>
        <v>32.6274736403271</v>
      </c>
      <c r="F159" s="16" t="n">
        <f aca="false" t="array" ref="F159:F159">IF(D159="","",IFERROR(INDEX(Dados_Evap!$C$2:$N$15,MATCH($B$9,Dados_Evap!$A$2:$A$15,0),C159),0))</f>
        <v>81.8</v>
      </c>
      <c r="G159" s="16" t="n">
        <f aca="false">IF(F159="","",F159/1000)</f>
        <v>0.0818</v>
      </c>
      <c r="H159" s="16" t="n">
        <f aca="false">IF(D159="","",MAX(0,MIN($B$8,IFERROR(LOOKUP(2,1/($U$24:U158&lt;&gt;""),$U$24:U158),$B$11))))</f>
        <v>119.602655905127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12.6961865127433</v>
      </c>
      <c r="J159" s="16" t="n">
        <f aca="false">IF(D159="","",$B$12)</f>
        <v>0.432</v>
      </c>
      <c r="K159" s="16" t="n">
        <f aca="false">IF(J159="","",J159*$B$15)</f>
        <v>1.119744</v>
      </c>
      <c r="L159" s="16" t="n">
        <f aca="false">IF(D159="","",H159+E159-K159-G159*I159)</f>
        <v>150.071837488712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14.9145490697804</v>
      </c>
      <c r="N159" s="16" t="n">
        <f aca="false">IF(D159="","",(I159+M159)/2)</f>
        <v>13.8053677912619</v>
      </c>
      <c r="O159" s="16" t="n">
        <f aca="false">IF(D159="","",G159*N159)</f>
        <v>1.12927908532522</v>
      </c>
      <c r="P159" s="16" t="n">
        <f aca="false">IF(D159="","",H159+E159-K159-O159)</f>
        <v>149.981106460129</v>
      </c>
      <c r="Q159" s="16" t="n">
        <f aca="false">IF(D159="","",IF(P159&gt;=0,K159,MAX(0,K159+P159)))</f>
        <v>1.119744</v>
      </c>
      <c r="R159" s="16" t="n">
        <f aca="false">IF(D159="","",Q159/$B$15)</f>
        <v>0.432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149.981106460129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92.58092991366</v>
      </c>
      <c r="Z159" s="18" t="n">
        <f aca="false">IF(D159="","",MAX(0,IF(P159&gt;=0,P159,IF(K159+P159&gt;=0,0,P159+K159))))</f>
        <v>149.981106460129</v>
      </c>
      <c r="AA159" s="18" t="n">
        <f aca="false">IF(D159="","",IF(H159&lt;=$B$16,1,IF(H159&gt;=$B$17,$B$21,MATCH(H159,Aux_CAV!$A$2:$A$121,1))))</f>
        <v>22</v>
      </c>
      <c r="AB159" s="18" t="n">
        <f aca="false">IF(D159="","",IF(L159&lt;=$B$16,1,IF(L159&gt;=$B$17,$B$21,MATCH(L159,Aux_CAV!$A$2:$A$121,1))))</f>
        <v>22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22.3147158038717</v>
      </c>
      <c r="E160" s="16" t="n">
        <f aca="false">IF(D160="","",D160*$B$15)</f>
        <v>57.8397433636355</v>
      </c>
      <c r="F160" s="16" t="n">
        <f aca="false" t="array" ref="F160:F160">IF(D160="","",IFERROR(INDEX(Dados_Evap!$C$2:$N$15,MATCH($B$9,Dados_Evap!$A$2:$A$15,0),C160),0))</f>
        <v>83.6</v>
      </c>
      <c r="G160" s="16" t="n">
        <f aca="false">IF(F160="","",F160/1000)</f>
        <v>0.0836</v>
      </c>
      <c r="H160" s="16" t="n">
        <f aca="false">IF(D160="","",MAX(0,MIN($B$8,IFERROR(LOOKUP(2,1/($U$24:U159&lt;&gt;""),$U$24:U159),$B$11))))</f>
        <v>149.981106460129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14.9079432370632</v>
      </c>
      <c r="J160" s="16" t="n">
        <f aca="false">IF(D160="","",$B$12)</f>
        <v>0.432</v>
      </c>
      <c r="K160" s="16" t="n">
        <f aca="false">IF(J160="","",J160*$B$15)</f>
        <v>1.119744</v>
      </c>
      <c r="L160" s="16" t="n">
        <f aca="false">IF(D160="","",H160+E160-K160-G160*I160)</f>
        <v>205.454801769146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18.3820110010499</v>
      </c>
      <c r="N160" s="16" t="n">
        <f aca="false">IF(D160="","",(I160+M160)/2)</f>
        <v>16.6449771190566</v>
      </c>
      <c r="O160" s="16" t="n">
        <f aca="false">IF(D160="","",G160*N160)</f>
        <v>1.39152008715313</v>
      </c>
      <c r="P160" s="16" t="n">
        <f aca="false">IF(D160="","",H160+E160-K160-O160)</f>
        <v>205.309585736612</v>
      </c>
      <c r="Q160" s="16" t="n">
        <f aca="false">IF(D160="","",IF(P160&gt;=0,K160,MAX(0,K160+P160)))</f>
        <v>1.119744</v>
      </c>
      <c r="R160" s="16" t="n">
        <f aca="false">IF(D160="","",Q160/$B$15)</f>
        <v>0.432</v>
      </c>
      <c r="S160" s="16" t="n">
        <f aca="false">IF(D160="","",MAX(0,J160-R160))</f>
        <v>0</v>
      </c>
      <c r="T160" s="16" t="n">
        <f aca="false">IF(D160="","",MAX(0,Z160-$B$8))</f>
        <v>43.3095857366115</v>
      </c>
      <c r="U160" s="16" t="n">
        <f aca="false">IF(D160="","",MAX(0,MIN($B$8,Z160)))</f>
        <v>162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205.309585736612</v>
      </c>
      <c r="AA160" s="18" t="n">
        <f aca="false">IF(D160="","",IF(H160&lt;=$B$16,1,IF(H160&gt;=$B$17,$B$21,MATCH(H160,Aux_CAV!$A$2:$A$121,1))))</f>
        <v>22</v>
      </c>
      <c r="AB160" s="18" t="n">
        <f aca="false">IF(D160="","",IF(L160&lt;=$B$16,1,IF(L160&gt;=$B$17,$B$21,MATCH(L160,Aux_CAV!$A$2:$A$121,1))))</f>
        <v>23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4.46352482610226</v>
      </c>
      <c r="E161" s="16" t="n">
        <f aca="false">IF(D161="","",D161*$B$15)</f>
        <v>11.5694563492571</v>
      </c>
      <c r="F161" s="16" t="n">
        <f aca="false" t="array" ref="F161:F161">IF(D161="","",IFERROR(INDEX(Dados_Evap!$C$2:$N$15,MATCH($B$9,Dados_Evap!$A$2:$A$15,0),C161),0))</f>
        <v>108.2</v>
      </c>
      <c r="G161" s="16" t="n">
        <f aca="false">IF(F161="","",F161/1000)</f>
        <v>0.1082</v>
      </c>
      <c r="H161" s="16" t="n">
        <f aca="false">IF(D161="","",MAX(0,MIN($B$8,IFERROR(LOOKUP(2,1/($U$24:U160&lt;&gt;""),$U$24:U160),$B$11))))</f>
        <v>162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15.783</v>
      </c>
      <c r="J161" s="16" t="n">
        <f aca="false">IF(D161="","",$B$12)</f>
        <v>0.432</v>
      </c>
      <c r="K161" s="16" t="n">
        <f aca="false">IF(J161="","",J161*$B$15)</f>
        <v>1.119744</v>
      </c>
      <c r="L161" s="16" t="n">
        <f aca="false">IF(D161="","",H161+E161-K161-G161*I161)</f>
        <v>170.741991749257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16.3058543636699</v>
      </c>
      <c r="N161" s="16" t="n">
        <f aca="false">IF(D161="","",(I161+M161)/2)</f>
        <v>16.0444271818349</v>
      </c>
      <c r="O161" s="16" t="n">
        <f aca="false">IF(D161="","",G161*N161)</f>
        <v>1.73600702107454</v>
      </c>
      <c r="P161" s="16" t="n">
        <f aca="false">IF(D161="","",H161+E161-K161-O161)</f>
        <v>170.713705328183</v>
      </c>
      <c r="Q161" s="16" t="n">
        <f aca="false">IF(D161="","",IF(P161&gt;=0,K161,MAX(0,K161+P161)))</f>
        <v>1.119744</v>
      </c>
      <c r="R161" s="16" t="n">
        <f aca="false">IF(D161="","",Q161/$B$15)</f>
        <v>0.432</v>
      </c>
      <c r="S161" s="16" t="n">
        <f aca="false">IF(D161="","",MAX(0,J161-R161))</f>
        <v>0</v>
      </c>
      <c r="T161" s="16" t="n">
        <f aca="false">IF(D161="","",MAX(0,Z161-$B$8))</f>
        <v>8.71370532818253</v>
      </c>
      <c r="U161" s="16" t="n">
        <f aca="false">IF(D161="","",MAX(0,MIN($B$8,Z161)))</f>
        <v>162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170.713705328183</v>
      </c>
      <c r="AA161" s="18" t="n">
        <f aca="false">IF(D161="","",IF(H161&lt;=$B$16,1,IF(H161&gt;=$B$17,$B$21,MATCH(H161,Aux_CAV!$A$2:$A$121,1))))</f>
        <v>23</v>
      </c>
      <c r="AB161" s="18" t="n">
        <f aca="false">IF(D161="","",IF(L161&lt;=$B$16,1,IF(L161&gt;=$B$17,$B$21,MATCH(L161,Aux_CAV!$A$2:$A$121,1))))</f>
        <v>23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7.65226947608626</v>
      </c>
      <c r="E162" s="16" t="n">
        <f aca="false">IF(D162="","",D162*$B$15)</f>
        <v>19.8346824820156</v>
      </c>
      <c r="F162" s="16" t="n">
        <f aca="false" t="array" ref="F162:F162">IF(D162="","",IFERROR(INDEX(Dados_Evap!$C$2:$N$15,MATCH($B$9,Dados_Evap!$A$2:$A$15,0),C162),0))</f>
        <v>149</v>
      </c>
      <c r="G162" s="16" t="n">
        <f aca="false">IF(F162="","",F162/1000)</f>
        <v>0.149</v>
      </c>
      <c r="H162" s="16" t="n">
        <f aca="false">IF(D162="","",MAX(0,MIN($B$8,IFERROR(LOOKUP(2,1/($U$24:U161&lt;&gt;""),$U$24:U161),$B$11))))</f>
        <v>162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15.783</v>
      </c>
      <c r="J162" s="16" t="n">
        <f aca="false">IF(D162="","",$B$12)</f>
        <v>0.432</v>
      </c>
      <c r="K162" s="16" t="n">
        <f aca="false">IF(J162="","",J162*$B$15)</f>
        <v>1.119744</v>
      </c>
      <c r="L162" s="16" t="n">
        <f aca="false">IF(D162="","",H162+E162-K162-G162*I162)</f>
        <v>178.363271482016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16.7616794753053</v>
      </c>
      <c r="N162" s="16" t="n">
        <f aca="false">IF(D162="","",(I162+M162)/2)</f>
        <v>16.2723397376527</v>
      </c>
      <c r="O162" s="16" t="n">
        <f aca="false">IF(D162="","",G162*N162)</f>
        <v>2.42457862091025</v>
      </c>
      <c r="P162" s="16" t="n">
        <f aca="false">IF(D162="","",H162+E162-K162-O162)</f>
        <v>178.290359861105</v>
      </c>
      <c r="Q162" s="16" t="n">
        <f aca="false">IF(D162="","",IF(P162&gt;=0,K162,MAX(0,K162+P162)))</f>
        <v>1.119744</v>
      </c>
      <c r="R162" s="16" t="n">
        <f aca="false">IF(D162="","",Q162/$B$15)</f>
        <v>0.432</v>
      </c>
      <c r="S162" s="16" t="n">
        <f aca="false">IF(D162="","",MAX(0,J162-R162))</f>
        <v>0</v>
      </c>
      <c r="T162" s="16" t="n">
        <f aca="false">IF(D162="","",MAX(0,Z162-$B$8))</f>
        <v>16.2903598611053</v>
      </c>
      <c r="U162" s="16" t="n">
        <f aca="false">IF(D162="","",MAX(0,MIN($B$8,Z162)))</f>
        <v>162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178.290359861105</v>
      </c>
      <c r="AA162" s="18" t="n">
        <f aca="false">IF(D162="","",IF(H162&lt;=$B$16,1,IF(H162&gt;=$B$17,$B$21,MATCH(H162,Aux_CAV!$A$2:$A$121,1))))</f>
        <v>23</v>
      </c>
      <c r="AB162" s="18" t="n">
        <f aca="false">IF(D162="","",IF(L162&lt;=$B$16,1,IF(L162&gt;=$B$17,$B$21,MATCH(L162,Aux_CAV!$A$2:$A$121,1))))</f>
        <v>23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0.728500212191465</v>
      </c>
      <c r="E163" s="16" t="n">
        <f aca="false">IF(D163="","",D163*$B$15)</f>
        <v>1.88827255000028</v>
      </c>
      <c r="F163" s="16" t="n">
        <f aca="false" t="array" ref="F163:F163">IF(D163="","",IFERROR(INDEX(Dados_Evap!$C$2:$N$15,MATCH($B$9,Dados_Evap!$A$2:$A$15,0),C163),0))</f>
        <v>206.8</v>
      </c>
      <c r="G163" s="16" t="n">
        <f aca="false">IF(F163="","",F163/1000)</f>
        <v>0.2068</v>
      </c>
      <c r="H163" s="16" t="n">
        <f aca="false">IF(D163="","",MAX(0,MIN($B$8,IFERROR(LOOKUP(2,1/($U$24:U162&lt;&gt;""),$U$24:U162),$B$11))))</f>
        <v>162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15.783</v>
      </c>
      <c r="J163" s="16" t="n">
        <f aca="false">IF(D163="","",$B$12)</f>
        <v>0.432</v>
      </c>
      <c r="K163" s="16" t="n">
        <f aca="false">IF(J163="","",J163*$B$15)</f>
        <v>1.119744</v>
      </c>
      <c r="L163" s="16" t="n">
        <f aca="false">IF(D163="","",H163+E163-K163-G163*I163)</f>
        <v>159.50460415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15.6013182996419</v>
      </c>
      <c r="N163" s="16" t="n">
        <f aca="false">IF(D163="","",(I163+M163)/2)</f>
        <v>15.692159149821</v>
      </c>
      <c r="O163" s="16" t="n">
        <f aca="false">IF(D163="","",G163*N163)</f>
        <v>3.24513851218297</v>
      </c>
      <c r="P163" s="16" t="n">
        <f aca="false">IF(D163="","",H163+E163-K163-O163)</f>
        <v>159.523390037817</v>
      </c>
      <c r="Q163" s="16" t="n">
        <f aca="false">IF(D163="","",IF(P163&gt;=0,K163,MAX(0,K163+P163)))</f>
        <v>1.119744</v>
      </c>
      <c r="R163" s="16" t="n">
        <f aca="false">IF(D163="","",Q163/$B$15)</f>
        <v>0.432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159.523390037817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98.4712284184057</v>
      </c>
      <c r="Z163" s="18" t="n">
        <f aca="false">IF(D163="","",MAX(0,IF(P163&gt;=0,P163,IF(K163+P163&gt;=0,0,P163+K163))))</f>
        <v>159.523390037817</v>
      </c>
      <c r="AA163" s="18" t="n">
        <f aca="false">IF(D163="","",IF(H163&lt;=$B$16,1,IF(H163&gt;=$B$17,$B$21,MATCH(H163,Aux_CAV!$A$2:$A$121,1))))</f>
        <v>23</v>
      </c>
      <c r="AB163" s="18" t="n">
        <f aca="false">IF(D163="","",IF(L163&lt;=$B$16,1,IF(L163&gt;=$B$17,$B$21,MATCH(L163,Aux_CAV!$A$2:$A$121,1))))</f>
        <v>22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1.22357686040664</v>
      </c>
      <c r="E164" s="16" t="n">
        <f aca="false">IF(D164="","",D164*$B$15)</f>
        <v>3.17151122217401</v>
      </c>
      <c r="F164" s="16" t="n">
        <f aca="false" t="array" ref="F164:F164">IF(D164="","",IFERROR(INDEX(Dados_Evap!$C$2:$N$15,MATCH($B$9,Dados_Evap!$A$2:$A$15,0),C164),0))</f>
        <v>245.9</v>
      </c>
      <c r="G164" s="16" t="n">
        <f aca="false">IF(F164="","",F164/1000)</f>
        <v>0.2459</v>
      </c>
      <c r="H164" s="16" t="n">
        <f aca="false">IF(D164="","",MAX(0,MIN($B$8,IFERROR(LOOKUP(2,1/($U$24:U163&lt;&gt;""),$U$24:U163),$B$11))))</f>
        <v>159.523390037817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15.60268603937</v>
      </c>
      <c r="J164" s="16" t="n">
        <f aca="false">IF(D164="","",$B$12)</f>
        <v>0.432</v>
      </c>
      <c r="K164" s="16" t="n">
        <f aca="false">IF(J164="","",J164*$B$15)</f>
        <v>1.119744</v>
      </c>
      <c r="L164" s="16" t="n">
        <f aca="false">IF(D164="","",H164+E164-K164-G164*I164)</f>
        <v>157.73845676291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15.4727308210783</v>
      </c>
      <c r="N164" s="16" t="n">
        <f aca="false">IF(D164="","",(I164+M164)/2)</f>
        <v>15.5377084302242</v>
      </c>
      <c r="O164" s="16" t="n">
        <f aca="false">IF(D164="","",G164*N164)</f>
        <v>3.82072250299212</v>
      </c>
      <c r="P164" s="16" t="n">
        <f aca="false">IF(D164="","",H164+E164-K164-O164)</f>
        <v>157.754434756999</v>
      </c>
      <c r="Q164" s="16" t="n">
        <f aca="false">IF(D164="","",IF(P164&gt;=0,K164,MAX(0,K164+P164)))</f>
        <v>1.119744</v>
      </c>
      <c r="R164" s="16" t="n">
        <f aca="false">IF(D164="","",Q164/$B$15)</f>
        <v>0.432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157.754434756999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97.3792807141971</v>
      </c>
      <c r="Z164" s="18" t="n">
        <f aca="false">IF(D164="","",MAX(0,IF(P164&gt;=0,P164,IF(K164+P164&gt;=0,0,P164+K164))))</f>
        <v>157.754434756999</v>
      </c>
      <c r="AA164" s="18" t="n">
        <f aca="false">IF(D164="","",IF(H164&lt;=$B$16,1,IF(H164&gt;=$B$17,$B$21,MATCH(H164,Aux_CAV!$A$2:$A$121,1))))</f>
        <v>22</v>
      </c>
      <c r="AB164" s="18" t="n">
        <f aca="false">IF(D164="","",IF(L164&lt;=$B$16,1,IF(L164&gt;=$B$17,$B$21,MATCH(L164,Aux_CAV!$A$2:$A$121,1))))</f>
        <v>22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1.07328284074522</v>
      </c>
      <c r="E165" s="16" t="n">
        <f aca="false">IF(D165="","",D165*$B$15)</f>
        <v>2.78194912321161</v>
      </c>
      <c r="F165" s="16" t="n">
        <f aca="false" t="array" ref="F165:F165">IF(D165="","",IFERROR(INDEX(Dados_Evap!$C$2:$N$15,MATCH($B$9,Dados_Evap!$A$2:$A$15,0),C165),0))</f>
        <v>282.3</v>
      </c>
      <c r="G165" s="16" t="n">
        <f aca="false">IF(F165="","",F165/1000)</f>
        <v>0.2823</v>
      </c>
      <c r="H165" s="16" t="n">
        <f aca="false">IF(D165="","",MAX(0,MIN($B$8,IFERROR(LOOKUP(2,1/($U$24:U164&lt;&gt;""),$U$24:U164),$B$11))))</f>
        <v>157.754434756999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15.4738941271463</v>
      </c>
      <c r="J165" s="16" t="n">
        <f aca="false">IF(D165="","",$B$12)</f>
        <v>0.432</v>
      </c>
      <c r="K165" s="16" t="n">
        <f aca="false">IF(J165="","",J165*$B$15)</f>
        <v>1.119744</v>
      </c>
      <c r="L165" s="16" t="n">
        <f aca="false">IF(D165="","",H165+E165-K165-G165*I165)</f>
        <v>155.048359568117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15.2768735455769</v>
      </c>
      <c r="N165" s="16" t="n">
        <f aca="false">IF(D165="","",(I165+M165)/2)</f>
        <v>15.3753838363616</v>
      </c>
      <c r="O165" s="16" t="n">
        <f aca="false">IF(D165="","",G165*N165)</f>
        <v>4.34047085700489</v>
      </c>
      <c r="P165" s="16" t="n">
        <f aca="false">IF(D165="","",H165+E165-K165-O165)</f>
        <v>155.076169023206</v>
      </c>
      <c r="Q165" s="16" t="n">
        <f aca="false">IF(D165="","",IF(P165&gt;=0,K165,MAX(0,K165+P165)))</f>
        <v>1.119744</v>
      </c>
      <c r="R165" s="16" t="n">
        <f aca="false">IF(D165="","",Q165/$B$15)</f>
        <v>0.432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155.076169023206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95.7260302612382</v>
      </c>
      <c r="Z165" s="18" t="n">
        <f aca="false">IF(D165="","",MAX(0,IF(P165&gt;=0,P165,IF(K165+P165&gt;=0,0,P165+K165))))</f>
        <v>155.076169023206</v>
      </c>
      <c r="AA165" s="18" t="n">
        <f aca="false">IF(D165="","",IF(H165&lt;=$B$16,1,IF(H165&gt;=$B$17,$B$21,MATCH(H165,Aux_CAV!$A$2:$A$121,1))))</f>
        <v>22</v>
      </c>
      <c r="AB165" s="18" t="n">
        <f aca="false">IF(D165="","",IF(L165&lt;=$B$16,1,IF(L165&gt;=$B$17,$B$21,MATCH(L165,Aux_CAV!$A$2:$A$121,1))))</f>
        <v>22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1.21499809664936</v>
      </c>
      <c r="E166" s="16" t="n">
        <f aca="false">IF(D166="","",D166*$B$15)</f>
        <v>3.14927506651514</v>
      </c>
      <c r="F166" s="16" t="n">
        <f aca="false" t="array" ref="F166:F166">IF(D166="","",IFERROR(INDEX(Dados_Evap!$C$2:$N$15,MATCH($B$9,Dados_Evap!$A$2:$A$15,0),C166),0))</f>
        <v>241.3</v>
      </c>
      <c r="G166" s="16" t="n">
        <f aca="false">IF(F166="","",F166/1000)</f>
        <v>0.2413</v>
      </c>
      <c r="H166" s="16" t="n">
        <f aca="false">IF(D166="","",MAX(0,MIN($B$8,IFERROR(LOOKUP(2,1/($U$24:U165&lt;&gt;""),$U$24:U165),$B$11))))</f>
        <v>155.076169023206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15.2788982620509</v>
      </c>
      <c r="J166" s="16" t="n">
        <f aca="false">IF(D166="","",$B$12)</f>
        <v>0.432</v>
      </c>
      <c r="K166" s="16" t="n">
        <f aca="false">IF(J166="","",J166*$B$15)</f>
        <v>1.119744</v>
      </c>
      <c r="L166" s="16" t="n">
        <f aca="false">IF(D166="","",H166+E166-K166-G166*I166)</f>
        <v>153.418901939088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15.158238006168</v>
      </c>
      <c r="N166" s="16" t="n">
        <f aca="false">IF(D166="","",(I166+M166)/2)</f>
        <v>15.2185681341094</v>
      </c>
      <c r="O166" s="16" t="n">
        <f aca="false">IF(D166="","",G166*N166)</f>
        <v>3.6722404907606</v>
      </c>
      <c r="P166" s="16" t="n">
        <f aca="false">IF(D166="","",H166+E166-K166-O166)</f>
        <v>153.433459598961</v>
      </c>
      <c r="Q166" s="16" t="n">
        <f aca="false">IF(D166="","",IF(P166&gt;=0,K166,MAX(0,K166+P166)))</f>
        <v>1.119744</v>
      </c>
      <c r="R166" s="16" t="n">
        <f aca="false">IF(D166="","",Q166/$B$15)</f>
        <v>0.432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153.433459598961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94.7120120981238</v>
      </c>
      <c r="Z166" s="18" t="n">
        <f aca="false">IF(D166="","",MAX(0,IF(P166&gt;=0,P166,IF(K166+P166&gt;=0,0,P166+K166))))</f>
        <v>153.433459598961</v>
      </c>
      <c r="AA166" s="18" t="n">
        <f aca="false">IF(D166="","",IF(H166&lt;=$B$16,1,IF(H166&gt;=$B$17,$B$21,MATCH(H166,Aux_CAV!$A$2:$A$121,1))))</f>
        <v>22</v>
      </c>
      <c r="AB166" s="18" t="n">
        <f aca="false">IF(D166="","",IF(L166&lt;=$B$16,1,IF(L166&gt;=$B$17,$B$21,MATCH(L166,Aux_CAV!$A$2:$A$121,1))))</f>
        <v>22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0.71682144347518</v>
      </c>
      <c r="E167" s="16" t="n">
        <f aca="false">IF(D167="","",D167*$B$15)</f>
        <v>1.85800118148767</v>
      </c>
      <c r="F167" s="16" t="n">
        <f aca="false" t="array" ref="F167:F167">IF(D167="","",IFERROR(INDEX(Dados_Evap!$C$2:$N$15,MATCH($B$9,Dados_Evap!$A$2:$A$15,0),C167),0))</f>
        <v>241.8</v>
      </c>
      <c r="G167" s="16" t="n">
        <f aca="false">IF(F167="","",F167/1000)</f>
        <v>0.2418</v>
      </c>
      <c r="H167" s="16" t="n">
        <f aca="false">IF(D167="","",MAX(0,MIN($B$8,IFERROR(LOOKUP(2,1/($U$24:U166&lt;&gt;""),$U$24:U166),$B$11))))</f>
        <v>153.433459598961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15.1592979022958</v>
      </c>
      <c r="J167" s="16" t="n">
        <f aca="false">IF(D167="","",$B$12)</f>
        <v>0.432</v>
      </c>
      <c r="K167" s="16" t="n">
        <f aca="false">IF(J167="","",J167*$B$15)</f>
        <v>1.119744</v>
      </c>
      <c r="L167" s="16" t="n">
        <f aca="false">IF(D167="","",H167+E167-K167-G167*I167)</f>
        <v>150.506198547673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14.9461734935212</v>
      </c>
      <c r="N167" s="16" t="n">
        <f aca="false">IF(D167="","",(I167+M167)/2)</f>
        <v>15.0527356979085</v>
      </c>
      <c r="O167" s="16" t="n">
        <f aca="false">IF(D167="","",G167*N167)</f>
        <v>3.63975149175428</v>
      </c>
      <c r="P167" s="16" t="n">
        <f aca="false">IF(D167="","",H167+E167-K167-O167)</f>
        <v>150.531965288694</v>
      </c>
      <c r="Q167" s="16" t="n">
        <f aca="false">IF(D167="","",IF(P167&gt;=0,K167,MAX(0,K167+P167)))</f>
        <v>1.119744</v>
      </c>
      <c r="R167" s="16" t="n">
        <f aca="false">IF(D167="","",Q167/$B$15)</f>
        <v>0.432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150.531965288694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92.9209662275888</v>
      </c>
      <c r="Z167" s="18" t="n">
        <f aca="false">IF(D167="","",MAX(0,IF(P167&gt;=0,P167,IF(K167+P167&gt;=0,0,P167+K167))))</f>
        <v>150.531965288694</v>
      </c>
      <c r="AA167" s="18" t="n">
        <f aca="false">IF(D167="","",IF(H167&lt;=$B$16,1,IF(H167&gt;=$B$17,$B$21,MATCH(H167,Aux_CAV!$A$2:$A$121,1))))</f>
        <v>22</v>
      </c>
      <c r="AB167" s="18" t="n">
        <f aca="false">IF(D167="","",IF(L167&lt;=$B$16,1,IF(L167&gt;=$B$17,$B$21,MATCH(L167,Aux_CAV!$A$2:$A$121,1))))</f>
        <v>22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0.908971413814632</v>
      </c>
      <c r="E168" s="16" t="n">
        <f aca="false">IF(D168="","",D168*$B$15)</f>
        <v>2.35605390460753</v>
      </c>
      <c r="F168" s="16" t="n">
        <f aca="false" t="array" ref="F168:F168">IF(D168="","",IFERROR(INDEX(Dados_Evap!$C$2:$N$15,MATCH($B$9,Dados_Evap!$A$2:$A$15,0),C168),0))</f>
        <v>189</v>
      </c>
      <c r="G168" s="16" t="n">
        <f aca="false">IF(F168="","",F168/1000)</f>
        <v>0.189</v>
      </c>
      <c r="H168" s="16" t="n">
        <f aca="false">IF(D168="","",MAX(0,MIN($B$8,IFERROR(LOOKUP(2,1/($U$24:U167&lt;&gt;""),$U$24:U167),$B$11))))</f>
        <v>150.531965288694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14.9480494865911</v>
      </c>
      <c r="J168" s="16" t="n">
        <f aca="false">IF(D168="","",$B$12)</f>
        <v>0.432</v>
      </c>
      <c r="K168" s="16" t="n">
        <f aca="false">IF(J168="","",J168*$B$15)</f>
        <v>1.119744</v>
      </c>
      <c r="L168" s="16" t="n">
        <f aca="false">IF(D168="","",H168+E168-K168-G168*I168)</f>
        <v>148.943093840336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14.8323688957189</v>
      </c>
      <c r="N168" s="16" t="n">
        <f aca="false">IF(D168="","",(I168+M168)/2)</f>
        <v>14.890209191155</v>
      </c>
      <c r="O168" s="16" t="n">
        <f aca="false">IF(D168="","",G168*N168)</f>
        <v>2.81424953712829</v>
      </c>
      <c r="P168" s="16" t="n">
        <f aca="false">IF(D168="","",H168+E168-K168-O168)</f>
        <v>148.954025656173</v>
      </c>
      <c r="Q168" s="16" t="n">
        <f aca="false">IF(D168="","",IF(P168&gt;=0,K168,MAX(0,K168+P168)))</f>
        <v>1.119744</v>
      </c>
      <c r="R168" s="16" t="n">
        <f aca="false">IF(D168="","",Q168/$B$15)</f>
        <v>0.432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148.954025656173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91.9469294173908</v>
      </c>
      <c r="Z168" s="18" t="n">
        <f aca="false">IF(D168="","",MAX(0,IF(P168&gt;=0,P168,IF(K168+P168&gt;=0,0,P168+K168))))</f>
        <v>148.954025656173</v>
      </c>
      <c r="AA168" s="18" t="n">
        <f aca="false">IF(D168="","",IF(H168&lt;=$B$16,1,IF(H168&gt;=$B$17,$B$21,MATCH(H168,Aux_CAV!$A$2:$A$121,1))))</f>
        <v>22</v>
      </c>
      <c r="AB168" s="18" t="n">
        <f aca="false">IF(D168="","",IF(L168&lt;=$B$16,1,IF(L168&gt;=$B$17,$B$21,MATCH(L168,Aux_CAV!$A$2:$A$121,1))))</f>
        <v>22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1.02875860265021</v>
      </c>
      <c r="E169" s="16" t="n">
        <f aca="false">IF(D169="","",D169*$B$15)</f>
        <v>2.66654229806934</v>
      </c>
      <c r="F169" s="16" t="n">
        <f aca="false" t="array" ref="F169:F169">IF(D169="","",IFERROR(INDEX(Dados_Evap!$C$2:$N$15,MATCH($B$9,Dados_Evap!$A$2:$A$15,0),C169),0))</f>
        <v>136.9</v>
      </c>
      <c r="G169" s="16" t="n">
        <f aca="false">IF(F169="","",F169/1000)</f>
        <v>0.1369</v>
      </c>
      <c r="H169" s="16" t="n">
        <f aca="false">IF(D169="","",MAX(0,MIN($B$8,IFERROR(LOOKUP(2,1/($U$24:U168&lt;&gt;""),$U$24:U168),$B$11))))</f>
        <v>148.954025656173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14.8331648058705</v>
      </c>
      <c r="J169" s="16" t="n">
        <f aca="false">IF(D169="","",$B$12)</f>
        <v>0.432</v>
      </c>
      <c r="K169" s="16" t="n">
        <f aca="false">IF(J169="","",J169*$B$15)</f>
        <v>1.119744</v>
      </c>
      <c r="L169" s="16" t="n">
        <f aca="false">IF(D169="","",H169+E169-K169-G169*I169)</f>
        <v>148.470163692319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14.7979363813575</v>
      </c>
      <c r="N169" s="16" t="n">
        <f aca="false">IF(D169="","",(I169+M169)/2)</f>
        <v>14.815550593614</v>
      </c>
      <c r="O169" s="16" t="n">
        <f aca="false">IF(D169="","",G169*N169)</f>
        <v>2.02824887626576</v>
      </c>
      <c r="P169" s="16" t="n">
        <f aca="false">IF(D169="","",H169+E169-K169-O169)</f>
        <v>148.472575077977</v>
      </c>
      <c r="Q169" s="16" t="n">
        <f aca="false">IF(D169="","",IF(P169&gt;=0,K169,MAX(0,K169+P169)))</f>
        <v>1.119744</v>
      </c>
      <c r="R169" s="16" t="n">
        <f aca="false">IF(D169="","",Q169/$B$15)</f>
        <v>0.432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148.472575077977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91.6497377024548</v>
      </c>
      <c r="Z169" s="18" t="n">
        <f aca="false">IF(D169="","",MAX(0,IF(P169&gt;=0,P169,IF(K169+P169&gt;=0,0,P169+K169))))</f>
        <v>148.472575077977</v>
      </c>
      <c r="AA169" s="18" t="n">
        <f aca="false">IF(D169="","",IF(H169&lt;=$B$16,1,IF(H169&gt;=$B$17,$B$21,MATCH(H169,Aux_CAV!$A$2:$A$121,1))))</f>
        <v>22</v>
      </c>
      <c r="AB169" s="18" t="n">
        <f aca="false">IF(D169="","",IF(L169&lt;=$B$16,1,IF(L169&gt;=$B$17,$B$21,MATCH(L169,Aux_CAV!$A$2:$A$121,1))))</f>
        <v>22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2.07989016153417</v>
      </c>
      <c r="E170" s="16" t="n">
        <f aca="false">IF(D170="","",D170*$B$15)</f>
        <v>5.39107529869657</v>
      </c>
      <c r="F170" s="16" t="n">
        <f aca="false" t="array" ref="F170:F170">IF(D170="","",IFERROR(INDEX(Dados_Evap!$C$2:$N$15,MATCH($B$9,Dados_Evap!$A$2:$A$15,0),C170),0))</f>
        <v>102.9</v>
      </c>
      <c r="G170" s="16" t="n">
        <f aca="false">IF(F170="","",F170/1000)</f>
        <v>0.1029</v>
      </c>
      <c r="H170" s="16" t="n">
        <f aca="false">IF(D170="","",MAX(0,MIN($B$8,IFERROR(LOOKUP(2,1/($U$24:U169&lt;&gt;""),$U$24:U169),$B$11))))</f>
        <v>148.472575077977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14.7981119465475</v>
      </c>
      <c r="J170" s="16" t="n">
        <f aca="false">IF(D170="","",$B$12)</f>
        <v>0.432</v>
      </c>
      <c r="K170" s="16" t="n">
        <f aca="false">IF(J170="","",J170*$B$15)</f>
        <v>1.119744</v>
      </c>
      <c r="L170" s="16" t="n">
        <f aca="false">IF(D170="","",H170+E170-K170-G170*I170)</f>
        <v>151.221180657374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14.9982290282837</v>
      </c>
      <c r="N170" s="16" t="n">
        <f aca="false">IF(D170="","",(I170+M170)/2)</f>
        <v>14.8981704874156</v>
      </c>
      <c r="O170" s="16" t="n">
        <f aca="false">IF(D170="","",G170*N170)</f>
        <v>1.53302174315507</v>
      </c>
      <c r="P170" s="16" t="n">
        <f aca="false">IF(D170="","",H170+E170-K170-O170)</f>
        <v>151.210884633518</v>
      </c>
      <c r="Q170" s="16" t="n">
        <f aca="false">IF(D170="","",IF(P170&gt;=0,K170,MAX(0,K170+P170)))</f>
        <v>1.119744</v>
      </c>
      <c r="R170" s="16" t="n">
        <f aca="false">IF(D170="","",Q170/$B$15)</f>
        <v>0.432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151.210884633518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93.3400522429125</v>
      </c>
      <c r="Z170" s="18" t="n">
        <f aca="false">IF(D170="","",MAX(0,IF(P170&gt;=0,P170,IF(K170+P170&gt;=0,0,P170+K170))))</f>
        <v>151.210884633518</v>
      </c>
      <c r="AA170" s="18" t="n">
        <f aca="false">IF(D170="","",IF(H170&lt;=$B$16,1,IF(H170&gt;=$B$17,$B$21,MATCH(H170,Aux_CAV!$A$2:$A$121,1))))</f>
        <v>22</v>
      </c>
      <c r="AB170" s="18" t="n">
        <f aca="false">IF(D170="","",IF(L170&lt;=$B$16,1,IF(L170&gt;=$B$17,$B$21,MATCH(L170,Aux_CAV!$A$2:$A$121,1))))</f>
        <v>22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10.2724515852399</v>
      </c>
      <c r="E171" s="16" t="n">
        <f aca="false">IF(D171="","",D171*$B$15)</f>
        <v>26.6261945089418</v>
      </c>
      <c r="F171" s="16" t="n">
        <f aca="false" t="array" ref="F171:F171">IF(D171="","",IFERROR(INDEX(Dados_Evap!$C$2:$N$15,MATCH($B$9,Dados_Evap!$A$2:$A$15,0),C171),0))</f>
        <v>81.8</v>
      </c>
      <c r="G171" s="16" t="n">
        <f aca="false">IF(F171="","",F171/1000)</f>
        <v>0.0818</v>
      </c>
      <c r="H171" s="16" t="n">
        <f aca="false">IF(D171="","",MAX(0,MIN($B$8,IFERROR(LOOKUP(2,1/($U$24:U170&lt;&gt;""),$U$24:U170),$B$11))))</f>
        <v>151.210884633518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14.9974794080898</v>
      </c>
      <c r="J171" s="16" t="n">
        <f aca="false">IF(D171="","",$B$12)</f>
        <v>0.432</v>
      </c>
      <c r="K171" s="16" t="n">
        <f aca="false">IF(J171="","",J171*$B$15)</f>
        <v>1.119744</v>
      </c>
      <c r="L171" s="16" t="n">
        <f aca="false">IF(D171="","",H171+E171-K171-G171*I171)</f>
        <v>175.490541326878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16.5898628526933</v>
      </c>
      <c r="N171" s="16" t="n">
        <f aca="false">IF(D171="","",(I171+M171)/2)</f>
        <v>15.7936711303916</v>
      </c>
      <c r="O171" s="16" t="n">
        <f aca="false">IF(D171="","",G171*N171)</f>
        <v>1.29192229846603</v>
      </c>
      <c r="P171" s="16" t="n">
        <f aca="false">IF(D171="","",H171+E171-K171-O171)</f>
        <v>175.425412843994</v>
      </c>
      <c r="Q171" s="16" t="n">
        <f aca="false">IF(D171="","",IF(P171&gt;=0,K171,MAX(0,K171+P171)))</f>
        <v>1.119744</v>
      </c>
      <c r="R171" s="16" t="n">
        <f aca="false">IF(D171="","",Q171/$B$15)</f>
        <v>0.432</v>
      </c>
      <c r="S171" s="16" t="n">
        <f aca="false">IF(D171="","",MAX(0,J171-R171))</f>
        <v>0</v>
      </c>
      <c r="T171" s="16" t="n">
        <f aca="false">IF(D171="","",MAX(0,Z171-$B$8))</f>
        <v>13.425412843994</v>
      </c>
      <c r="U171" s="16" t="n">
        <f aca="false">IF(D171="","",MAX(0,MIN($B$8,Z171)))</f>
        <v>162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175.425412843994</v>
      </c>
      <c r="AA171" s="18" t="n">
        <f aca="false">IF(D171="","",IF(H171&lt;=$B$16,1,IF(H171&gt;=$B$17,$B$21,MATCH(H171,Aux_CAV!$A$2:$A$121,1))))</f>
        <v>22</v>
      </c>
      <c r="AB171" s="18" t="n">
        <f aca="false">IF(D171="","",IF(L171&lt;=$B$16,1,IF(L171&gt;=$B$17,$B$21,MATCH(L171,Aux_CAV!$A$2:$A$121,1))))</f>
        <v>23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11.5519419749715</v>
      </c>
      <c r="E172" s="16" t="n">
        <f aca="false">IF(D172="","",D172*$B$15)</f>
        <v>29.9426335991261</v>
      </c>
      <c r="F172" s="16" t="n">
        <f aca="false" t="array" ref="F172:F172">IF(D172="","",IFERROR(INDEX(Dados_Evap!$C$2:$N$15,MATCH($B$9,Dados_Evap!$A$2:$A$15,0),C172),0))</f>
        <v>83.6</v>
      </c>
      <c r="G172" s="16" t="n">
        <f aca="false">IF(F172="","",F172/1000)</f>
        <v>0.0836</v>
      </c>
      <c r="H172" s="16" t="n">
        <f aca="false">IF(D172="","",MAX(0,MIN($B$8,IFERROR(LOOKUP(2,1/($U$24:U171&lt;&gt;""),$U$24:U171),$B$11))))</f>
        <v>162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15.783</v>
      </c>
      <c r="J172" s="16" t="n">
        <f aca="false">IF(D172="","",$B$12)</f>
        <v>0.432</v>
      </c>
      <c r="K172" s="16" t="n">
        <f aca="false">IF(J172="","",J172*$B$15)</f>
        <v>1.119744</v>
      </c>
      <c r="L172" s="16" t="n">
        <f aca="false">IF(D172="","",H172+E172-K172-G172*I172)</f>
        <v>189.503430799126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17.4279670992239</v>
      </c>
      <c r="N172" s="16" t="n">
        <f aca="false">IF(D172="","",(I172+M172)/2)</f>
        <v>16.605483549612</v>
      </c>
      <c r="O172" s="16" t="n">
        <f aca="false">IF(D172="","",G172*N172)</f>
        <v>1.38821842474756</v>
      </c>
      <c r="P172" s="16" t="n">
        <f aca="false">IF(D172="","",H172+E172-K172-O172)</f>
        <v>189.434671174379</v>
      </c>
      <c r="Q172" s="16" t="n">
        <f aca="false">IF(D172="","",IF(P172&gt;=0,K172,MAX(0,K172+P172)))</f>
        <v>1.119744</v>
      </c>
      <c r="R172" s="16" t="n">
        <f aca="false">IF(D172="","",Q172/$B$15)</f>
        <v>0.432</v>
      </c>
      <c r="S172" s="16" t="n">
        <f aca="false">IF(D172="","",MAX(0,J172-R172))</f>
        <v>0</v>
      </c>
      <c r="T172" s="16" t="n">
        <f aca="false">IF(D172="","",MAX(0,Z172-$B$8))</f>
        <v>27.4346711743786</v>
      </c>
      <c r="U172" s="16" t="n">
        <f aca="false">IF(D172="","",MAX(0,MIN($B$8,Z172)))</f>
        <v>162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189.434671174379</v>
      </c>
      <c r="AA172" s="18" t="n">
        <f aca="false">IF(D172="","",IF(H172&lt;=$B$16,1,IF(H172&gt;=$B$17,$B$21,MATCH(H172,Aux_CAV!$A$2:$A$121,1))))</f>
        <v>23</v>
      </c>
      <c r="AB172" s="18" t="n">
        <f aca="false">IF(D172="","",IF(L172&lt;=$B$16,1,IF(L172&gt;=$B$17,$B$21,MATCH(L172,Aux_CAV!$A$2:$A$121,1))))</f>
        <v>23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6.71340073387625</v>
      </c>
      <c r="E173" s="16" t="n">
        <f aca="false">IF(D173="","",D173*$B$15)</f>
        <v>17.4011347022072</v>
      </c>
      <c r="F173" s="16" t="n">
        <f aca="false" t="array" ref="F173:F173">IF(D173="","",IFERROR(INDEX(Dados_Evap!$C$2:$N$15,MATCH($B$9,Dados_Evap!$A$2:$A$15,0),C173),0))</f>
        <v>108.2</v>
      </c>
      <c r="G173" s="16" t="n">
        <f aca="false">IF(F173="","",F173/1000)</f>
        <v>0.1082</v>
      </c>
      <c r="H173" s="16" t="n">
        <f aca="false">IF(D173="","",MAX(0,MIN($B$8,IFERROR(LOOKUP(2,1/($U$24:U172&lt;&gt;""),$U$24:U172),$B$11))))</f>
        <v>162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15.783</v>
      </c>
      <c r="J173" s="16" t="n">
        <f aca="false">IF(D173="","",$B$12)</f>
        <v>0.432</v>
      </c>
      <c r="K173" s="16" t="n">
        <f aca="false">IF(J173="","",J173*$B$15)</f>
        <v>1.119744</v>
      </c>
      <c r="L173" s="16" t="n">
        <f aca="false">IF(D173="","",H173+E173-K173-G173*I173)</f>
        <v>176.573670102207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16.6546442689701</v>
      </c>
      <c r="N173" s="16" t="n">
        <f aca="false">IF(D173="","",(I173+M173)/2)</f>
        <v>16.2188221344851</v>
      </c>
      <c r="O173" s="16" t="n">
        <f aca="false">IF(D173="","",G173*N173)</f>
        <v>1.75487655495128</v>
      </c>
      <c r="P173" s="16" t="n">
        <f aca="false">IF(D173="","",H173+E173-K173-O173)</f>
        <v>176.526514147256</v>
      </c>
      <c r="Q173" s="16" t="n">
        <f aca="false">IF(D173="","",IF(P173&gt;=0,K173,MAX(0,K173+P173)))</f>
        <v>1.119744</v>
      </c>
      <c r="R173" s="16" t="n">
        <f aca="false">IF(D173="","",Q173/$B$15)</f>
        <v>0.432</v>
      </c>
      <c r="S173" s="16" t="n">
        <f aca="false">IF(D173="","",MAX(0,J173-R173))</f>
        <v>0</v>
      </c>
      <c r="T173" s="16" t="n">
        <f aca="false">IF(D173="","",MAX(0,Z173-$B$8))</f>
        <v>14.5265141472559</v>
      </c>
      <c r="U173" s="16" t="n">
        <f aca="false">IF(D173="","",MAX(0,MIN($B$8,Z173)))</f>
        <v>162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176.526514147256</v>
      </c>
      <c r="AA173" s="18" t="n">
        <f aca="false">IF(D173="","",IF(H173&lt;=$B$16,1,IF(H173&gt;=$B$17,$B$21,MATCH(H173,Aux_CAV!$A$2:$A$121,1))))</f>
        <v>23</v>
      </c>
      <c r="AB173" s="18" t="n">
        <f aca="false">IF(D173="","",IF(L173&lt;=$B$16,1,IF(L173&gt;=$B$17,$B$21,MATCH(L173,Aux_CAV!$A$2:$A$121,1))))</f>
        <v>23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5.41075158342813</v>
      </c>
      <c r="E174" s="16" t="n">
        <f aca="false">IF(D174="","",D174*$B$15)</f>
        <v>14.0246681042457</v>
      </c>
      <c r="F174" s="16" t="n">
        <f aca="false" t="array" ref="F174:F174">IF(D174="","",IFERROR(INDEX(Dados_Evap!$C$2:$N$15,MATCH($B$9,Dados_Evap!$A$2:$A$15,0),C174),0))</f>
        <v>149</v>
      </c>
      <c r="G174" s="16" t="n">
        <f aca="false">IF(F174="","",F174/1000)</f>
        <v>0.149</v>
      </c>
      <c r="H174" s="16" t="n">
        <f aca="false">IF(D174="","",MAX(0,MIN($B$8,IFERROR(LOOKUP(2,1/($U$24:U173&lt;&gt;""),$U$24:U173),$B$11))))</f>
        <v>162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15.783</v>
      </c>
      <c r="J174" s="16" t="n">
        <f aca="false">IF(D174="","",$B$12)</f>
        <v>0.432</v>
      </c>
      <c r="K174" s="16" t="n">
        <f aca="false">IF(J174="","",J174*$B$15)</f>
        <v>1.119744</v>
      </c>
      <c r="L174" s="16" t="n">
        <f aca="false">IF(D174="","",H174+E174-K174-G174*I174)</f>
        <v>172.553257104246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16.4141852820444</v>
      </c>
      <c r="N174" s="16" t="n">
        <f aca="false">IF(D174="","",(I174+M174)/2)</f>
        <v>16.0985926410222</v>
      </c>
      <c r="O174" s="16" t="n">
        <f aca="false">IF(D174="","",G174*N174)</f>
        <v>2.39869030351231</v>
      </c>
      <c r="P174" s="16" t="n">
        <f aca="false">IF(D174="","",H174+E174-K174-O174)</f>
        <v>172.506233800733</v>
      </c>
      <c r="Q174" s="16" t="n">
        <f aca="false">IF(D174="","",IF(P174&gt;=0,K174,MAX(0,K174+P174)))</f>
        <v>1.119744</v>
      </c>
      <c r="R174" s="16" t="n">
        <f aca="false">IF(D174="","",Q174/$B$15)</f>
        <v>0.432</v>
      </c>
      <c r="S174" s="16" t="n">
        <f aca="false">IF(D174="","",MAX(0,J174-R174))</f>
        <v>0</v>
      </c>
      <c r="T174" s="16" t="n">
        <f aca="false">IF(D174="","",MAX(0,Z174-$B$8))</f>
        <v>10.5062338007334</v>
      </c>
      <c r="U174" s="16" t="n">
        <f aca="false">IF(D174="","",MAX(0,MIN($B$8,Z174)))</f>
        <v>162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172.506233800733</v>
      </c>
      <c r="AA174" s="18" t="n">
        <f aca="false">IF(D174="","",IF(H174&lt;=$B$16,1,IF(H174&gt;=$B$17,$B$21,MATCH(H174,Aux_CAV!$A$2:$A$121,1))))</f>
        <v>23</v>
      </c>
      <c r="AB174" s="18" t="n">
        <f aca="false">IF(D174="","",IF(L174&lt;=$B$16,1,IF(L174&gt;=$B$17,$B$21,MATCH(L174,Aux_CAV!$A$2:$A$121,1))))</f>
        <v>23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1.93911944760678</v>
      </c>
      <c r="E175" s="16" t="n">
        <f aca="false">IF(D175="","",D175*$B$15)</f>
        <v>5.02619760819677</v>
      </c>
      <c r="F175" s="16" t="n">
        <f aca="false" t="array" ref="F175:F175">IF(D175="","",IFERROR(INDEX(Dados_Evap!$C$2:$N$15,MATCH($B$9,Dados_Evap!$A$2:$A$15,0),C175),0))</f>
        <v>206.8</v>
      </c>
      <c r="G175" s="16" t="n">
        <f aca="false">IF(F175="","",F175/1000)</f>
        <v>0.2068</v>
      </c>
      <c r="H175" s="16" t="n">
        <f aca="false">IF(D175="","",MAX(0,MIN($B$8,IFERROR(LOOKUP(2,1/($U$24:U174&lt;&gt;""),$U$24:U174),$B$11))))</f>
        <v>162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15.783</v>
      </c>
      <c r="J175" s="16" t="n">
        <f aca="false">IF(D175="","",$B$12)</f>
        <v>0.432</v>
      </c>
      <c r="K175" s="16" t="n">
        <f aca="false">IF(J175="","",J175*$B$15)</f>
        <v>1.119744</v>
      </c>
      <c r="L175" s="16" t="n">
        <f aca="false">IF(D175="","",H175+E175-K175-G175*I175)</f>
        <v>162.642529208197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15.821429365976</v>
      </c>
      <c r="N175" s="16" t="n">
        <f aca="false">IF(D175="","",(I175+M175)/2)</f>
        <v>15.802214682988</v>
      </c>
      <c r="O175" s="16" t="n">
        <f aca="false">IF(D175="","",G175*N175)</f>
        <v>3.26789799644191</v>
      </c>
      <c r="P175" s="16" t="n">
        <f aca="false">IF(D175="","",H175+E175-K175-O175)</f>
        <v>162.638555611755</v>
      </c>
      <c r="Q175" s="16" t="n">
        <f aca="false">IF(D175="","",IF(P175&gt;=0,K175,MAX(0,K175+P175)))</f>
        <v>1.119744</v>
      </c>
      <c r="R175" s="16" t="n">
        <f aca="false">IF(D175="","",Q175/$B$15)</f>
        <v>0.432</v>
      </c>
      <c r="S175" s="16" t="n">
        <f aca="false">IF(D175="","",MAX(0,J175-R175))</f>
        <v>0</v>
      </c>
      <c r="T175" s="16" t="n">
        <f aca="false">IF(D175="","",MAX(0,Z175-$B$8))</f>
        <v>0.638555611754867</v>
      </c>
      <c r="U175" s="16" t="n">
        <f aca="false">IF(D175="","",MAX(0,MIN($B$8,Z175)))</f>
        <v>162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100</v>
      </c>
      <c r="Z175" s="18" t="n">
        <f aca="false">IF(D175="","",MAX(0,IF(P175&gt;=0,P175,IF(K175+P175&gt;=0,0,P175+K175))))</f>
        <v>162.638555611755</v>
      </c>
      <c r="AA175" s="18" t="n">
        <f aca="false">IF(D175="","",IF(H175&lt;=$B$16,1,IF(H175&gt;=$B$17,$B$21,MATCH(H175,Aux_CAV!$A$2:$A$121,1))))</f>
        <v>23</v>
      </c>
      <c r="AB175" s="18" t="n">
        <f aca="false">IF(D175="","",IF(L175&lt;=$B$16,1,IF(L175&gt;=$B$17,$B$21,MATCH(L175,Aux_CAV!$A$2:$A$121,1))))</f>
        <v>23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0.688906129600528</v>
      </c>
      <c r="E176" s="16" t="n">
        <f aca="false">IF(D176="","",D176*$B$15)</f>
        <v>1.78564468792457</v>
      </c>
      <c r="F176" s="16" t="n">
        <f aca="false" t="array" ref="F176:F176">IF(D176="","",IFERROR(INDEX(Dados_Evap!$C$2:$N$15,MATCH($B$9,Dados_Evap!$A$2:$A$15,0),C176),0))</f>
        <v>245.9</v>
      </c>
      <c r="G176" s="16" t="n">
        <f aca="false">IF(F176="","",F176/1000)</f>
        <v>0.2459</v>
      </c>
      <c r="H176" s="16" t="n">
        <f aca="false">IF(D176="","",MAX(0,MIN($B$8,IFERROR(LOOKUP(2,1/($U$24:U175&lt;&gt;""),$U$24:U175),$B$11))))</f>
        <v>162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15.783</v>
      </c>
      <c r="J176" s="16" t="n">
        <f aca="false">IF(D176="","",$B$12)</f>
        <v>0.432</v>
      </c>
      <c r="K176" s="16" t="n">
        <f aca="false">IF(J176="","",J176*$B$15)</f>
        <v>1.119744</v>
      </c>
      <c r="L176" s="16" t="n">
        <f aca="false">IF(D176="","",H176+E176-K176-G176*I176)</f>
        <v>158.784860987925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15.5489161280558</v>
      </c>
      <c r="N176" s="16" t="n">
        <f aca="false">IF(D176="","",(I176+M176)/2)</f>
        <v>15.6659580640279</v>
      </c>
      <c r="O176" s="16" t="n">
        <f aca="false">IF(D176="","",G176*N176)</f>
        <v>3.85225908794446</v>
      </c>
      <c r="P176" s="16" t="n">
        <f aca="false">IF(D176="","",H176+E176-K176-O176)</f>
        <v>158.81364159998</v>
      </c>
      <c r="Q176" s="16" t="n">
        <f aca="false">IF(D176="","",IF(P176&gt;=0,K176,MAX(0,K176+P176)))</f>
        <v>1.119744</v>
      </c>
      <c r="R176" s="16" t="n">
        <f aca="false">IF(D176="","",Q176/$B$15)</f>
        <v>0.432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158.81364159998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98.0331120987532</v>
      </c>
      <c r="Z176" s="18" t="n">
        <f aca="false">IF(D176="","",MAX(0,IF(P176&gt;=0,P176,IF(K176+P176&gt;=0,0,P176+K176))))</f>
        <v>158.81364159998</v>
      </c>
      <c r="AA176" s="18" t="n">
        <f aca="false">IF(D176="","",IF(H176&lt;=$B$16,1,IF(H176&gt;=$B$17,$B$21,MATCH(H176,Aux_CAV!$A$2:$A$121,1))))</f>
        <v>23</v>
      </c>
      <c r="AB176" s="18" t="n">
        <f aca="false">IF(D176="","",IF(L176&lt;=$B$16,1,IF(L176&gt;=$B$17,$B$21,MATCH(L176,Aux_CAV!$A$2:$A$121,1))))</f>
        <v>22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0.5984556177904</v>
      </c>
      <c r="E177" s="16" t="n">
        <f aca="false">IF(D177="","",D177*$B$15)</f>
        <v>1.55119696131272</v>
      </c>
      <c r="F177" s="16" t="n">
        <f aca="false" t="array" ref="F177:F177">IF(D177="","",IFERROR(INDEX(Dados_Evap!$C$2:$N$15,MATCH($B$9,Dados_Evap!$A$2:$A$15,0),C177),0))</f>
        <v>282.3</v>
      </c>
      <c r="G177" s="16" t="n">
        <f aca="false">IF(F177="","",F177/1000)</f>
        <v>0.2823</v>
      </c>
      <c r="H177" s="16" t="n">
        <f aca="false">IF(D177="","",MAX(0,MIN($B$8,IFERROR(LOOKUP(2,1/($U$24:U176&lt;&gt;""),$U$24:U176),$B$11))))</f>
        <v>158.81364159998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15.5510115513272</v>
      </c>
      <c r="J177" s="16" t="n">
        <f aca="false">IF(D177="","",$B$12)</f>
        <v>0.432</v>
      </c>
      <c r="K177" s="16" t="n">
        <f aca="false">IF(J177="","",J177*$B$15)</f>
        <v>1.119744</v>
      </c>
      <c r="L177" s="16" t="n">
        <f aca="false">IF(D177="","",H177+E177-K177-G177*I177)</f>
        <v>154.855044000353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15.2627988643767</v>
      </c>
      <c r="N177" s="16" t="n">
        <f aca="false">IF(D177="","",(I177+M177)/2)</f>
        <v>15.406905207852</v>
      </c>
      <c r="O177" s="16" t="n">
        <f aca="false">IF(D177="","",G177*N177)</f>
        <v>4.34936934017661</v>
      </c>
      <c r="P177" s="16" t="n">
        <f aca="false">IF(D177="","",H177+E177-K177-O177)</f>
        <v>154.895725221116</v>
      </c>
      <c r="Q177" s="16" t="n">
        <f aca="false">IF(D177="","",IF(P177&gt;=0,K177,MAX(0,K177+P177)))</f>
        <v>1.119744</v>
      </c>
      <c r="R177" s="16" t="n">
        <f aca="false">IF(D177="","",Q177/$B$15)</f>
        <v>0.432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154.895725221116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95.6146451982199</v>
      </c>
      <c r="Z177" s="18" t="n">
        <f aca="false">IF(D177="","",MAX(0,IF(P177&gt;=0,P177,IF(K177+P177&gt;=0,0,P177+K177))))</f>
        <v>154.895725221116</v>
      </c>
      <c r="AA177" s="18" t="n">
        <f aca="false">IF(D177="","",IF(H177&lt;=$B$16,1,IF(H177&gt;=$B$17,$B$21,MATCH(H177,Aux_CAV!$A$2:$A$121,1))))</f>
        <v>22</v>
      </c>
      <c r="AB177" s="18" t="n">
        <f aca="false">IF(D177="","",IF(L177&lt;=$B$16,1,IF(L177&gt;=$B$17,$B$21,MATCH(L177,Aux_CAV!$A$2:$A$121,1))))</f>
        <v>22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0.976197993734132</v>
      </c>
      <c r="E178" s="16" t="n">
        <f aca="false">IF(D178="","",D178*$B$15)</f>
        <v>2.53030519975887</v>
      </c>
      <c r="F178" s="16" t="n">
        <f aca="false" t="array" ref="F178:F178">IF(D178="","",IFERROR(INDEX(Dados_Evap!$C$2:$N$15,MATCH($B$9,Dados_Evap!$A$2:$A$15,0),C178),0))</f>
        <v>241.3</v>
      </c>
      <c r="G178" s="16" t="n">
        <f aca="false">IF(F178="","",F178/1000)</f>
        <v>0.2413</v>
      </c>
      <c r="H178" s="16" t="n">
        <f aca="false">IF(D178="","",MAX(0,MIN($B$8,IFERROR(LOOKUP(2,1/($U$24:U177&lt;&gt;""),$U$24:U177),$B$11))))</f>
        <v>154.895725221116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15.265760732475</v>
      </c>
      <c r="J178" s="16" t="n">
        <f aca="false">IF(D178="","",$B$12)</f>
        <v>0.432</v>
      </c>
      <c r="K178" s="16" t="n">
        <f aca="false">IF(J178="","",J178*$B$15)</f>
        <v>1.119744</v>
      </c>
      <c r="L178" s="16" t="n">
        <f aca="false">IF(D178="","",H178+E178-K178-G178*I178)</f>
        <v>152.622658356129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15.1002660863817</v>
      </c>
      <c r="N178" s="16" t="n">
        <f aca="false">IF(D178="","",(I178+M178)/2)</f>
        <v>15.1830134094284</v>
      </c>
      <c r="O178" s="16" t="n">
        <f aca="false">IF(D178="","",G178*N178)</f>
        <v>3.66366113569506</v>
      </c>
      <c r="P178" s="16" t="n">
        <f aca="false">IF(D178="","",H178+E178-K178-O178)</f>
        <v>152.64262528518</v>
      </c>
      <c r="Q178" s="16" t="n">
        <f aca="false">IF(D178="","",IF(P178&gt;=0,K178,MAX(0,K178+P178)))</f>
        <v>1.119744</v>
      </c>
      <c r="R178" s="16" t="n">
        <f aca="false">IF(D178="","",Q178/$B$15)</f>
        <v>0.432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152.64262528518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94.2238427686296</v>
      </c>
      <c r="Z178" s="18" t="n">
        <f aca="false">IF(D178="","",MAX(0,IF(P178&gt;=0,P178,IF(K178+P178&gt;=0,0,P178+K178))))</f>
        <v>152.64262528518</v>
      </c>
      <c r="AA178" s="18" t="n">
        <f aca="false">IF(D178="","",IF(H178&lt;=$B$16,1,IF(H178&gt;=$B$17,$B$21,MATCH(H178,Aux_CAV!$A$2:$A$121,1))))</f>
        <v>22</v>
      </c>
      <c r="AB178" s="18" t="n">
        <f aca="false">IF(D178="","",IF(L178&lt;=$B$16,1,IF(L178&gt;=$B$17,$B$21,MATCH(L178,Aux_CAV!$A$2:$A$121,1))))</f>
        <v>22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0.623159111077613</v>
      </c>
      <c r="E179" s="16" t="n">
        <f aca="false">IF(D179="","",D179*$B$15)</f>
        <v>1.61522841591317</v>
      </c>
      <c r="F179" s="16" t="n">
        <f aca="false" t="array" ref="F179:F179">IF(D179="","",IFERROR(INDEX(Dados_Evap!$C$2:$N$15,MATCH($B$9,Dados_Evap!$A$2:$A$15,0),C179),0))</f>
        <v>241.8</v>
      </c>
      <c r="G179" s="16" t="n">
        <f aca="false">IF(F179="","",F179/1000)</f>
        <v>0.2418</v>
      </c>
      <c r="H179" s="16" t="n">
        <f aca="false">IF(D179="","",MAX(0,MIN($B$8,IFERROR(LOOKUP(2,1/($U$24:U178&lt;&gt;""),$U$24:U178),$B$11))))</f>
        <v>152.64262528518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15.1017198139019</v>
      </c>
      <c r="J179" s="16" t="n">
        <f aca="false">IF(D179="","",$B$12)</f>
        <v>0.432</v>
      </c>
      <c r="K179" s="16" t="n">
        <f aca="false">IF(J179="","",J179*$B$15)</f>
        <v>1.119744</v>
      </c>
      <c r="L179" s="16" t="n">
        <f aca="false">IF(D179="","",H179+E179-K179-G179*I179)</f>
        <v>149.486513850092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14.8719335489105</v>
      </c>
      <c r="N179" s="16" t="n">
        <f aca="false">IF(D179="","",(I179+M179)/2)</f>
        <v>14.9868266814062</v>
      </c>
      <c r="O179" s="16" t="n">
        <f aca="false">IF(D179="","",G179*N179)</f>
        <v>3.62381469156402</v>
      </c>
      <c r="P179" s="16" t="n">
        <f aca="false">IF(D179="","",H179+E179-K179-O179)</f>
        <v>149.514295009529</v>
      </c>
      <c r="Q179" s="16" t="n">
        <f aca="false">IF(D179="","",IF(P179&gt;=0,K179,MAX(0,K179+P179)))</f>
        <v>1.119744</v>
      </c>
      <c r="R179" s="16" t="n">
        <f aca="false">IF(D179="","",Q179/$B$15)</f>
        <v>0.432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149.514295009529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92.2927746972402</v>
      </c>
      <c r="Z179" s="18" t="n">
        <f aca="false">IF(D179="","",MAX(0,IF(P179&gt;=0,P179,IF(K179+P179&gt;=0,0,P179+K179))))</f>
        <v>149.514295009529</v>
      </c>
      <c r="AA179" s="18" t="n">
        <f aca="false">IF(D179="","",IF(H179&lt;=$B$16,1,IF(H179&gt;=$B$17,$B$21,MATCH(H179,Aux_CAV!$A$2:$A$121,1))))</f>
        <v>22</v>
      </c>
      <c r="AB179" s="18" t="n">
        <f aca="false">IF(D179="","",IF(L179&lt;=$B$16,1,IF(L179&gt;=$B$17,$B$21,MATCH(L179,Aux_CAV!$A$2:$A$121,1))))</f>
        <v>22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1.19474485243788</v>
      </c>
      <c r="E180" s="16" t="n">
        <f aca="false">IF(D180="","",D180*$B$15)</f>
        <v>3.09677865751899</v>
      </c>
      <c r="F180" s="16" t="n">
        <f aca="false" t="array" ref="F180:F180">IF(D180="","",IFERROR(INDEX(Dados_Evap!$C$2:$N$15,MATCH($B$9,Dados_Evap!$A$2:$A$15,0),C180),0))</f>
        <v>189</v>
      </c>
      <c r="G180" s="16" t="n">
        <f aca="false">IF(F180="","",F180/1000)</f>
        <v>0.189</v>
      </c>
      <c r="H180" s="16" t="n">
        <f aca="false">IF(D180="","",MAX(0,MIN($B$8,IFERROR(LOOKUP(2,1/($U$24:U179&lt;&gt;""),$U$24:U179),$B$11))))</f>
        <v>149.514295009529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14.8739562052696</v>
      </c>
      <c r="J180" s="16" t="n">
        <f aca="false">IF(D180="","",$B$12)</f>
        <v>0.432</v>
      </c>
      <c r="K180" s="16" t="n">
        <f aca="false">IF(J180="","",J180*$B$15)</f>
        <v>1.119744</v>
      </c>
      <c r="L180" s="16" t="n">
        <f aca="false">IF(D180="","",H180+E180-K180-G180*I180)</f>
        <v>148.680151944252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14.8132249467635</v>
      </c>
      <c r="N180" s="16" t="n">
        <f aca="false">IF(D180="","",(I180+M180)/2)</f>
        <v>14.8435905760166</v>
      </c>
      <c r="O180" s="16" t="n">
        <f aca="false">IF(D180="","",G180*N180)</f>
        <v>2.80543861886713</v>
      </c>
      <c r="P180" s="16" t="n">
        <f aca="false">IF(D180="","",H180+E180-K180-O180)</f>
        <v>148.685891048181</v>
      </c>
      <c r="Q180" s="16" t="n">
        <f aca="false">IF(D180="","",IF(P180&gt;=0,K180,MAX(0,K180+P180)))</f>
        <v>1.119744</v>
      </c>
      <c r="R180" s="16" t="n">
        <f aca="false">IF(D180="","",Q180/$B$15)</f>
        <v>0.432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148.685891048181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91.7814142272723</v>
      </c>
      <c r="Z180" s="18" t="n">
        <f aca="false">IF(D180="","",MAX(0,IF(P180&gt;=0,P180,IF(K180+P180&gt;=0,0,P180+K180))))</f>
        <v>148.685891048181</v>
      </c>
      <c r="AA180" s="18" t="n">
        <f aca="false">IF(D180="","",IF(H180&lt;=$B$16,1,IF(H180&gt;=$B$17,$B$21,MATCH(H180,Aux_CAV!$A$2:$A$121,1))))</f>
        <v>22</v>
      </c>
      <c r="AB180" s="18" t="n">
        <f aca="false">IF(D180="","",IF(L180&lt;=$B$16,1,IF(L180&gt;=$B$17,$B$21,MATCH(L180,Aux_CAV!$A$2:$A$121,1))))</f>
        <v>22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2.85651397021076</v>
      </c>
      <c r="E181" s="16" t="n">
        <f aca="false">IF(D181="","",D181*$B$15)</f>
        <v>7.40408421078629</v>
      </c>
      <c r="F181" s="16" t="n">
        <f aca="false" t="array" ref="F181:F181">IF(D181="","",IFERROR(INDEX(Dados_Evap!$C$2:$N$15,MATCH($B$9,Dados_Evap!$A$2:$A$15,0),C181),0))</f>
        <v>136.9</v>
      </c>
      <c r="G181" s="16" t="n">
        <f aca="false">IF(F181="","",F181/1000)</f>
        <v>0.1369</v>
      </c>
      <c r="H181" s="16" t="n">
        <f aca="false">IF(D181="","",MAX(0,MIN($B$8,IFERROR(LOOKUP(2,1/($U$24:U180&lt;&gt;""),$U$24:U180),$B$11))))</f>
        <v>148.685891048181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14.8136427923571</v>
      </c>
      <c r="J181" s="16" t="n">
        <f aca="false">IF(D181="","",$B$12)</f>
        <v>0.432</v>
      </c>
      <c r="K181" s="16" t="n">
        <f aca="false">IF(J181="","",J181*$B$15)</f>
        <v>1.119744</v>
      </c>
      <c r="L181" s="16" t="n">
        <f aca="false">IF(D181="","",H181+E181-K181-G181*I181)</f>
        <v>152.942243560694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15.123534051412</v>
      </c>
      <c r="N181" s="16" t="n">
        <f aca="false">IF(D181="","",(I181+M181)/2)</f>
        <v>14.9685884218846</v>
      </c>
      <c r="O181" s="16" t="n">
        <f aca="false">IF(D181="","",G181*N181)</f>
        <v>2.049199754956</v>
      </c>
      <c r="P181" s="16" t="n">
        <f aca="false">IF(D181="","",H181+E181-K181-O181)</f>
        <v>152.921031504011</v>
      </c>
      <c r="Q181" s="16" t="n">
        <f aca="false">IF(D181="","",IF(P181&gt;=0,K181,MAX(0,K181+P181)))</f>
        <v>1.119744</v>
      </c>
      <c r="R181" s="16" t="n">
        <f aca="false">IF(D181="","",Q181/$B$15)</f>
        <v>0.432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152.921031504011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94.3956984592663</v>
      </c>
      <c r="Z181" s="18" t="n">
        <f aca="false">IF(D181="","",MAX(0,IF(P181&gt;=0,P181,IF(K181+P181&gt;=0,0,P181+K181))))</f>
        <v>152.921031504011</v>
      </c>
      <c r="AA181" s="18" t="n">
        <f aca="false">IF(D181="","",IF(H181&lt;=$B$16,1,IF(H181&gt;=$B$17,$B$21,MATCH(H181,Aux_CAV!$A$2:$A$121,1))))</f>
        <v>22</v>
      </c>
      <c r="AB181" s="18" t="n">
        <f aca="false">IF(D181="","",IF(L181&lt;=$B$16,1,IF(L181&gt;=$B$17,$B$21,MATCH(L181,Aux_CAV!$A$2:$A$121,1))))</f>
        <v>22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5.38912994894253</v>
      </c>
      <c r="E182" s="16" t="n">
        <f aca="false">IF(D182="","",D182*$B$15)</f>
        <v>13.968624827659</v>
      </c>
      <c r="F182" s="16" t="n">
        <f aca="false" t="array" ref="F182:F182">IF(D182="","",IFERROR(INDEX(Dados_Evap!$C$2:$N$15,MATCH($B$9,Dados_Evap!$A$2:$A$15,0),C182),0))</f>
        <v>102.9</v>
      </c>
      <c r="G182" s="16" t="n">
        <f aca="false">IF(F182="","",F182/1000)</f>
        <v>0.1029</v>
      </c>
      <c r="H182" s="16" t="n">
        <f aca="false">IF(D182="","",MAX(0,MIN($B$8,IFERROR(LOOKUP(2,1/($U$24:U181&lt;&gt;""),$U$24:U181),$B$11))))</f>
        <v>152.921031504011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15.1219896701764</v>
      </c>
      <c r="J182" s="16" t="n">
        <f aca="false">IF(D182="","",$B$12)</f>
        <v>0.432</v>
      </c>
      <c r="K182" s="16" t="n">
        <f aca="false">IF(J182="","",J182*$B$15)</f>
        <v>1.119744</v>
      </c>
      <c r="L182" s="16" t="n">
        <f aca="false">IF(D182="","",H182+E182-K182-G182*I182)</f>
        <v>164.213859594609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15.9154098881347</v>
      </c>
      <c r="N182" s="16" t="n">
        <f aca="false">IF(D182="","",(I182+M182)/2)</f>
        <v>15.5186997791556</v>
      </c>
      <c r="O182" s="16" t="n">
        <f aca="false">IF(D182="","",G182*N182)</f>
        <v>1.59687420727511</v>
      </c>
      <c r="P182" s="16" t="n">
        <f aca="false">IF(D182="","",H182+E182-K182-O182)</f>
        <v>164.173038124395</v>
      </c>
      <c r="Q182" s="16" t="n">
        <f aca="false">IF(D182="","",IF(P182&gt;=0,K182,MAX(0,K182+P182)))</f>
        <v>1.119744</v>
      </c>
      <c r="R182" s="16" t="n">
        <f aca="false">IF(D182="","",Q182/$B$15)</f>
        <v>0.432</v>
      </c>
      <c r="S182" s="16" t="n">
        <f aca="false">IF(D182="","",MAX(0,J182-R182))</f>
        <v>0</v>
      </c>
      <c r="T182" s="16" t="n">
        <f aca="false">IF(D182="","",MAX(0,Z182-$B$8))</f>
        <v>2.17303812439528</v>
      </c>
      <c r="U182" s="16" t="n">
        <f aca="false">IF(D182="","",MAX(0,MIN($B$8,Z182)))</f>
        <v>162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100</v>
      </c>
      <c r="Z182" s="18" t="n">
        <f aca="false">IF(D182="","",MAX(0,IF(P182&gt;=0,P182,IF(K182+P182&gt;=0,0,P182+K182))))</f>
        <v>164.173038124395</v>
      </c>
      <c r="AA182" s="18" t="n">
        <f aca="false">IF(D182="","",IF(H182&lt;=$B$16,1,IF(H182&gt;=$B$17,$B$21,MATCH(H182,Aux_CAV!$A$2:$A$121,1))))</f>
        <v>22</v>
      </c>
      <c r="AB182" s="18" t="n">
        <f aca="false">IF(D182="","",IF(L182&lt;=$B$16,1,IF(L182&gt;=$B$17,$B$21,MATCH(L182,Aux_CAV!$A$2:$A$121,1))))</f>
        <v>23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7.73602656371347</v>
      </c>
      <c r="E183" s="16" t="n">
        <f aca="false">IF(D183="","",D183*$B$15)</f>
        <v>20.0517808531453</v>
      </c>
      <c r="F183" s="16" t="n">
        <f aca="false" t="array" ref="F183:F183">IF(D183="","",IFERROR(INDEX(Dados_Evap!$C$2:$N$15,MATCH($B$9,Dados_Evap!$A$2:$A$15,0),C183),0))</f>
        <v>81.8</v>
      </c>
      <c r="G183" s="16" t="n">
        <f aca="false">IF(F183="","",F183/1000)</f>
        <v>0.0818</v>
      </c>
      <c r="H183" s="16" t="n">
        <f aca="false">IF(D183="","",MAX(0,MIN($B$8,IFERROR(LOOKUP(2,1/($U$24:U182&lt;&gt;""),$U$24:U182),$B$11))))</f>
        <v>162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15.783</v>
      </c>
      <c r="J183" s="16" t="n">
        <f aca="false">IF(D183="","",$B$12)</f>
        <v>0.432</v>
      </c>
      <c r="K183" s="16" t="n">
        <f aca="false">IF(J183="","",J183*$B$15)</f>
        <v>1.119744</v>
      </c>
      <c r="L183" s="16" t="n">
        <f aca="false">IF(D183="","",H183+E183-K183-G183*I183)</f>
        <v>179.640987453145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16.8380990591024</v>
      </c>
      <c r="N183" s="16" t="n">
        <f aca="false">IF(D183="","",(I183+M183)/2)</f>
        <v>16.3105495295512</v>
      </c>
      <c r="O183" s="16" t="n">
        <f aca="false">IF(D183="","",G183*N183)</f>
        <v>1.33420295151729</v>
      </c>
      <c r="P183" s="16" t="n">
        <f aca="false">IF(D183="","",H183+E183-K183-O183)</f>
        <v>179.597833901628</v>
      </c>
      <c r="Q183" s="16" t="n">
        <f aca="false">IF(D183="","",IF(P183&gt;=0,K183,MAX(0,K183+P183)))</f>
        <v>1.119744</v>
      </c>
      <c r="R183" s="16" t="n">
        <f aca="false">IF(D183="","",Q183/$B$15)</f>
        <v>0.432</v>
      </c>
      <c r="S183" s="16" t="n">
        <f aca="false">IF(D183="","",MAX(0,J183-R183))</f>
        <v>0</v>
      </c>
      <c r="T183" s="16" t="n">
        <f aca="false">IF(D183="","",MAX(0,Z183-$B$8))</f>
        <v>17.597833901628</v>
      </c>
      <c r="U183" s="16" t="n">
        <f aca="false">IF(D183="","",MAX(0,MIN($B$8,Z183)))</f>
        <v>162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179.597833901628</v>
      </c>
      <c r="AA183" s="18" t="n">
        <f aca="false">IF(D183="","",IF(H183&lt;=$B$16,1,IF(H183&gt;=$B$17,$B$21,MATCH(H183,Aux_CAV!$A$2:$A$121,1))))</f>
        <v>23</v>
      </c>
      <c r="AB183" s="18" t="n">
        <f aca="false">IF(D183="","",IF(L183&lt;=$B$16,1,IF(L183&gt;=$B$17,$B$21,MATCH(L183,Aux_CAV!$A$2:$A$121,1))))</f>
        <v>23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3.85534003632782</v>
      </c>
      <c r="E184" s="16" t="n">
        <f aca="false">IF(D184="","",D184*$B$15)</f>
        <v>9.99304137416171</v>
      </c>
      <c r="F184" s="16" t="n">
        <f aca="false" t="array" ref="F184:F184">IF(D184="","",IFERROR(INDEX(Dados_Evap!$C$2:$N$15,MATCH($B$9,Dados_Evap!$A$2:$A$15,0),C184),0))</f>
        <v>83.6</v>
      </c>
      <c r="G184" s="16" t="n">
        <f aca="false">IF(F184="","",F184/1000)</f>
        <v>0.0836</v>
      </c>
      <c r="H184" s="16" t="n">
        <f aca="false">IF(D184="","",MAX(0,MIN($B$8,IFERROR(LOOKUP(2,1/($U$24:U183&lt;&gt;""),$U$24:U183),$B$11))))</f>
        <v>162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15.783</v>
      </c>
      <c r="J184" s="16" t="n">
        <f aca="false">IF(D184="","",$B$12)</f>
        <v>0.432</v>
      </c>
      <c r="K184" s="16" t="n">
        <f aca="false">IF(J184="","",J184*$B$15)</f>
        <v>1.119744</v>
      </c>
      <c r="L184" s="16" t="n">
        <f aca="false">IF(D184="","",H184+E184-K184-G184*I184)</f>
        <v>169.553838574162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16.2347914880546</v>
      </c>
      <c r="N184" s="16" t="n">
        <f aca="false">IF(D184="","",(I184+M184)/2)</f>
        <v>16.0088957440273</v>
      </c>
      <c r="O184" s="16" t="n">
        <f aca="false">IF(D184="","",G184*N184)</f>
        <v>1.33834368420068</v>
      </c>
      <c r="P184" s="16" t="n">
        <f aca="false">IF(D184="","",H184+E184-K184-O184)</f>
        <v>169.534953689961</v>
      </c>
      <c r="Q184" s="16" t="n">
        <f aca="false">IF(D184="","",IF(P184&gt;=0,K184,MAX(0,K184+P184)))</f>
        <v>1.119744</v>
      </c>
      <c r="R184" s="16" t="n">
        <f aca="false">IF(D184="","",Q184/$B$15)</f>
        <v>0.432</v>
      </c>
      <c r="S184" s="16" t="n">
        <f aca="false">IF(D184="","",MAX(0,J184-R184))</f>
        <v>0</v>
      </c>
      <c r="T184" s="16" t="n">
        <f aca="false">IF(D184="","",MAX(0,Z184-$B$8))</f>
        <v>7.53495368996104</v>
      </c>
      <c r="U184" s="16" t="n">
        <f aca="false">IF(D184="","",MAX(0,MIN($B$8,Z184)))</f>
        <v>162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169.534953689961</v>
      </c>
      <c r="AA184" s="18" t="n">
        <f aca="false">IF(D184="","",IF(H184&lt;=$B$16,1,IF(H184&gt;=$B$17,$B$21,MATCH(H184,Aux_CAV!$A$2:$A$121,1))))</f>
        <v>23</v>
      </c>
      <c r="AB184" s="18" t="n">
        <f aca="false">IF(D184="","",IF(L184&lt;=$B$16,1,IF(L184&gt;=$B$17,$B$21,MATCH(L184,Aux_CAV!$A$2:$A$121,1))))</f>
        <v>23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2.46095023989267</v>
      </c>
      <c r="E185" s="16" t="n">
        <f aca="false">IF(D185="","",D185*$B$15)</f>
        <v>6.3787830218018</v>
      </c>
      <c r="F185" s="16" t="n">
        <f aca="false" t="array" ref="F185:F185">IF(D185="","",IFERROR(INDEX(Dados_Evap!$C$2:$N$15,MATCH($B$9,Dados_Evap!$A$2:$A$15,0),C185),0))</f>
        <v>108.2</v>
      </c>
      <c r="G185" s="16" t="n">
        <f aca="false">IF(F185="","",F185/1000)</f>
        <v>0.1082</v>
      </c>
      <c r="H185" s="16" t="n">
        <f aca="false">IF(D185="","",MAX(0,MIN($B$8,IFERROR(LOOKUP(2,1/($U$24:U184&lt;&gt;""),$U$24:U184),$B$11))))</f>
        <v>162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15.783</v>
      </c>
      <c r="J185" s="16" t="n">
        <f aca="false">IF(D185="","",$B$12)</f>
        <v>0.432</v>
      </c>
      <c r="K185" s="16" t="n">
        <f aca="false">IF(J185="","",J185*$B$15)</f>
        <v>1.119744</v>
      </c>
      <c r="L185" s="16" t="n">
        <f aca="false">IF(D185="","",H185+E185-K185-G185*I185)</f>
        <v>165.551318421802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15.995402663704</v>
      </c>
      <c r="N185" s="16" t="n">
        <f aca="false">IF(D185="","",(I185+M185)/2)</f>
        <v>15.889201331852</v>
      </c>
      <c r="O185" s="16" t="n">
        <f aca="false">IF(D185="","",G185*N185)</f>
        <v>1.71921158410638</v>
      </c>
      <c r="P185" s="16" t="n">
        <f aca="false">IF(D185="","",H185+E185-K185-O185)</f>
        <v>165.539827437695</v>
      </c>
      <c r="Q185" s="16" t="n">
        <f aca="false">IF(D185="","",IF(P185&gt;=0,K185,MAX(0,K185+P185)))</f>
        <v>1.119744</v>
      </c>
      <c r="R185" s="16" t="n">
        <f aca="false">IF(D185="","",Q185/$B$15)</f>
        <v>0.432</v>
      </c>
      <c r="S185" s="16" t="n">
        <f aca="false">IF(D185="","",MAX(0,J185-R185))</f>
        <v>0</v>
      </c>
      <c r="T185" s="16" t="n">
        <f aca="false">IF(D185="","",MAX(0,Z185-$B$8))</f>
        <v>3.53982743769544</v>
      </c>
      <c r="U185" s="16" t="n">
        <f aca="false">IF(D185="","",MAX(0,MIN($B$8,Z185)))</f>
        <v>162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165.539827437695</v>
      </c>
      <c r="AA185" s="18" t="n">
        <f aca="false">IF(D185="","",IF(H185&lt;=$B$16,1,IF(H185&gt;=$B$17,$B$21,MATCH(H185,Aux_CAV!$A$2:$A$121,1))))</f>
        <v>23</v>
      </c>
      <c r="AB185" s="18" t="n">
        <f aca="false">IF(D185="","",IF(L185&lt;=$B$16,1,IF(L185&gt;=$B$17,$B$21,MATCH(L185,Aux_CAV!$A$2:$A$121,1))))</f>
        <v>23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2.06857452359488</v>
      </c>
      <c r="E186" s="16" t="n">
        <f aca="false">IF(D186="","",D186*$B$15)</f>
        <v>5.36174516515793</v>
      </c>
      <c r="F186" s="16" t="n">
        <f aca="false" t="array" ref="F186:F186">IF(D186="","",IFERROR(INDEX(Dados_Evap!$C$2:$N$15,MATCH($B$9,Dados_Evap!$A$2:$A$15,0),C186),0))</f>
        <v>149</v>
      </c>
      <c r="G186" s="16" t="n">
        <f aca="false">IF(F186="","",F186/1000)</f>
        <v>0.149</v>
      </c>
      <c r="H186" s="16" t="n">
        <f aca="false">IF(D186="","",MAX(0,MIN($B$8,IFERROR(LOOKUP(2,1/($U$24:U185&lt;&gt;""),$U$24:U185),$B$11))))</f>
        <v>162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15.783</v>
      </c>
      <c r="J186" s="16" t="n">
        <f aca="false">IF(D186="","",$B$12)</f>
        <v>0.432</v>
      </c>
      <c r="K186" s="16" t="n">
        <f aca="false">IF(J186="","",J186*$B$15)</f>
        <v>1.119744</v>
      </c>
      <c r="L186" s="16" t="n">
        <f aca="false">IF(D186="","",H186+E186-K186-G186*I186)</f>
        <v>163.890334165158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15.896059986259</v>
      </c>
      <c r="N186" s="16" t="n">
        <f aca="false">IF(D186="","",(I186+M186)/2)</f>
        <v>15.8395299931295</v>
      </c>
      <c r="O186" s="16" t="n">
        <f aca="false">IF(D186="","",G186*N186)</f>
        <v>2.36008996897629</v>
      </c>
      <c r="P186" s="16" t="n">
        <f aca="false">IF(D186="","",H186+E186-K186-O186)</f>
        <v>163.881911196182</v>
      </c>
      <c r="Q186" s="16" t="n">
        <f aca="false">IF(D186="","",IF(P186&gt;=0,K186,MAX(0,K186+P186)))</f>
        <v>1.119744</v>
      </c>
      <c r="R186" s="16" t="n">
        <f aca="false">IF(D186="","",Q186/$B$15)</f>
        <v>0.432</v>
      </c>
      <c r="S186" s="16" t="n">
        <f aca="false">IF(D186="","",MAX(0,J186-R186))</f>
        <v>0</v>
      </c>
      <c r="T186" s="16" t="n">
        <f aca="false">IF(D186="","",MAX(0,Z186-$B$8))</f>
        <v>1.88191119618165</v>
      </c>
      <c r="U186" s="16" t="n">
        <f aca="false">IF(D186="","",MAX(0,MIN($B$8,Z186)))</f>
        <v>162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100</v>
      </c>
      <c r="Z186" s="18" t="n">
        <f aca="false">IF(D186="","",MAX(0,IF(P186&gt;=0,P186,IF(K186+P186&gt;=0,0,P186+K186))))</f>
        <v>163.881911196182</v>
      </c>
      <c r="AA186" s="18" t="n">
        <f aca="false">IF(D186="","",IF(H186&lt;=$B$16,1,IF(H186&gt;=$B$17,$B$21,MATCH(H186,Aux_CAV!$A$2:$A$121,1))))</f>
        <v>23</v>
      </c>
      <c r="AB186" s="18" t="n">
        <f aca="false">IF(D186="","",IF(L186&lt;=$B$16,1,IF(L186&gt;=$B$17,$B$21,MATCH(L186,Aux_CAV!$A$2:$A$121,1))))</f>
        <v>23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0.458189200401527</v>
      </c>
      <c r="E187" s="16" t="n">
        <f aca="false">IF(D187="","",D187*$B$15)</f>
        <v>1.18762640744076</v>
      </c>
      <c r="F187" s="16" t="n">
        <f aca="false" t="array" ref="F187:F187">IF(D187="","",IFERROR(INDEX(Dados_Evap!$C$2:$N$15,MATCH($B$9,Dados_Evap!$A$2:$A$15,0),C187),0))</f>
        <v>206.8</v>
      </c>
      <c r="G187" s="16" t="n">
        <f aca="false">IF(F187="","",F187/1000)</f>
        <v>0.2068</v>
      </c>
      <c r="H187" s="16" t="n">
        <f aca="false">IF(D187="","",MAX(0,MIN($B$8,IFERROR(LOOKUP(2,1/($U$24:U186&lt;&gt;""),$U$24:U186),$B$11))))</f>
        <v>162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15.783</v>
      </c>
      <c r="J187" s="16" t="n">
        <f aca="false">IF(D187="","",$B$12)</f>
        <v>0.432</v>
      </c>
      <c r="K187" s="16" t="n">
        <f aca="false">IF(J187="","",J187*$B$15)</f>
        <v>1.119744</v>
      </c>
      <c r="L187" s="16" t="n">
        <f aca="false">IF(D187="","",H187+E187-K187-G187*I187)</f>
        <v>158.803958007441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15.5503065202765</v>
      </c>
      <c r="N187" s="16" t="n">
        <f aca="false">IF(D187="","",(I187+M187)/2)</f>
        <v>15.6666532601382</v>
      </c>
      <c r="O187" s="16" t="n">
        <f aca="false">IF(D187="","",G187*N187)</f>
        <v>3.23986389419659</v>
      </c>
      <c r="P187" s="16" t="n">
        <f aca="false">IF(D187="","",H187+E187-K187-O187)</f>
        <v>158.828018513244</v>
      </c>
      <c r="Q187" s="16" t="n">
        <f aca="false">IF(D187="","",IF(P187&gt;=0,K187,MAX(0,K187+P187)))</f>
        <v>1.119744</v>
      </c>
      <c r="R187" s="16" t="n">
        <f aca="false">IF(D187="","",Q187/$B$15)</f>
        <v>0.432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158.828018513244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98.0419867365705</v>
      </c>
      <c r="Z187" s="18" t="n">
        <f aca="false">IF(D187="","",MAX(0,IF(P187&gt;=0,P187,IF(K187+P187&gt;=0,0,P187+K187))))</f>
        <v>158.828018513244</v>
      </c>
      <c r="AA187" s="18" t="n">
        <f aca="false">IF(D187="","",IF(H187&lt;=$B$16,1,IF(H187&gt;=$B$17,$B$21,MATCH(H187,Aux_CAV!$A$2:$A$121,1))))</f>
        <v>23</v>
      </c>
      <c r="AB187" s="18" t="n">
        <f aca="false">IF(D187="","",IF(L187&lt;=$B$16,1,IF(L187&gt;=$B$17,$B$21,MATCH(L187,Aux_CAV!$A$2:$A$121,1))))</f>
        <v>22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0.492735406617897</v>
      </c>
      <c r="E188" s="16" t="n">
        <f aca="false">IF(D188="","",D188*$B$15)</f>
        <v>1.27717017395359</v>
      </c>
      <c r="F188" s="16" t="n">
        <f aca="false" t="array" ref="F188:F188">IF(D188="","",IFERROR(INDEX(Dados_Evap!$C$2:$N$15,MATCH($B$9,Dados_Evap!$A$2:$A$15,0),C188),0))</f>
        <v>245.9</v>
      </c>
      <c r="G188" s="16" t="n">
        <f aca="false">IF(F188="","",F188/1000)</f>
        <v>0.2459</v>
      </c>
      <c r="H188" s="16" t="n">
        <f aca="false">IF(D188="","",MAX(0,MIN($B$8,IFERROR(LOOKUP(2,1/($U$24:U187&lt;&gt;""),$U$24:U187),$B$11))))</f>
        <v>158.828018513244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15.5520582878792</v>
      </c>
      <c r="J188" s="16" t="n">
        <f aca="false">IF(D188="","",$B$12)</f>
        <v>0.432</v>
      </c>
      <c r="K188" s="16" t="n">
        <f aca="false">IF(J188="","",J188*$B$15)</f>
        <v>1.119744</v>
      </c>
      <c r="L188" s="16" t="n">
        <f aca="false">IF(D188="","",H188+E188-K188-G188*I188)</f>
        <v>155.161193554208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15.2850886231371</v>
      </c>
      <c r="N188" s="16" t="n">
        <f aca="false">IF(D188="","",(I188+M188)/2)</f>
        <v>15.4185734555081</v>
      </c>
      <c r="O188" s="16" t="n">
        <f aca="false">IF(D188="","",G188*N188)</f>
        <v>3.79142721270945</v>
      </c>
      <c r="P188" s="16" t="n">
        <f aca="false">IF(D188="","",H188+E188-K188-O188)</f>
        <v>155.194017474488</v>
      </c>
      <c r="Q188" s="16" t="n">
        <f aca="false">IF(D188="","",IF(P188&gt;=0,K188,MAX(0,K188+P188)))</f>
        <v>1.119744</v>
      </c>
      <c r="R188" s="16" t="n">
        <f aca="false">IF(D188="","",Q188/$B$15)</f>
        <v>0.432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155.194017474488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95.7987762188199</v>
      </c>
      <c r="Z188" s="18" t="n">
        <f aca="false">IF(D188="","",MAX(0,IF(P188&gt;=0,P188,IF(K188+P188&gt;=0,0,P188+K188))))</f>
        <v>155.194017474488</v>
      </c>
      <c r="AA188" s="18" t="n">
        <f aca="false">IF(D188="","",IF(H188&lt;=$B$16,1,IF(H188&gt;=$B$17,$B$21,MATCH(H188,Aux_CAV!$A$2:$A$121,1))))</f>
        <v>22</v>
      </c>
      <c r="AB188" s="18" t="n">
        <f aca="false">IF(D188="","",IF(L188&lt;=$B$16,1,IF(L188&gt;=$B$17,$B$21,MATCH(L188,Aux_CAV!$A$2:$A$121,1))))</f>
        <v>22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0.440898698996145</v>
      </c>
      <c r="E189" s="16" t="n">
        <f aca="false">IF(D189="","",D189*$B$15)</f>
        <v>1.14280942779801</v>
      </c>
      <c r="F189" s="16" t="n">
        <f aca="false" t="array" ref="F189:F189">IF(D189="","",IFERROR(INDEX(Dados_Evap!$C$2:$N$15,MATCH($B$9,Dados_Evap!$A$2:$A$15,0),C189),0))</f>
        <v>282.3</v>
      </c>
      <c r="G189" s="16" t="n">
        <f aca="false">IF(F189="","",F189/1000)</f>
        <v>0.2823</v>
      </c>
      <c r="H189" s="16" t="n">
        <f aca="false">IF(D189="","",MAX(0,MIN($B$8,IFERROR(LOOKUP(2,1/($U$24:U188&lt;&gt;""),$U$24:U188),$B$11))))</f>
        <v>155.194017474488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15.2874784266021</v>
      </c>
      <c r="J189" s="16" t="n">
        <f aca="false">IF(D189="","",$B$12)</f>
        <v>0.432</v>
      </c>
      <c r="K189" s="16" t="n">
        <f aca="false">IF(J189="","",J189*$B$15)</f>
        <v>1.119744</v>
      </c>
      <c r="L189" s="16" t="n">
        <f aca="false">IF(D189="","",H189+E189-K189-G189*I189)</f>
        <v>150.901427742457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14.9749488528051</v>
      </c>
      <c r="N189" s="16" t="n">
        <f aca="false">IF(D189="","",(I189+M189)/2)</f>
        <v>15.1312136397036</v>
      </c>
      <c r="O189" s="16" t="n">
        <f aca="false">IF(D189="","",G189*N189)</f>
        <v>4.27154161048833</v>
      </c>
      <c r="P189" s="16" t="n">
        <f aca="false">IF(D189="","",H189+E189-K189-O189)</f>
        <v>150.945541291798</v>
      </c>
      <c r="Q189" s="16" t="n">
        <f aca="false">IF(D189="","",IF(P189&gt;=0,K189,MAX(0,K189+P189)))</f>
        <v>1.119744</v>
      </c>
      <c r="R189" s="16" t="n">
        <f aca="false">IF(D189="","",Q189/$B$15)</f>
        <v>0.432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150.945541291798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93.1762600566654</v>
      </c>
      <c r="Z189" s="18" t="n">
        <f aca="false">IF(D189="","",MAX(0,IF(P189&gt;=0,P189,IF(K189+P189&gt;=0,0,P189+K189))))</f>
        <v>150.945541291798</v>
      </c>
      <c r="AA189" s="18" t="n">
        <f aca="false">IF(D189="","",IF(H189&lt;=$B$16,1,IF(H189&gt;=$B$17,$B$21,MATCH(H189,Aux_CAV!$A$2:$A$121,1))))</f>
        <v>22</v>
      </c>
      <c r="AB189" s="18" t="n">
        <f aca="false">IF(D189="","",IF(L189&lt;=$B$16,1,IF(L189&gt;=$B$17,$B$21,MATCH(L189,Aux_CAV!$A$2:$A$121,1))))</f>
        <v>22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0.427905730592234</v>
      </c>
      <c r="E190" s="16" t="n">
        <f aca="false">IF(D190="","",D190*$B$15)</f>
        <v>1.10913165369507</v>
      </c>
      <c r="F190" s="16" t="n">
        <f aca="false" t="array" ref="F190:F190">IF(D190="","",IFERROR(INDEX(Dados_Evap!$C$2:$N$15,MATCH($B$9,Dados_Evap!$A$2:$A$15,0),C190),0))</f>
        <v>241.3</v>
      </c>
      <c r="G190" s="16" t="n">
        <f aca="false">IF(F190="","",F190/1000)</f>
        <v>0.2413</v>
      </c>
      <c r="H190" s="16" t="n">
        <f aca="false">IF(D190="","",MAX(0,MIN($B$8,IFERROR(LOOKUP(2,1/($U$24:U189&lt;&gt;""),$U$24:U189),$B$11))))</f>
        <v>150.945541291798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14.9781606176452</v>
      </c>
      <c r="J190" s="16" t="n">
        <f aca="false">IF(D190="","",$B$12)</f>
        <v>0.432</v>
      </c>
      <c r="K190" s="16" t="n">
        <f aca="false">IF(J190="","",J190*$B$15)</f>
        <v>1.119744</v>
      </c>
      <c r="L190" s="16" t="n">
        <f aca="false">IF(D190="","",H190+E190-K190-G190*I190)</f>
        <v>147.320698788455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14.7142475597079</v>
      </c>
      <c r="N190" s="16" t="n">
        <f aca="false">IF(D190="","",(I190+M190)/2)</f>
        <v>14.8462040886766</v>
      </c>
      <c r="O190" s="16" t="n">
        <f aca="false">IF(D190="","",G190*N190)</f>
        <v>3.58238904659766</v>
      </c>
      <c r="P190" s="16" t="n">
        <f aca="false">IF(D190="","",H190+E190-K190-O190)</f>
        <v>147.352539898895</v>
      </c>
      <c r="Q190" s="16" t="n">
        <f aca="false">IF(D190="","",IF(P190&gt;=0,K190,MAX(0,K190+P190)))</f>
        <v>1.119744</v>
      </c>
      <c r="R190" s="16" t="n">
        <f aca="false">IF(D190="","",Q190/$B$15)</f>
        <v>0.432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147.352539898895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90.9583579622811</v>
      </c>
      <c r="Z190" s="18" t="n">
        <f aca="false">IF(D190="","",MAX(0,IF(P190&gt;=0,P190,IF(K190+P190&gt;=0,0,P190+K190))))</f>
        <v>147.352539898895</v>
      </c>
      <c r="AA190" s="18" t="n">
        <f aca="false">IF(D190="","",IF(H190&lt;=$B$16,1,IF(H190&gt;=$B$17,$B$21,MATCH(H190,Aux_CAV!$A$2:$A$121,1))))</f>
        <v>22</v>
      </c>
      <c r="AB190" s="18" t="n">
        <f aca="false">IF(D190="","",IF(L190&lt;=$B$16,1,IF(L190&gt;=$B$17,$B$21,MATCH(L190,Aux_CAV!$A$2:$A$121,1))))</f>
        <v>22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0.326572511771912</v>
      </c>
      <c r="E191" s="16" t="n">
        <f aca="false">IF(D191="","",D191*$B$15)</f>
        <v>0.846475950512796</v>
      </c>
      <c r="F191" s="16" t="n">
        <f aca="false" t="array" ref="F191:F191">IF(D191="","",IFERROR(INDEX(Dados_Evap!$C$2:$N$15,MATCH($B$9,Dados_Evap!$A$2:$A$15,0),C191),0))</f>
        <v>241.8</v>
      </c>
      <c r="G191" s="16" t="n">
        <f aca="false">IF(F191="","",F191/1000)</f>
        <v>0.2418</v>
      </c>
      <c r="H191" s="16" t="n">
        <f aca="false">IF(D191="","",MAX(0,MIN($B$8,IFERROR(LOOKUP(2,1/($U$24:U190&lt;&gt;""),$U$24:U190),$B$11))))</f>
        <v>147.352539898895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14.7165658079674</v>
      </c>
      <c r="J191" s="16" t="n">
        <f aca="false">IF(D191="","",$B$12)</f>
        <v>0.432</v>
      </c>
      <c r="K191" s="16" t="n">
        <f aca="false">IF(J191="","",J191*$B$15)</f>
        <v>1.119744</v>
      </c>
      <c r="L191" s="16" t="n">
        <f aca="false">IF(D191="","",H191+E191-K191-G191*I191)</f>
        <v>143.520806237042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14.4375896739785</v>
      </c>
      <c r="N191" s="16" t="n">
        <f aca="false">IF(D191="","",(I191+M191)/2)</f>
        <v>14.5770777409729</v>
      </c>
      <c r="O191" s="16" t="n">
        <f aca="false">IF(D191="","",G191*N191)</f>
        <v>3.52473739776726</v>
      </c>
      <c r="P191" s="16" t="n">
        <f aca="false">IF(D191="","",H191+E191-K191-O191)</f>
        <v>143.554534451641</v>
      </c>
      <c r="Q191" s="16" t="n">
        <f aca="false">IF(D191="","",IF(P191&gt;=0,K191,MAX(0,K191+P191)))</f>
        <v>1.119744</v>
      </c>
      <c r="R191" s="16" t="n">
        <f aca="false">IF(D191="","",Q191/$B$15)</f>
        <v>0.432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143.554534451641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88.6139101553339</v>
      </c>
      <c r="Z191" s="18" t="n">
        <f aca="false">IF(D191="","",MAX(0,IF(P191&gt;=0,P191,IF(K191+P191&gt;=0,0,P191+K191))))</f>
        <v>143.554534451641</v>
      </c>
      <c r="AA191" s="18" t="n">
        <f aca="false">IF(D191="","",IF(H191&lt;=$B$16,1,IF(H191&gt;=$B$17,$B$21,MATCH(H191,Aux_CAV!$A$2:$A$121,1))))</f>
        <v>22</v>
      </c>
      <c r="AB191" s="18" t="n">
        <f aca="false">IF(D191="","",IF(L191&lt;=$B$16,1,IF(L191&gt;=$B$17,$B$21,MATCH(L191,Aux_CAV!$A$2:$A$121,1))))</f>
        <v>22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0.91303774821094</v>
      </c>
      <c r="E192" s="16" t="n">
        <f aca="false">IF(D192="","",D192*$B$15)</f>
        <v>2.36659384336276</v>
      </c>
      <c r="F192" s="16" t="n">
        <f aca="false" t="array" ref="F192:F192">IF(D192="","",IFERROR(INDEX(Dados_Evap!$C$2:$N$15,MATCH($B$9,Dados_Evap!$A$2:$A$15,0),C192),0))</f>
        <v>189</v>
      </c>
      <c r="G192" s="16" t="n">
        <f aca="false">IF(F192="","",F192/1000)</f>
        <v>0.189</v>
      </c>
      <c r="H192" s="16" t="n">
        <f aca="false">IF(D192="","",MAX(0,MIN($B$8,IFERROR(LOOKUP(2,1/($U$24:U191&lt;&gt;""),$U$24:U191),$B$11))))</f>
        <v>143.554534451641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14.4400453161879</v>
      </c>
      <c r="J192" s="16" t="n">
        <f aca="false">IF(D192="","",$B$12)</f>
        <v>0.432</v>
      </c>
      <c r="K192" s="16" t="n">
        <f aca="false">IF(J192="","",J192*$B$15)</f>
        <v>1.119744</v>
      </c>
      <c r="L192" s="16" t="n">
        <f aca="false">IF(D192="","",H192+E192-K192-G192*I192)</f>
        <v>142.072215730244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14.3321224847157</v>
      </c>
      <c r="N192" s="16" t="n">
        <f aca="false">IF(D192="","",(I192+M192)/2)</f>
        <v>14.3860839004518</v>
      </c>
      <c r="O192" s="16" t="n">
        <f aca="false">IF(D192="","",G192*N192)</f>
        <v>2.71896985718539</v>
      </c>
      <c r="P192" s="16" t="n">
        <f aca="false">IF(D192="","",H192+E192-K192-O192)</f>
        <v>142.082414437818</v>
      </c>
      <c r="Q192" s="16" t="n">
        <f aca="false">IF(D192="","",IF(P192&gt;=0,K192,MAX(0,K192+P192)))</f>
        <v>1.119744</v>
      </c>
      <c r="R192" s="16" t="n">
        <f aca="false">IF(D192="","",Q192/$B$15)</f>
        <v>0.432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142.082414437818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87.7051940974187</v>
      </c>
      <c r="Z192" s="18" t="n">
        <f aca="false">IF(D192="","",MAX(0,IF(P192&gt;=0,P192,IF(K192+P192&gt;=0,0,P192+K192))))</f>
        <v>142.082414437818</v>
      </c>
      <c r="AA192" s="18" t="n">
        <f aca="false">IF(D192="","",IF(H192&lt;=$B$16,1,IF(H192&gt;=$B$17,$B$21,MATCH(H192,Aux_CAV!$A$2:$A$121,1))))</f>
        <v>22</v>
      </c>
      <c r="AB192" s="18" t="n">
        <f aca="false">IF(D192="","",IF(L192&lt;=$B$16,1,IF(L192&gt;=$B$17,$B$21,MATCH(L192,Aux_CAV!$A$2:$A$121,1))))</f>
        <v>22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2.34240186810175</v>
      </c>
      <c r="E193" s="16" t="n">
        <f aca="false">IF(D193="","",D193*$B$15)</f>
        <v>6.07150564211974</v>
      </c>
      <c r="F193" s="16" t="n">
        <f aca="false" t="array" ref="F193:F193">IF(D193="","",IFERROR(INDEX(Dados_Evap!$C$2:$N$15,MATCH($B$9,Dados_Evap!$A$2:$A$15,0),C193),0))</f>
        <v>136.9</v>
      </c>
      <c r="G193" s="16" t="n">
        <f aca="false">IF(F193="","",F193/1000)</f>
        <v>0.1369</v>
      </c>
      <c r="H193" s="16" t="n">
        <f aca="false">IF(D193="","",MAX(0,MIN($B$8,IFERROR(LOOKUP(2,1/($U$24:U192&lt;&gt;""),$U$24:U192),$B$11))))</f>
        <v>142.082414437818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14.3328650196259</v>
      </c>
      <c r="J193" s="16" t="n">
        <f aca="false">IF(D193="","",$B$12)</f>
        <v>0.432</v>
      </c>
      <c r="K193" s="16" t="n">
        <f aca="false">IF(J193="","",J193*$B$15)</f>
        <v>1.119744</v>
      </c>
      <c r="L193" s="16" t="n">
        <f aca="false">IF(D193="","",H193+E193-K193-G193*I193)</f>
        <v>145.072006858751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14.5505275738106</v>
      </c>
      <c r="N193" s="16" t="n">
        <f aca="false">IF(D193="","",(I193+M193)/2)</f>
        <v>14.4416962967183</v>
      </c>
      <c r="O193" s="16" t="n">
        <f aca="false">IF(D193="","",G193*N193)</f>
        <v>1.97706822302073</v>
      </c>
      <c r="P193" s="16" t="n">
        <f aca="false">IF(D193="","",H193+E193-K193-O193)</f>
        <v>145.057107856917</v>
      </c>
      <c r="Q193" s="16" t="n">
        <f aca="false">IF(D193="","",IF(P193&gt;=0,K193,MAX(0,K193+P193)))</f>
        <v>1.119744</v>
      </c>
      <c r="R193" s="16" t="n">
        <f aca="false">IF(D193="","",Q193/$B$15)</f>
        <v>0.432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145.057107856917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89.5414246030354</v>
      </c>
      <c r="Z193" s="18" t="n">
        <f aca="false">IF(D193="","",MAX(0,IF(P193&gt;=0,P193,IF(K193+P193&gt;=0,0,P193+K193))))</f>
        <v>145.057107856917</v>
      </c>
      <c r="AA193" s="18" t="n">
        <f aca="false">IF(D193="","",IF(H193&lt;=$B$16,1,IF(H193&gt;=$B$17,$B$21,MATCH(H193,Aux_CAV!$A$2:$A$121,1))))</f>
        <v>22</v>
      </c>
      <c r="AB193" s="18" t="n">
        <f aca="false">IF(D193="","",IF(L193&lt;=$B$16,1,IF(L193&gt;=$B$17,$B$21,MATCH(L193,Aux_CAV!$A$2:$A$121,1))))</f>
        <v>22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11.1655347092112</v>
      </c>
      <c r="E194" s="16" t="n">
        <f aca="false">IF(D194="","",D194*$B$15)</f>
        <v>28.9410659662754</v>
      </c>
      <c r="F194" s="16" t="n">
        <f aca="false" t="array" ref="F194:F194">IF(D194="","",IFERROR(INDEX(Dados_Evap!$C$2:$N$15,MATCH($B$9,Dados_Evap!$A$2:$A$15,0),C194),0))</f>
        <v>102.9</v>
      </c>
      <c r="G194" s="16" t="n">
        <f aca="false">IF(F194="","",F194/1000)</f>
        <v>0.1029</v>
      </c>
      <c r="H194" s="16" t="n">
        <f aca="false">IF(D194="","",MAX(0,MIN($B$8,IFERROR(LOOKUP(2,1/($U$24:U193&lt;&gt;""),$U$24:U193),$B$11))))</f>
        <v>145.057107856917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14.5494428256786</v>
      </c>
      <c r="J194" s="16" t="n">
        <f aca="false">IF(D194="","",$B$12)</f>
        <v>0.432</v>
      </c>
      <c r="K194" s="16" t="n">
        <f aca="false">IF(J194="","",J194*$B$15)</f>
        <v>1.119744</v>
      </c>
      <c r="L194" s="16" t="n">
        <f aca="false">IF(D194="","",H194+E194-K194-G194*I194)</f>
        <v>171.38129215643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16.3440906165941</v>
      </c>
      <c r="N194" s="16" t="n">
        <f aca="false">IF(D194="","",(I194+M194)/2)</f>
        <v>15.4467667211364</v>
      </c>
      <c r="O194" s="16" t="n">
        <f aca="false">IF(D194="","",G194*N194)</f>
        <v>1.58947229560493</v>
      </c>
      <c r="P194" s="16" t="n">
        <f aca="false">IF(D194="","",H194+E194-K194-O194)</f>
        <v>171.288957527588</v>
      </c>
      <c r="Q194" s="16" t="n">
        <f aca="false">IF(D194="","",IF(P194&gt;=0,K194,MAX(0,K194+P194)))</f>
        <v>1.119744</v>
      </c>
      <c r="R194" s="16" t="n">
        <f aca="false">IF(D194="","",Q194/$B$15)</f>
        <v>0.432</v>
      </c>
      <c r="S194" s="16" t="n">
        <f aca="false">IF(D194="","",MAX(0,J194-R194))</f>
        <v>0</v>
      </c>
      <c r="T194" s="16" t="n">
        <f aca="false">IF(D194="","",MAX(0,Z194-$B$8))</f>
        <v>9.28895752758783</v>
      </c>
      <c r="U194" s="16" t="n">
        <f aca="false">IF(D194="","",MAX(0,MIN($B$8,Z194)))</f>
        <v>162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171.288957527588</v>
      </c>
      <c r="AA194" s="18" t="n">
        <f aca="false">IF(D194="","",IF(H194&lt;=$B$16,1,IF(H194&gt;=$B$17,$B$21,MATCH(H194,Aux_CAV!$A$2:$A$121,1))))</f>
        <v>22</v>
      </c>
      <c r="AB194" s="18" t="n">
        <f aca="false">IF(D194="","",IF(L194&lt;=$B$16,1,IF(L194&gt;=$B$17,$B$21,MATCH(L194,Aux_CAV!$A$2:$A$121,1))))</f>
        <v>23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23.0990562528373</v>
      </c>
      <c r="E195" s="16" t="n">
        <f aca="false">IF(D195="","",D195*$B$15)</f>
        <v>59.8727538073543</v>
      </c>
      <c r="F195" s="16" t="n">
        <f aca="false" t="array" ref="F195:F195">IF(D195="","",IFERROR(INDEX(Dados_Evap!$C$2:$N$15,MATCH($B$9,Dados_Evap!$A$2:$A$15,0),C195),0))</f>
        <v>81.8</v>
      </c>
      <c r="G195" s="16" t="n">
        <f aca="false">IF(F195="","",F195/1000)</f>
        <v>0.0818</v>
      </c>
      <c r="H195" s="16" t="n">
        <f aca="false">IF(D195="","",MAX(0,MIN($B$8,IFERROR(LOOKUP(2,1/($U$24:U194&lt;&gt;""),$U$24:U194),$B$11))))</f>
        <v>162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15.783</v>
      </c>
      <c r="J195" s="16" t="n">
        <f aca="false">IF(D195="","",$B$12)</f>
        <v>0.432</v>
      </c>
      <c r="K195" s="16" t="n">
        <f aca="false">IF(J195="","",J195*$B$15)</f>
        <v>1.119744</v>
      </c>
      <c r="L195" s="16" t="n">
        <f aca="false">IF(D195="","",H195+E195-K195-G195*I195)</f>
        <v>219.461960407354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19.2197724891256</v>
      </c>
      <c r="N195" s="16" t="n">
        <f aca="false">IF(D195="","",(I195+M195)/2)</f>
        <v>17.5013862445628</v>
      </c>
      <c r="O195" s="16" t="n">
        <f aca="false">IF(D195="","",G195*N195)</f>
        <v>1.43161339480524</v>
      </c>
      <c r="P195" s="16" t="n">
        <f aca="false">IF(D195="","",H195+E195-K195-O195)</f>
        <v>219.321396412549</v>
      </c>
      <c r="Q195" s="16" t="n">
        <f aca="false">IF(D195="","",IF(P195&gt;=0,K195,MAX(0,K195+P195)))</f>
        <v>1.119744</v>
      </c>
      <c r="R195" s="16" t="n">
        <f aca="false">IF(D195="","",Q195/$B$15)</f>
        <v>0.432</v>
      </c>
      <c r="S195" s="16" t="n">
        <f aca="false">IF(D195="","",MAX(0,J195-R195))</f>
        <v>0</v>
      </c>
      <c r="T195" s="16" t="n">
        <f aca="false">IF(D195="","",MAX(0,Z195-$B$8))</f>
        <v>57.3213964125491</v>
      </c>
      <c r="U195" s="16" t="n">
        <f aca="false">IF(D195="","",MAX(0,MIN($B$8,Z195)))</f>
        <v>162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219.321396412549</v>
      </c>
      <c r="AA195" s="18" t="n">
        <f aca="false">IF(D195="","",IF(H195&lt;=$B$16,1,IF(H195&gt;=$B$17,$B$21,MATCH(H195,Aux_CAV!$A$2:$A$121,1))))</f>
        <v>23</v>
      </c>
      <c r="AB195" s="18" t="n">
        <f aca="false">IF(D195="","",IF(L195&lt;=$B$16,1,IF(L195&gt;=$B$17,$B$21,MATCH(L195,Aux_CAV!$A$2:$A$121,1))))</f>
        <v>23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26.4229795775066</v>
      </c>
      <c r="E196" s="16" t="n">
        <f aca="false">IF(D196="","",D196*$B$15)</f>
        <v>68.4883630648971</v>
      </c>
      <c r="F196" s="16" t="n">
        <f aca="false" t="array" ref="F196:F196">IF(D196="","",IFERROR(INDEX(Dados_Evap!$C$2:$N$15,MATCH($B$9,Dados_Evap!$A$2:$A$15,0),C196),0))</f>
        <v>83.6</v>
      </c>
      <c r="G196" s="16" t="n">
        <f aca="false">IF(F196="","",F196/1000)</f>
        <v>0.0836</v>
      </c>
      <c r="H196" s="16" t="n">
        <f aca="false">IF(D196="","",MAX(0,MIN($B$8,IFERROR(LOOKUP(2,1/($U$24:U195&lt;&gt;""),$U$24:U195),$B$11))))</f>
        <v>162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15.783</v>
      </c>
      <c r="J196" s="16" t="n">
        <f aca="false">IF(D196="","",$B$12)</f>
        <v>0.432</v>
      </c>
      <c r="K196" s="16" t="n">
        <f aca="false">IF(J196="","",J196*$B$15)</f>
        <v>1.119744</v>
      </c>
      <c r="L196" s="16" t="n">
        <f aca="false">IF(D196="","",H196+E196-K196-G196*I196)</f>
        <v>228.049160264897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19.7333688234624</v>
      </c>
      <c r="N196" s="16" t="n">
        <f aca="false">IF(D196="","",(I196+M196)/2)</f>
        <v>17.7581844117312</v>
      </c>
      <c r="O196" s="16" t="n">
        <f aca="false">IF(D196="","",G196*N196)</f>
        <v>1.48458421682073</v>
      </c>
      <c r="P196" s="16" t="n">
        <f aca="false">IF(D196="","",H196+E196-K196-O196)</f>
        <v>227.884034848076</v>
      </c>
      <c r="Q196" s="16" t="n">
        <f aca="false">IF(D196="","",IF(P196&gt;=0,K196,MAX(0,K196+P196)))</f>
        <v>1.119744</v>
      </c>
      <c r="R196" s="16" t="n">
        <f aca="false">IF(D196="","",Q196/$B$15)</f>
        <v>0.432</v>
      </c>
      <c r="S196" s="16" t="n">
        <f aca="false">IF(D196="","",MAX(0,J196-R196))</f>
        <v>0</v>
      </c>
      <c r="T196" s="16" t="n">
        <f aca="false">IF(D196="","",MAX(0,Z196-$B$8))</f>
        <v>65.8840348480764</v>
      </c>
      <c r="U196" s="16" t="n">
        <f aca="false">IF(D196="","",MAX(0,MIN($B$8,Z196)))</f>
        <v>162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227.884034848076</v>
      </c>
      <c r="AA196" s="18" t="n">
        <f aca="false">IF(D196="","",IF(H196&lt;=$B$16,1,IF(H196&gt;=$B$17,$B$21,MATCH(H196,Aux_CAV!$A$2:$A$121,1))))</f>
        <v>23</v>
      </c>
      <c r="AB196" s="18" t="n">
        <f aca="false">IF(D196="","",IF(L196&lt;=$B$16,1,IF(L196&gt;=$B$17,$B$21,MATCH(L196,Aux_CAV!$A$2:$A$121,1))))</f>
        <v>23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19.5901350095571</v>
      </c>
      <c r="E197" s="16" t="n">
        <f aca="false">IF(D197="","",D197*$B$15)</f>
        <v>50.777629944772</v>
      </c>
      <c r="F197" s="16" t="n">
        <f aca="false" t="array" ref="F197:F197">IF(D197="","",IFERROR(INDEX(Dados_Evap!$C$2:$N$15,MATCH($B$9,Dados_Evap!$A$2:$A$15,0),C197),0))</f>
        <v>108.2</v>
      </c>
      <c r="G197" s="16" t="n">
        <f aca="false">IF(F197="","",F197/1000)</f>
        <v>0.1082</v>
      </c>
      <c r="H197" s="16" t="n">
        <f aca="false">IF(D197="","",MAX(0,MIN($B$8,IFERROR(LOOKUP(2,1/($U$24:U196&lt;&gt;""),$U$24:U196),$B$11))))</f>
        <v>162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15.783</v>
      </c>
      <c r="J197" s="16" t="n">
        <f aca="false">IF(D197="","",$B$12)</f>
        <v>0.432</v>
      </c>
      <c r="K197" s="16" t="n">
        <f aca="false">IF(J197="","",J197*$B$15)</f>
        <v>1.119744</v>
      </c>
      <c r="L197" s="16" t="n">
        <f aca="false">IF(D197="","",H197+E197-K197-G197*I197)</f>
        <v>209.950165344772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18.6508765558587</v>
      </c>
      <c r="N197" s="16" t="n">
        <f aca="false">IF(D197="","",(I197+M197)/2)</f>
        <v>17.2169382779294</v>
      </c>
      <c r="O197" s="16" t="n">
        <f aca="false">IF(D197="","",G197*N197)</f>
        <v>1.86287272167196</v>
      </c>
      <c r="P197" s="16" t="n">
        <f aca="false">IF(D197="","",H197+E197-K197-O197)</f>
        <v>209.7950132231</v>
      </c>
      <c r="Q197" s="16" t="n">
        <f aca="false">IF(D197="","",IF(P197&gt;=0,K197,MAX(0,K197+P197)))</f>
        <v>1.119744</v>
      </c>
      <c r="R197" s="16" t="n">
        <f aca="false">IF(D197="","",Q197/$B$15)</f>
        <v>0.432</v>
      </c>
      <c r="S197" s="16" t="n">
        <f aca="false">IF(D197="","",MAX(0,J197-R197))</f>
        <v>0</v>
      </c>
      <c r="T197" s="16" t="n">
        <f aca="false">IF(D197="","",MAX(0,Z197-$B$8))</f>
        <v>47.7950132231001</v>
      </c>
      <c r="U197" s="16" t="n">
        <f aca="false">IF(D197="","",MAX(0,MIN($B$8,Z197)))</f>
        <v>162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209.7950132231</v>
      </c>
      <c r="AA197" s="18" t="n">
        <f aca="false">IF(D197="","",IF(H197&lt;=$B$16,1,IF(H197&gt;=$B$17,$B$21,MATCH(H197,Aux_CAV!$A$2:$A$121,1))))</f>
        <v>23</v>
      </c>
      <c r="AB197" s="18" t="n">
        <f aca="false">IF(D197="","",IF(L197&lt;=$B$16,1,IF(L197&gt;=$B$17,$B$21,MATCH(L197,Aux_CAV!$A$2:$A$121,1))))</f>
        <v>23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2.06541664937085</v>
      </c>
      <c r="E198" s="16" t="n">
        <f aca="false">IF(D198="","",D198*$B$15)</f>
        <v>5.35355995516924</v>
      </c>
      <c r="F198" s="16" t="n">
        <f aca="false" t="array" ref="F198:F198">IF(D198="","",IFERROR(INDEX(Dados_Evap!$C$2:$N$15,MATCH($B$9,Dados_Evap!$A$2:$A$15,0),C198),0))</f>
        <v>149</v>
      </c>
      <c r="G198" s="16" t="n">
        <f aca="false">IF(F198="","",F198/1000)</f>
        <v>0.149</v>
      </c>
      <c r="H198" s="16" t="n">
        <f aca="false">IF(D198="","",MAX(0,MIN($B$8,IFERROR(LOOKUP(2,1/($U$24:U197&lt;&gt;""),$U$24:U197),$B$11))))</f>
        <v>162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15.783</v>
      </c>
      <c r="J198" s="16" t="n">
        <f aca="false">IF(D198="","",$B$12)</f>
        <v>0.432</v>
      </c>
      <c r="K198" s="16" t="n">
        <f aca="false">IF(J198="","",J198*$B$15)</f>
        <v>1.119744</v>
      </c>
      <c r="L198" s="16" t="n">
        <f aca="false">IF(D198="","",H198+E198-K198-G198*I198)</f>
        <v>163.882148955169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15.8955704327473</v>
      </c>
      <c r="N198" s="16" t="n">
        <f aca="false">IF(D198="","",(I198+M198)/2)</f>
        <v>15.8392852163736</v>
      </c>
      <c r="O198" s="16" t="n">
        <f aca="false">IF(D198="","",G198*N198)</f>
        <v>2.36005349723967</v>
      </c>
      <c r="P198" s="16" t="n">
        <f aca="false">IF(D198="","",H198+E198-K198-O198)</f>
        <v>163.87376245793</v>
      </c>
      <c r="Q198" s="16" t="n">
        <f aca="false">IF(D198="","",IF(P198&gt;=0,K198,MAX(0,K198+P198)))</f>
        <v>1.119744</v>
      </c>
      <c r="R198" s="16" t="n">
        <f aca="false">IF(D198="","",Q198/$B$15)</f>
        <v>0.432</v>
      </c>
      <c r="S198" s="16" t="n">
        <f aca="false">IF(D198="","",MAX(0,J198-R198))</f>
        <v>0</v>
      </c>
      <c r="T198" s="16" t="n">
        <f aca="false">IF(D198="","",MAX(0,Z198-$B$8))</f>
        <v>1.87376245792956</v>
      </c>
      <c r="U198" s="16" t="n">
        <f aca="false">IF(D198="","",MAX(0,MIN($B$8,Z198)))</f>
        <v>162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100</v>
      </c>
      <c r="Z198" s="18" t="n">
        <f aca="false">IF(D198="","",MAX(0,IF(P198&gt;=0,P198,IF(K198+P198&gt;=0,0,P198+K198))))</f>
        <v>163.87376245793</v>
      </c>
      <c r="AA198" s="18" t="n">
        <f aca="false">IF(D198="","",IF(H198&lt;=$B$16,1,IF(H198&gt;=$B$17,$B$21,MATCH(H198,Aux_CAV!$A$2:$A$121,1))))</f>
        <v>23</v>
      </c>
      <c r="AB198" s="18" t="n">
        <f aca="false">IF(D198="","",IF(L198&lt;=$B$16,1,IF(L198&gt;=$B$17,$B$21,MATCH(L198,Aux_CAV!$A$2:$A$121,1))))</f>
        <v>23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0.891715267805551</v>
      </c>
      <c r="E199" s="16" t="n">
        <f aca="false">IF(D199="","",D199*$B$15)</f>
        <v>2.31132597415199</v>
      </c>
      <c r="F199" s="16" t="n">
        <f aca="false" t="array" ref="F199:F199">IF(D199="","",IFERROR(INDEX(Dados_Evap!$C$2:$N$15,MATCH($B$9,Dados_Evap!$A$2:$A$15,0),C199),0))</f>
        <v>206.8</v>
      </c>
      <c r="G199" s="16" t="n">
        <f aca="false">IF(F199="","",F199/1000)</f>
        <v>0.2068</v>
      </c>
      <c r="H199" s="16" t="n">
        <f aca="false">IF(D199="","",MAX(0,MIN($B$8,IFERROR(LOOKUP(2,1/($U$24:U198&lt;&gt;""),$U$24:U198),$B$11))))</f>
        <v>162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15.783</v>
      </c>
      <c r="J199" s="16" t="n">
        <f aca="false">IF(D199="","",$B$12)</f>
        <v>0.432</v>
      </c>
      <c r="K199" s="16" t="n">
        <f aca="false">IF(J199="","",J199*$B$15)</f>
        <v>1.119744</v>
      </c>
      <c r="L199" s="16" t="n">
        <f aca="false">IF(D199="","",H199+E199-K199-G199*I199)</f>
        <v>159.927657574152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15.6321194510673</v>
      </c>
      <c r="N199" s="16" t="n">
        <f aca="false">IF(D199="","",(I199+M199)/2)</f>
        <v>15.7075597255337</v>
      </c>
      <c r="O199" s="16" t="n">
        <f aca="false">IF(D199="","",G199*N199)</f>
        <v>3.24832335124036</v>
      </c>
      <c r="P199" s="16" t="n">
        <f aca="false">IF(D199="","",H199+E199-K199-O199)</f>
        <v>159.943258622912</v>
      </c>
      <c r="Q199" s="16" t="n">
        <f aca="false">IF(D199="","",IF(P199&gt;=0,K199,MAX(0,K199+P199)))</f>
        <v>1.119744</v>
      </c>
      <c r="R199" s="16" t="n">
        <f aca="false">IF(D199="","",Q199/$B$15)</f>
        <v>0.432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159.943258622912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98.7304065573529</v>
      </c>
      <c r="Z199" s="18" t="n">
        <f aca="false">IF(D199="","",MAX(0,IF(P199&gt;=0,P199,IF(K199+P199&gt;=0,0,P199+K199))))</f>
        <v>159.943258622912</v>
      </c>
      <c r="AA199" s="18" t="n">
        <f aca="false">IF(D199="","",IF(H199&lt;=$B$16,1,IF(H199&gt;=$B$17,$B$21,MATCH(H199,Aux_CAV!$A$2:$A$121,1))))</f>
        <v>23</v>
      </c>
      <c r="AB199" s="18" t="n">
        <f aca="false">IF(D199="","",IF(L199&lt;=$B$16,1,IF(L199&gt;=$B$17,$B$21,MATCH(L199,Aux_CAV!$A$2:$A$121,1))))</f>
        <v>22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1.08178141905228</v>
      </c>
      <c r="E200" s="16" t="n">
        <f aca="false">IF(D200="","",D200*$B$15)</f>
        <v>2.80397743818351</v>
      </c>
      <c r="F200" s="16" t="n">
        <f aca="false" t="array" ref="F200:F200">IF(D200="","",IFERROR(INDEX(Dados_Evap!$C$2:$N$15,MATCH($B$9,Dados_Evap!$A$2:$A$15,0),C200),0))</f>
        <v>245.9</v>
      </c>
      <c r="G200" s="16" t="n">
        <f aca="false">IF(F200="","",F200/1000)</f>
        <v>0.2459</v>
      </c>
      <c r="H200" s="16" t="n">
        <f aca="false">IF(D200="","",MAX(0,MIN($B$8,IFERROR(LOOKUP(2,1/($U$24:U199&lt;&gt;""),$U$24:U199),$B$11))))</f>
        <v>159.943258622912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15.6332553129652</v>
      </c>
      <c r="J200" s="16" t="n">
        <f aca="false">IF(D200="","",$B$12)</f>
        <v>0.432</v>
      </c>
      <c r="K200" s="16" t="n">
        <f aca="false">IF(J200="","",J200*$B$15)</f>
        <v>1.119744</v>
      </c>
      <c r="L200" s="16" t="n">
        <f aca="false">IF(D200="","",H200+E200-K200-G200*I200)</f>
        <v>157.783274579637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15.4759938613488</v>
      </c>
      <c r="N200" s="16" t="n">
        <f aca="false">IF(D200="","",(I200+M200)/2)</f>
        <v>15.554624587157</v>
      </c>
      <c r="O200" s="16" t="n">
        <f aca="false">IF(D200="","",G200*N200)</f>
        <v>3.8248821859819</v>
      </c>
      <c r="P200" s="16" t="n">
        <f aca="false">IF(D200="","",H200+E200-K200-O200)</f>
        <v>157.802609875113</v>
      </c>
      <c r="Q200" s="16" t="n">
        <f aca="false">IF(D200="","",IF(P200&gt;=0,K200,MAX(0,K200+P200)))</f>
        <v>1.119744</v>
      </c>
      <c r="R200" s="16" t="n">
        <f aca="false">IF(D200="","",Q200/$B$15)</f>
        <v>0.432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157.802609875113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97.409018441428</v>
      </c>
      <c r="Z200" s="18" t="n">
        <f aca="false">IF(D200="","",MAX(0,IF(P200&gt;=0,P200,IF(K200+P200&gt;=0,0,P200+K200))))</f>
        <v>157.802609875113</v>
      </c>
      <c r="AA200" s="18" t="n">
        <f aca="false">IF(D200="","",IF(H200&lt;=$B$16,1,IF(H200&gt;=$B$17,$B$21,MATCH(H200,Aux_CAV!$A$2:$A$121,1))))</f>
        <v>22</v>
      </c>
      <c r="AB200" s="18" t="n">
        <f aca="false">IF(D200="","",IF(L200&lt;=$B$16,1,IF(L200&gt;=$B$17,$B$21,MATCH(L200,Aux_CAV!$A$2:$A$121,1))))</f>
        <v>22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1.30481010959157</v>
      </c>
      <c r="E201" s="16" t="n">
        <f aca="false">IF(D201="","",D201*$B$15)</f>
        <v>3.38206780406135</v>
      </c>
      <c r="F201" s="16" t="n">
        <f aca="false" t="array" ref="F201:F201">IF(D201="","",IFERROR(INDEX(Dados_Evap!$C$2:$N$15,MATCH($B$9,Dados_Evap!$A$2:$A$15,0),C201),0))</f>
        <v>282.3</v>
      </c>
      <c r="G201" s="16" t="n">
        <f aca="false">IF(F201="","",F201/1000)</f>
        <v>0.2823</v>
      </c>
      <c r="H201" s="16" t="n">
        <f aca="false">IF(D201="","",MAX(0,MIN($B$8,IFERROR(LOOKUP(2,1/($U$24:U200&lt;&gt;""),$U$24:U200),$B$11))))</f>
        <v>157.802609875113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15.4774016016714</v>
      </c>
      <c r="J201" s="16" t="n">
        <f aca="false">IF(D201="","",$B$12)</f>
        <v>0.432</v>
      </c>
      <c r="K201" s="16" t="n">
        <f aca="false">IF(J201="","",J201*$B$15)</f>
        <v>1.119744</v>
      </c>
      <c r="L201" s="16" t="n">
        <f aca="false">IF(D201="","",H201+E201-K201-G201*I201)</f>
        <v>155.695663207023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15.3240016297902</v>
      </c>
      <c r="N201" s="16" t="n">
        <f aca="false">IF(D201="","",(I201+M201)/2)</f>
        <v>15.4007016157308</v>
      </c>
      <c r="O201" s="16" t="n">
        <f aca="false">IF(D201="","",G201*N201)</f>
        <v>4.34761806612081</v>
      </c>
      <c r="P201" s="16" t="n">
        <f aca="false">IF(D201="","",H201+E201-K201-O201)</f>
        <v>155.717315613054</v>
      </c>
      <c r="Q201" s="16" t="n">
        <f aca="false">IF(D201="","",IF(P201&gt;=0,K201,MAX(0,K201+P201)))</f>
        <v>1.119744</v>
      </c>
      <c r="R201" s="16" t="n">
        <f aca="false">IF(D201="","",Q201/$B$15)</f>
        <v>0.432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155.717315613054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96.1217997611443</v>
      </c>
      <c r="Z201" s="18" t="n">
        <f aca="false">IF(D201="","",MAX(0,IF(P201&gt;=0,P201,IF(K201+P201&gt;=0,0,P201+K201))))</f>
        <v>155.717315613054</v>
      </c>
      <c r="AA201" s="18" t="n">
        <f aca="false">IF(D201="","",IF(H201&lt;=$B$16,1,IF(H201&gt;=$B$17,$B$21,MATCH(H201,Aux_CAV!$A$2:$A$121,1))))</f>
        <v>22</v>
      </c>
      <c r="AB201" s="18" t="n">
        <f aca="false">IF(D201="","",IF(L201&lt;=$B$16,1,IF(L201&gt;=$B$17,$B$21,MATCH(L201,Aux_CAV!$A$2:$A$121,1))))</f>
        <v>22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0.863311932964994</v>
      </c>
      <c r="E202" s="16" t="n">
        <f aca="false">IF(D202="","",D202*$B$15)</f>
        <v>2.23770453024526</v>
      </c>
      <c r="F202" s="16" t="n">
        <f aca="false" t="array" ref="F202:F202">IF(D202="","",IFERROR(INDEX(Dados_Evap!$C$2:$N$15,MATCH($B$9,Dados_Evap!$A$2:$A$15,0),C202),0))</f>
        <v>241.3</v>
      </c>
      <c r="G202" s="16" t="n">
        <f aca="false">IF(F202="","",F202/1000)</f>
        <v>0.2413</v>
      </c>
      <c r="H202" s="16" t="n">
        <f aca="false">IF(D202="","",MAX(0,MIN($B$8,IFERROR(LOOKUP(2,1/($U$24:U201&lt;&gt;""),$U$24:U201),$B$11))))</f>
        <v>155.717315613054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15.3255780714376</v>
      </c>
      <c r="J202" s="16" t="n">
        <f aca="false">IF(D202="","",$B$12)</f>
        <v>0.432</v>
      </c>
      <c r="K202" s="16" t="n">
        <f aca="false">IF(J202="","",J202*$B$15)</f>
        <v>1.119744</v>
      </c>
      <c r="L202" s="16" t="n">
        <f aca="false">IF(D202="","",H202+E202-K202-G202*I202)</f>
        <v>153.137214154661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15.1377292297168</v>
      </c>
      <c r="N202" s="16" t="n">
        <f aca="false">IF(D202="","",(I202+M202)/2)</f>
        <v>15.2316536505772</v>
      </c>
      <c r="O202" s="16" t="n">
        <f aca="false">IF(D202="","",G202*N202)</f>
        <v>3.67539802588428</v>
      </c>
      <c r="P202" s="16" t="n">
        <f aca="false">IF(D202="","",H202+E202-K202-O202)</f>
        <v>153.159878117415</v>
      </c>
      <c r="Q202" s="16" t="n">
        <f aca="false">IF(D202="","",IF(P202&gt;=0,K202,MAX(0,K202+P202)))</f>
        <v>1.119744</v>
      </c>
      <c r="R202" s="16" t="n">
        <f aca="false">IF(D202="","",Q202/$B$15)</f>
        <v>0.432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153.159878117415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94.5431346403795</v>
      </c>
      <c r="Z202" s="18" t="n">
        <f aca="false">IF(D202="","",MAX(0,IF(P202&gt;=0,P202,IF(K202+P202&gt;=0,0,P202+K202))))</f>
        <v>153.159878117415</v>
      </c>
      <c r="AA202" s="18" t="n">
        <f aca="false">IF(D202="","",IF(H202&lt;=$B$16,1,IF(H202&gt;=$B$17,$B$21,MATCH(H202,Aux_CAV!$A$2:$A$121,1))))</f>
        <v>22</v>
      </c>
      <c r="AB202" s="18" t="n">
        <f aca="false">IF(D202="","",IF(L202&lt;=$B$16,1,IF(L202&gt;=$B$17,$B$21,MATCH(L202,Aux_CAV!$A$2:$A$121,1))))</f>
        <v>22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1.22542188408128</v>
      </c>
      <c r="E203" s="16" t="n">
        <f aca="false">IF(D203="","",D203*$B$15)</f>
        <v>3.17629352353868</v>
      </c>
      <c r="F203" s="16" t="n">
        <f aca="false" t="array" ref="F203:F203">IF(D203="","",IFERROR(INDEX(Dados_Evap!$C$2:$N$15,MATCH($B$9,Dados_Evap!$A$2:$A$15,0),C203),0))</f>
        <v>241.8</v>
      </c>
      <c r="G203" s="16" t="n">
        <f aca="false">IF(F203="","",F203/1000)</f>
        <v>0.2418</v>
      </c>
      <c r="H203" s="16" t="n">
        <f aca="false">IF(D203="","",MAX(0,MIN($B$8,IFERROR(LOOKUP(2,1/($U$24:U202&lt;&gt;""),$U$24:U202),$B$11))))</f>
        <v>153.159878117415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15.1393793195372</v>
      </c>
      <c r="J203" s="16" t="n">
        <f aca="false">IF(D203="","",$B$12)</f>
        <v>0.432</v>
      </c>
      <c r="K203" s="16" t="n">
        <f aca="false">IF(J203="","",J203*$B$15)</f>
        <v>1.119744</v>
      </c>
      <c r="L203" s="16" t="n">
        <f aca="false">IF(D203="","",H203+E203-K203-G203*I203)</f>
        <v>151.555725721489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15.0225861722996</v>
      </c>
      <c r="N203" s="16" t="n">
        <f aca="false">IF(D203="","",(I203+M203)/2)</f>
        <v>15.0809827459184</v>
      </c>
      <c r="O203" s="16" t="n">
        <f aca="false">IF(D203="","",G203*N203)</f>
        <v>3.64658162796307</v>
      </c>
      <c r="P203" s="16" t="n">
        <f aca="false">IF(D203="","",H203+E203-K203-O203)</f>
        <v>151.56984601299</v>
      </c>
      <c r="Q203" s="16" t="n">
        <f aca="false">IF(D203="","",IF(P203&gt;=0,K203,MAX(0,K203+P203)))</f>
        <v>1.119744</v>
      </c>
      <c r="R203" s="16" t="n">
        <f aca="false">IF(D203="","",Q203/$B$15)</f>
        <v>0.432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151.56984601299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93.5616333413521</v>
      </c>
      <c r="Z203" s="18" t="n">
        <f aca="false">IF(D203="","",MAX(0,IF(P203&gt;=0,P203,IF(K203+P203&gt;=0,0,P203+K203))))</f>
        <v>151.56984601299</v>
      </c>
      <c r="AA203" s="18" t="n">
        <f aca="false">IF(D203="","",IF(H203&lt;=$B$16,1,IF(H203&gt;=$B$17,$B$21,MATCH(H203,Aux_CAV!$A$2:$A$121,1))))</f>
        <v>22</v>
      </c>
      <c r="AB203" s="18" t="n">
        <f aca="false">IF(D203="","",IF(L203&lt;=$B$16,1,IF(L203&gt;=$B$17,$B$21,MATCH(L203,Aux_CAV!$A$2:$A$121,1))))</f>
        <v>22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2.41314591594552</v>
      </c>
      <c r="E204" s="16" t="n">
        <f aca="false">IF(D204="","",D204*$B$15)</f>
        <v>6.25487421413079</v>
      </c>
      <c r="F204" s="16" t="n">
        <f aca="false" t="array" ref="F204:F204">IF(D204="","",IFERROR(INDEX(Dados_Evap!$C$2:$N$15,MATCH($B$9,Dados_Evap!$A$2:$A$15,0),C204),0))</f>
        <v>189</v>
      </c>
      <c r="G204" s="16" t="n">
        <f aca="false">IF(F204="","",F204/1000)</f>
        <v>0.189</v>
      </c>
      <c r="H204" s="16" t="n">
        <f aca="false">IF(D204="","",MAX(0,MIN($B$8,IFERROR(LOOKUP(2,1/($U$24:U203&lt;&gt;""),$U$24:U203),$B$11))))</f>
        <v>151.56984601299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15.023614225051</v>
      </c>
      <c r="J204" s="16" t="n">
        <f aca="false">IF(D204="","",$B$12)</f>
        <v>0.432</v>
      </c>
      <c r="K204" s="16" t="n">
        <f aca="false">IF(J204="","",J204*$B$15)</f>
        <v>1.119744</v>
      </c>
      <c r="L204" s="16" t="n">
        <f aca="false">IF(D204="","",H204+E204-K204-G204*I204)</f>
        <v>153.865513138587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15.1907543230176</v>
      </c>
      <c r="N204" s="16" t="n">
        <f aca="false">IF(D204="","",(I204+M204)/2)</f>
        <v>15.1071842740343</v>
      </c>
      <c r="O204" s="16" t="n">
        <f aca="false">IF(D204="","",G204*N204)</f>
        <v>2.85525782779248</v>
      </c>
      <c r="P204" s="16" t="n">
        <f aca="false">IF(D204="","",H204+E204-K204-O204)</f>
        <v>153.849718399329</v>
      </c>
      <c r="Q204" s="16" t="n">
        <f aca="false">IF(D204="","",IF(P204&gt;=0,K204,MAX(0,K204+P204)))</f>
        <v>1.119744</v>
      </c>
      <c r="R204" s="16" t="n">
        <f aca="false">IF(D204="","",Q204/$B$15)</f>
        <v>0.432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153.849718399329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94.9689619748943</v>
      </c>
      <c r="Z204" s="18" t="n">
        <f aca="false">IF(D204="","",MAX(0,IF(P204&gt;=0,P204,IF(K204+P204&gt;=0,0,P204+K204))))</f>
        <v>153.849718399329</v>
      </c>
      <c r="AA204" s="18" t="n">
        <f aca="false">IF(D204="","",IF(H204&lt;=$B$16,1,IF(H204&gt;=$B$17,$B$21,MATCH(H204,Aux_CAV!$A$2:$A$121,1))))</f>
        <v>22</v>
      </c>
      <c r="AB204" s="18" t="n">
        <f aca="false">IF(D204="","",IF(L204&lt;=$B$16,1,IF(L204&gt;=$B$17,$B$21,MATCH(L204,Aux_CAV!$A$2:$A$121,1))))</f>
        <v>22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2.50343048962253</v>
      </c>
      <c r="E205" s="16" t="n">
        <f aca="false">IF(D205="","",D205*$B$15)</f>
        <v>6.4888918291016</v>
      </c>
      <c r="F205" s="16" t="n">
        <f aca="false" t="array" ref="F205:F205">IF(D205="","",IFERROR(INDEX(Dados_Evap!$C$2:$N$15,MATCH($B$9,Dados_Evap!$A$2:$A$15,0),C205),0))</f>
        <v>136.9</v>
      </c>
      <c r="G205" s="16" t="n">
        <f aca="false">IF(F205="","",F205/1000)</f>
        <v>0.1369</v>
      </c>
      <c r="H205" s="16" t="n">
        <f aca="false">IF(D205="","",MAX(0,MIN($B$8,IFERROR(LOOKUP(2,1/($U$24:U204&lt;&gt;""),$U$24:U204),$B$11))))</f>
        <v>153.849718399329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15.1896043591411</v>
      </c>
      <c r="J205" s="16" t="n">
        <f aca="false">IF(D205="","",$B$12)</f>
        <v>0.432</v>
      </c>
      <c r="K205" s="16" t="n">
        <f aca="false">IF(J205="","",J205*$B$15)</f>
        <v>1.119744</v>
      </c>
      <c r="L205" s="16" t="n">
        <f aca="false">IF(D205="","",H205+E205-K205-G205*I205)</f>
        <v>157.139409391664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15.429116119626</v>
      </c>
      <c r="N205" s="16" t="n">
        <f aca="false">IF(D205="","",(I205+M205)/2)</f>
        <v>15.3093602393836</v>
      </c>
      <c r="O205" s="16" t="n">
        <f aca="false">IF(D205="","",G205*N205)</f>
        <v>2.09585141677161</v>
      </c>
      <c r="P205" s="16" t="n">
        <f aca="false">IF(D205="","",H205+E205-K205-O205)</f>
        <v>157.123014811659</v>
      </c>
      <c r="Q205" s="16" t="n">
        <f aca="false">IF(D205="","",IF(P205&gt;=0,K205,MAX(0,K205+P205)))</f>
        <v>1.119744</v>
      </c>
      <c r="R205" s="16" t="n">
        <f aca="false">IF(D205="","",Q205/$B$15)</f>
        <v>0.432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157.123014811659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96.9895153158387</v>
      </c>
      <c r="Z205" s="18" t="n">
        <f aca="false">IF(D205="","",MAX(0,IF(P205&gt;=0,P205,IF(K205+P205&gt;=0,0,P205+K205))))</f>
        <v>157.123014811659</v>
      </c>
      <c r="AA205" s="18" t="n">
        <f aca="false">IF(D205="","",IF(H205&lt;=$B$16,1,IF(H205&gt;=$B$17,$B$21,MATCH(H205,Aux_CAV!$A$2:$A$121,1))))</f>
        <v>22</v>
      </c>
      <c r="AB205" s="18" t="n">
        <f aca="false">IF(D205="","",IF(L205&lt;=$B$16,1,IF(L205&gt;=$B$17,$B$21,MATCH(L205,Aux_CAV!$A$2:$A$121,1))))</f>
        <v>22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6.15060621413927</v>
      </c>
      <c r="E206" s="16" t="n">
        <f aca="false">IF(D206="","",D206*$B$15)</f>
        <v>15.942371307049</v>
      </c>
      <c r="F206" s="16" t="n">
        <f aca="false" t="array" ref="F206:F206">IF(D206="","",IFERROR(INDEX(Dados_Evap!$C$2:$N$15,MATCH($B$9,Dados_Evap!$A$2:$A$15,0),C206),0))</f>
        <v>102.9</v>
      </c>
      <c r="G206" s="16" t="n">
        <f aca="false">IF(F206="","",F206/1000)</f>
        <v>0.1029</v>
      </c>
      <c r="H206" s="16" t="n">
        <f aca="false">IF(D206="","",MAX(0,MIN($B$8,IFERROR(LOOKUP(2,1/($U$24:U205&lt;&gt;""),$U$24:U205),$B$11))))</f>
        <v>157.123014811659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15.4279224832849</v>
      </c>
      <c r="J206" s="16" t="n">
        <f aca="false">IF(D206="","",$B$12)</f>
        <v>0.432</v>
      </c>
      <c r="K206" s="16" t="n">
        <f aca="false">IF(J206="","",J206*$B$15)</f>
        <v>1.119744</v>
      </c>
      <c r="L206" s="16" t="n">
        <f aca="false">IF(D206="","",H206+E206-K206-G206*I206)</f>
        <v>170.358108895178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16.2828945129687</v>
      </c>
      <c r="N206" s="16" t="n">
        <f aca="false">IF(D206="","",(I206+M206)/2)</f>
        <v>15.8554084981268</v>
      </c>
      <c r="O206" s="16" t="n">
        <f aca="false">IF(D206="","",G206*N206)</f>
        <v>1.63152153445725</v>
      </c>
      <c r="P206" s="16" t="n">
        <f aca="false">IF(D206="","",H206+E206-K206-O206)</f>
        <v>170.31412058425</v>
      </c>
      <c r="Q206" s="16" t="n">
        <f aca="false">IF(D206="","",IF(P206&gt;=0,K206,MAX(0,K206+P206)))</f>
        <v>1.119744</v>
      </c>
      <c r="R206" s="16" t="n">
        <f aca="false">IF(D206="","",Q206/$B$15)</f>
        <v>0.432</v>
      </c>
      <c r="S206" s="16" t="n">
        <f aca="false">IF(D206="","",MAX(0,J206-R206))</f>
        <v>0</v>
      </c>
      <c r="T206" s="16" t="n">
        <f aca="false">IF(D206="","",MAX(0,Z206-$B$8))</f>
        <v>8.31412058425039</v>
      </c>
      <c r="U206" s="16" t="n">
        <f aca="false">IF(D206="","",MAX(0,MIN($B$8,Z206)))</f>
        <v>162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170.31412058425</v>
      </c>
      <c r="AA206" s="18" t="n">
        <f aca="false">IF(D206="","",IF(H206&lt;=$B$16,1,IF(H206&gt;=$B$17,$B$21,MATCH(H206,Aux_CAV!$A$2:$A$121,1))))</f>
        <v>22</v>
      </c>
      <c r="AB206" s="18" t="n">
        <f aca="false">IF(D206="","",IF(L206&lt;=$B$16,1,IF(L206&gt;=$B$17,$B$21,MATCH(L206,Aux_CAV!$A$2:$A$121,1))))</f>
        <v>23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11.5229951321442</v>
      </c>
      <c r="E207" s="16" t="n">
        <f aca="false">IF(D207="","",D207*$B$15)</f>
        <v>29.8676033825178</v>
      </c>
      <c r="F207" s="16" t="n">
        <f aca="false" t="array" ref="F207:F207">IF(D207="","",IFERROR(INDEX(Dados_Evap!$C$2:$N$15,MATCH($B$9,Dados_Evap!$A$2:$A$15,0),C207),0))</f>
        <v>81.8</v>
      </c>
      <c r="G207" s="16" t="n">
        <f aca="false">IF(F207="","",F207/1000)</f>
        <v>0.0818</v>
      </c>
      <c r="H207" s="16" t="n">
        <f aca="false">IF(D207="","",MAX(0,MIN($B$8,IFERROR(LOOKUP(2,1/($U$24:U206&lt;&gt;""),$U$24:U206),$B$11))))</f>
        <v>162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15.783</v>
      </c>
      <c r="J207" s="16" t="n">
        <f aca="false">IF(D207="","",$B$12)</f>
        <v>0.432</v>
      </c>
      <c r="K207" s="16" t="n">
        <f aca="false">IF(J207="","",J207*$B$15)</f>
        <v>1.119744</v>
      </c>
      <c r="L207" s="16" t="n">
        <f aca="false">IF(D207="","",H207+E207-K207-G207*I207)</f>
        <v>189.456809982518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17.425178730383</v>
      </c>
      <c r="N207" s="16" t="n">
        <f aca="false">IF(D207="","",(I207+M207)/2)</f>
        <v>16.6040893651915</v>
      </c>
      <c r="O207" s="16" t="n">
        <f aca="false">IF(D207="","",G207*N207)</f>
        <v>1.35821451007266</v>
      </c>
      <c r="P207" s="16" t="n">
        <f aca="false">IF(D207="","",H207+E207-K207-O207)</f>
        <v>189.389644872445</v>
      </c>
      <c r="Q207" s="16" t="n">
        <f aca="false">IF(D207="","",IF(P207&gt;=0,K207,MAX(0,K207+P207)))</f>
        <v>1.119744</v>
      </c>
      <c r="R207" s="16" t="n">
        <f aca="false">IF(D207="","",Q207/$B$15)</f>
        <v>0.432</v>
      </c>
      <c r="S207" s="16" t="n">
        <f aca="false">IF(D207="","",MAX(0,J207-R207))</f>
        <v>0</v>
      </c>
      <c r="T207" s="16" t="n">
        <f aca="false">IF(D207="","",MAX(0,Z207-$B$8))</f>
        <v>27.3896448724451</v>
      </c>
      <c r="U207" s="16" t="n">
        <f aca="false">IF(D207="","",MAX(0,MIN($B$8,Z207)))</f>
        <v>162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189.389644872445</v>
      </c>
      <c r="AA207" s="18" t="n">
        <f aca="false">IF(D207="","",IF(H207&lt;=$B$16,1,IF(H207&gt;=$B$17,$B$21,MATCH(H207,Aux_CAV!$A$2:$A$121,1))))</f>
        <v>23</v>
      </c>
      <c r="AB207" s="18" t="n">
        <f aca="false">IF(D207="","",IF(L207&lt;=$B$16,1,IF(L207&gt;=$B$17,$B$21,MATCH(L207,Aux_CAV!$A$2:$A$121,1))))</f>
        <v>23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6.49736737945275</v>
      </c>
      <c r="E208" s="16" t="n">
        <f aca="false">IF(D208="","",D208*$B$15)</f>
        <v>16.8411762475415</v>
      </c>
      <c r="F208" s="16" t="n">
        <f aca="false" t="array" ref="F208:F208">IF(D208="","",IFERROR(INDEX(Dados_Evap!$C$2:$N$15,MATCH($B$9,Dados_Evap!$A$2:$A$15,0),C208),0))</f>
        <v>83.6</v>
      </c>
      <c r="G208" s="16" t="n">
        <f aca="false">IF(F208="","",F208/1000)</f>
        <v>0.0836</v>
      </c>
      <c r="H208" s="16" t="n">
        <f aca="false">IF(D208="","",MAX(0,MIN($B$8,IFERROR(LOOKUP(2,1/($U$24:U207&lt;&gt;""),$U$24:U207),$B$11))))</f>
        <v>162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15.783</v>
      </c>
      <c r="J208" s="16" t="n">
        <f aca="false">IF(D208="","",$B$12)</f>
        <v>0.432</v>
      </c>
      <c r="K208" s="16" t="n">
        <f aca="false">IF(J208="","",J208*$B$15)</f>
        <v>1.119744</v>
      </c>
      <c r="L208" s="16" t="n">
        <f aca="false">IF(D208="","",H208+E208-K208-G208*I208)</f>
        <v>176.401973447542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16.6443751738149</v>
      </c>
      <c r="N208" s="16" t="n">
        <f aca="false">IF(D208="","",(I208+M208)/2)</f>
        <v>16.2136875869074</v>
      </c>
      <c r="O208" s="16" t="n">
        <f aca="false">IF(D208="","",G208*N208)</f>
        <v>1.35546428226546</v>
      </c>
      <c r="P208" s="16" t="n">
        <f aca="false">IF(D208="","",H208+E208-K208-O208)</f>
        <v>176.365967965276</v>
      </c>
      <c r="Q208" s="16" t="n">
        <f aca="false">IF(D208="","",IF(P208&gt;=0,K208,MAX(0,K208+P208)))</f>
        <v>1.119744</v>
      </c>
      <c r="R208" s="16" t="n">
        <f aca="false">IF(D208="","",Q208/$B$15)</f>
        <v>0.432</v>
      </c>
      <c r="S208" s="16" t="n">
        <f aca="false">IF(D208="","",MAX(0,J208-R208))</f>
        <v>0</v>
      </c>
      <c r="T208" s="16" t="n">
        <f aca="false">IF(D208="","",MAX(0,Z208-$B$8))</f>
        <v>14.3659679652761</v>
      </c>
      <c r="U208" s="16" t="n">
        <f aca="false">IF(D208="","",MAX(0,MIN($B$8,Z208)))</f>
        <v>162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176.365967965276</v>
      </c>
      <c r="AA208" s="18" t="n">
        <f aca="false">IF(D208="","",IF(H208&lt;=$B$16,1,IF(H208&gt;=$B$17,$B$21,MATCH(H208,Aux_CAV!$A$2:$A$121,1))))</f>
        <v>23</v>
      </c>
      <c r="AB208" s="18" t="n">
        <f aca="false">IF(D208="","",IF(L208&lt;=$B$16,1,IF(L208&gt;=$B$17,$B$21,MATCH(L208,Aux_CAV!$A$2:$A$121,1))))</f>
        <v>23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1.58800654423481</v>
      </c>
      <c r="E209" s="16" t="n">
        <f aca="false">IF(D209="","",D209*$B$15)</f>
        <v>4.11611296265663</v>
      </c>
      <c r="F209" s="16" t="n">
        <f aca="false" t="array" ref="F209:F209">IF(D209="","",IFERROR(INDEX(Dados_Evap!$C$2:$N$15,MATCH($B$9,Dados_Evap!$A$2:$A$15,0),C209),0))</f>
        <v>108.2</v>
      </c>
      <c r="G209" s="16" t="n">
        <f aca="false">IF(F209="","",F209/1000)</f>
        <v>0.1082</v>
      </c>
      <c r="H209" s="16" t="n">
        <f aca="false">IF(D209="","",MAX(0,MIN($B$8,IFERROR(LOOKUP(2,1/($U$24:U208&lt;&gt;""),$U$24:U208),$B$11))))</f>
        <v>162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15.783</v>
      </c>
      <c r="J209" s="16" t="n">
        <f aca="false">IF(D209="","",$B$12)</f>
        <v>0.432</v>
      </c>
      <c r="K209" s="16" t="n">
        <f aca="false">IF(J209="","",J209*$B$15)</f>
        <v>1.119744</v>
      </c>
      <c r="L209" s="16" t="n">
        <f aca="false">IF(D209="","",H209+E209-K209-G209*I209)</f>
        <v>163.288648362657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15.8600734449284</v>
      </c>
      <c r="N209" s="16" t="n">
        <f aca="false">IF(D209="","",(I209+M209)/2)</f>
        <v>15.8215367224642</v>
      </c>
      <c r="O209" s="16" t="n">
        <f aca="false">IF(D209="","",G209*N209)</f>
        <v>1.71189027337063</v>
      </c>
      <c r="P209" s="16" t="n">
        <f aca="false">IF(D209="","",H209+E209-K209-O209)</f>
        <v>163.284478689286</v>
      </c>
      <c r="Q209" s="16" t="n">
        <f aca="false">IF(D209="","",IF(P209&gt;=0,K209,MAX(0,K209+P209)))</f>
        <v>1.119744</v>
      </c>
      <c r="R209" s="16" t="n">
        <f aca="false">IF(D209="","",Q209/$B$15)</f>
        <v>0.432</v>
      </c>
      <c r="S209" s="16" t="n">
        <f aca="false">IF(D209="","",MAX(0,J209-R209))</f>
        <v>0</v>
      </c>
      <c r="T209" s="16" t="n">
        <f aca="false">IF(D209="","",MAX(0,Z209-$B$8))</f>
        <v>1.284478689286</v>
      </c>
      <c r="U209" s="16" t="n">
        <f aca="false">IF(D209="","",MAX(0,MIN($B$8,Z209)))</f>
        <v>162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163.284478689286</v>
      </c>
      <c r="AA209" s="18" t="n">
        <f aca="false">IF(D209="","",IF(H209&lt;=$B$16,1,IF(H209&gt;=$B$17,$B$21,MATCH(H209,Aux_CAV!$A$2:$A$121,1))))</f>
        <v>23</v>
      </c>
      <c r="AB209" s="18" t="n">
        <f aca="false">IF(D209="","",IF(L209&lt;=$B$16,1,IF(L209&gt;=$B$17,$B$21,MATCH(L209,Aux_CAV!$A$2:$A$121,1))))</f>
        <v>23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0.897402145546324</v>
      </c>
      <c r="E210" s="16" t="n">
        <f aca="false">IF(D210="","",D210*$B$15)</f>
        <v>2.32606636125607</v>
      </c>
      <c r="F210" s="16" t="n">
        <f aca="false" t="array" ref="F210:F210">IF(D210="","",IFERROR(INDEX(Dados_Evap!$C$2:$N$15,MATCH($B$9,Dados_Evap!$A$2:$A$15,0),C210),0))</f>
        <v>149</v>
      </c>
      <c r="G210" s="16" t="n">
        <f aca="false">IF(F210="","",F210/1000)</f>
        <v>0.149</v>
      </c>
      <c r="H210" s="16" t="n">
        <f aca="false">IF(D210="","",MAX(0,MIN($B$8,IFERROR(LOOKUP(2,1/($U$24:U209&lt;&gt;""),$U$24:U209),$B$11))))</f>
        <v>162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15.783</v>
      </c>
      <c r="J210" s="16" t="n">
        <f aca="false">IF(D210="","",$B$12)</f>
        <v>0.432</v>
      </c>
      <c r="K210" s="16" t="n">
        <f aca="false">IF(J210="","",J210*$B$15)</f>
        <v>1.119744</v>
      </c>
      <c r="L210" s="16" t="n">
        <f aca="false">IF(D210="","",H210+E210-K210-G210*I210)</f>
        <v>160.854655361256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15.6996111615265</v>
      </c>
      <c r="N210" s="16" t="n">
        <f aca="false">IF(D210="","",(I210+M210)/2)</f>
        <v>15.7413055807633</v>
      </c>
      <c r="O210" s="16" t="n">
        <f aca="false">IF(D210="","",G210*N210)</f>
        <v>2.34545453153373</v>
      </c>
      <c r="P210" s="16" t="n">
        <f aca="false">IF(D210="","",H210+E210-K210-O210)</f>
        <v>160.860867829722</v>
      </c>
      <c r="Q210" s="16" t="n">
        <f aca="false">IF(D210="","",IF(P210&gt;=0,K210,MAX(0,K210+P210)))</f>
        <v>1.119744</v>
      </c>
      <c r="R210" s="16" t="n">
        <f aca="false">IF(D210="","",Q210/$B$15)</f>
        <v>0.432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160.860867829722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99.2968319936558</v>
      </c>
      <c r="Z210" s="18" t="n">
        <f aca="false">IF(D210="","",MAX(0,IF(P210&gt;=0,P210,IF(K210+P210&gt;=0,0,P210+K210))))</f>
        <v>160.860867829722</v>
      </c>
      <c r="AA210" s="18" t="n">
        <f aca="false">IF(D210="","",IF(H210&lt;=$B$16,1,IF(H210&gt;=$B$17,$B$21,MATCH(H210,Aux_CAV!$A$2:$A$121,1))))</f>
        <v>23</v>
      </c>
      <c r="AB210" s="18" t="n">
        <f aca="false">IF(D210="","",IF(L210&lt;=$B$16,1,IF(L210&gt;=$B$17,$B$21,MATCH(L210,Aux_CAV!$A$2:$A$121,1))))</f>
        <v>22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0.633219888382442</v>
      </c>
      <c r="E211" s="16" t="n">
        <f aca="false">IF(D211="","",D211*$B$15)</f>
        <v>1.64130595068729</v>
      </c>
      <c r="F211" s="16" t="n">
        <f aca="false" t="array" ref="F211:F211">IF(D211="","",IFERROR(INDEX(Dados_Evap!$C$2:$N$15,MATCH($B$9,Dados_Evap!$A$2:$A$15,0),C211),0))</f>
        <v>206.8</v>
      </c>
      <c r="G211" s="16" t="n">
        <f aca="false">IF(F211="","",F211/1000)</f>
        <v>0.2068</v>
      </c>
      <c r="H211" s="16" t="n">
        <f aca="false">IF(D211="","",MAX(0,MIN($B$8,IFERROR(LOOKUP(2,1/($U$24:U210&lt;&gt;""),$U$24:U210),$B$11))))</f>
        <v>160.860867829722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15.700063471261</v>
      </c>
      <c r="J211" s="16" t="n">
        <f aca="false">IF(D211="","",$B$12)</f>
        <v>0.432</v>
      </c>
      <c r="K211" s="16" t="n">
        <f aca="false">IF(J211="","",J211*$B$15)</f>
        <v>1.119744</v>
      </c>
      <c r="L211" s="16" t="n">
        <f aca="false">IF(D211="","",H211+E211-K211-G211*I211)</f>
        <v>158.135656654553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15.5016496604263</v>
      </c>
      <c r="N211" s="16" t="n">
        <f aca="false">IF(D211="","",(I211+M211)/2)</f>
        <v>15.6008565658436</v>
      </c>
      <c r="O211" s="16" t="n">
        <f aca="false">IF(D211="","",G211*N211)</f>
        <v>3.22625713781647</v>
      </c>
      <c r="P211" s="16" t="n">
        <f aca="false">IF(D211="","",H211+E211-K211-O211)</f>
        <v>158.156172642593</v>
      </c>
      <c r="Q211" s="16" t="n">
        <f aca="false">IF(D211="","",IF(P211&gt;=0,K211,MAX(0,K211+P211)))</f>
        <v>1.119744</v>
      </c>
      <c r="R211" s="16" t="n">
        <f aca="false">IF(D211="","",Q211/$B$15)</f>
        <v>0.432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158.156172642593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97.6272670633291</v>
      </c>
      <c r="Z211" s="18" t="n">
        <f aca="false">IF(D211="","",MAX(0,IF(P211&gt;=0,P211,IF(K211+P211&gt;=0,0,P211+K211))))</f>
        <v>158.156172642593</v>
      </c>
      <c r="AA211" s="18" t="n">
        <f aca="false">IF(D211="","",IF(H211&lt;=$B$16,1,IF(H211&gt;=$B$17,$B$21,MATCH(H211,Aux_CAV!$A$2:$A$121,1))))</f>
        <v>22</v>
      </c>
      <c r="AB211" s="18" t="n">
        <f aca="false">IF(D211="","",IF(L211&lt;=$B$16,1,IF(L211&gt;=$B$17,$B$21,MATCH(L211,Aux_CAV!$A$2:$A$121,1))))</f>
        <v>22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1.36469055663751</v>
      </c>
      <c r="E212" s="16" t="n">
        <f aca="false">IF(D212="","",D212*$B$15)</f>
        <v>3.53727792280443</v>
      </c>
      <c r="F212" s="16" t="n">
        <f aca="false" t="array" ref="F212:F212">IF(D212="","",IFERROR(INDEX(Dados_Evap!$C$2:$N$15,MATCH($B$9,Dados_Evap!$A$2:$A$15,0),C212),0))</f>
        <v>245.9</v>
      </c>
      <c r="G212" s="16" t="n">
        <f aca="false">IF(F212="","",F212/1000)</f>
        <v>0.2459</v>
      </c>
      <c r="H212" s="16" t="n">
        <f aca="false">IF(D212="","",MAX(0,MIN($B$8,IFERROR(LOOKUP(2,1/($U$24:U211&lt;&gt;""),$U$24:U211),$B$11))))</f>
        <v>158.156172642593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15.5031433631555</v>
      </c>
      <c r="J212" s="16" t="n">
        <f aca="false">IF(D212="","",$B$12)</f>
        <v>0.432</v>
      </c>
      <c r="K212" s="16" t="n">
        <f aca="false">IF(J212="","",J212*$B$15)</f>
        <v>1.119744</v>
      </c>
      <c r="L212" s="16" t="n">
        <f aca="false">IF(D212="","",H212+E212-K212-G212*I212)</f>
        <v>156.761483612398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15.4016005660571</v>
      </c>
      <c r="N212" s="16" t="n">
        <f aca="false">IF(D212="","",(I212+M212)/2)</f>
        <v>15.4523719646063</v>
      </c>
      <c r="O212" s="16" t="n">
        <f aca="false">IF(D212="","",G212*N212)</f>
        <v>3.79973826609669</v>
      </c>
      <c r="P212" s="16" t="n">
        <f aca="false">IF(D212="","",H212+E212-K212-O212)</f>
        <v>156.773968299301</v>
      </c>
      <c r="Q212" s="16" t="n">
        <f aca="false">IF(D212="","",IF(P212&gt;=0,K212,MAX(0,K212+P212)))</f>
        <v>1.119744</v>
      </c>
      <c r="R212" s="16" t="n">
        <f aca="false">IF(D212="","",Q212/$B$15)</f>
        <v>0.432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156.773968299301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96.7740545057413</v>
      </c>
      <c r="Z212" s="18" t="n">
        <f aca="false">IF(D212="","",MAX(0,IF(P212&gt;=0,P212,IF(K212+P212&gt;=0,0,P212+K212))))</f>
        <v>156.773968299301</v>
      </c>
      <c r="AA212" s="18" t="n">
        <f aca="false">IF(D212="","",IF(H212&lt;=$B$16,1,IF(H212&gt;=$B$17,$B$21,MATCH(H212,Aux_CAV!$A$2:$A$121,1))))</f>
        <v>22</v>
      </c>
      <c r="AB212" s="18" t="n">
        <f aca="false">IF(D212="","",IF(L212&lt;=$B$16,1,IF(L212&gt;=$B$17,$B$21,MATCH(L212,Aux_CAV!$A$2:$A$121,1))))</f>
        <v>22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0.610279780199642</v>
      </c>
      <c r="E213" s="16" t="n">
        <f aca="false">IF(D213="","",D213*$B$15)</f>
        <v>1.58184519027747</v>
      </c>
      <c r="F213" s="16" t="n">
        <f aca="false" t="array" ref="F213:F213">IF(D213="","",IFERROR(INDEX(Dados_Evap!$C$2:$N$15,MATCH($B$9,Dados_Evap!$A$2:$A$15,0),C213),0))</f>
        <v>282.3</v>
      </c>
      <c r="G213" s="16" t="n">
        <f aca="false">IF(F213="","",F213/1000)</f>
        <v>0.2823</v>
      </c>
      <c r="H213" s="16" t="n">
        <f aca="false">IF(D213="","",MAX(0,MIN($B$8,IFERROR(LOOKUP(2,1/($U$24:U212&lt;&gt;""),$U$24:U212),$B$11))))</f>
        <v>156.773968299301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15.4025095357282</v>
      </c>
      <c r="J213" s="16" t="n">
        <f aca="false">IF(D213="","",$B$12)</f>
        <v>0.432</v>
      </c>
      <c r="K213" s="16" t="n">
        <f aca="false">IF(J213="","",J213*$B$15)</f>
        <v>1.119744</v>
      </c>
      <c r="L213" s="16" t="n">
        <f aca="false">IF(D213="","",H213+E213-K213-G213*I213)</f>
        <v>152.887941047642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15.1195804610809</v>
      </c>
      <c r="N213" s="16" t="n">
        <f aca="false">IF(D213="","",(I213+M213)/2)</f>
        <v>15.2610449984046</v>
      </c>
      <c r="O213" s="16" t="n">
        <f aca="false">IF(D213="","",G213*N213)</f>
        <v>4.3081930030496</v>
      </c>
      <c r="P213" s="16" t="n">
        <f aca="false">IF(D213="","",H213+E213-K213-O213)</f>
        <v>152.927876486529</v>
      </c>
      <c r="Q213" s="16" t="n">
        <f aca="false">IF(D213="","",IF(P213&gt;=0,K213,MAX(0,K213+P213)))</f>
        <v>1.119744</v>
      </c>
      <c r="R213" s="16" t="n">
        <f aca="false">IF(D213="","",Q213/$B$15)</f>
        <v>0.432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152.927876486529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94.3999237571165</v>
      </c>
      <c r="Z213" s="18" t="n">
        <f aca="false">IF(D213="","",MAX(0,IF(P213&gt;=0,P213,IF(K213+P213&gt;=0,0,P213+K213))))</f>
        <v>152.927876486529</v>
      </c>
      <c r="AA213" s="18" t="n">
        <f aca="false">IF(D213="","",IF(H213&lt;=$B$16,1,IF(H213&gt;=$B$17,$B$21,MATCH(H213,Aux_CAV!$A$2:$A$121,1))))</f>
        <v>22</v>
      </c>
      <c r="AB213" s="18" t="n">
        <f aca="false">IF(D213="","",IF(L213&lt;=$B$16,1,IF(L213&gt;=$B$17,$B$21,MATCH(L213,Aux_CAV!$A$2:$A$121,1))))</f>
        <v>22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0.51220215393615</v>
      </c>
      <c r="E214" s="16" t="n">
        <f aca="false">IF(D214="","",D214*$B$15)</f>
        <v>1.3276279830025</v>
      </c>
      <c r="F214" s="16" t="n">
        <f aca="false" t="array" ref="F214:F214">IF(D214="","",IFERROR(INDEX(Dados_Evap!$C$2:$N$15,MATCH($B$9,Dados_Evap!$A$2:$A$15,0),C214),0))</f>
        <v>241.3</v>
      </c>
      <c r="G214" s="16" t="n">
        <f aca="false">IF(F214="","",F214/1000)</f>
        <v>0.2413</v>
      </c>
      <c r="H214" s="16" t="n">
        <f aca="false">IF(D214="","",MAX(0,MIN($B$8,IFERROR(LOOKUP(2,1/($U$24:U213&lt;&gt;""),$U$24:U213),$B$11))))</f>
        <v>152.927876486529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15.1224880312131</v>
      </c>
      <c r="J214" s="16" t="n">
        <f aca="false">IF(D214="","",$B$12)</f>
        <v>0.432</v>
      </c>
      <c r="K214" s="16" t="n">
        <f aca="false">IF(J214="","",J214*$B$15)</f>
        <v>1.119744</v>
      </c>
      <c r="L214" s="16" t="n">
        <f aca="false">IF(D214="","",H214+E214-K214-G214*I214)</f>
        <v>149.4867041076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14.8719474009442</v>
      </c>
      <c r="N214" s="16" t="n">
        <f aca="false">IF(D214="","",(I214+M214)/2)</f>
        <v>14.9972177160787</v>
      </c>
      <c r="O214" s="16" t="n">
        <f aca="false">IF(D214="","",G214*N214)</f>
        <v>3.61882863488978</v>
      </c>
      <c r="P214" s="16" t="n">
        <f aca="false">IF(D214="","",H214+E214-K214-O214)</f>
        <v>149.516931834642</v>
      </c>
      <c r="Q214" s="16" t="n">
        <f aca="false">IF(D214="","",IF(P214&gt;=0,K214,MAX(0,K214+P214)))</f>
        <v>1.119744</v>
      </c>
      <c r="R214" s="16" t="n">
        <f aca="false">IF(D214="","",Q214/$B$15)</f>
        <v>0.432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149.516931834642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92.2944023670627</v>
      </c>
      <c r="Z214" s="18" t="n">
        <f aca="false">IF(D214="","",MAX(0,IF(P214&gt;=0,P214,IF(K214+P214&gt;=0,0,P214+K214))))</f>
        <v>149.516931834642</v>
      </c>
      <c r="AA214" s="18" t="n">
        <f aca="false">IF(D214="","",IF(H214&lt;=$B$16,1,IF(H214&gt;=$B$17,$B$21,MATCH(H214,Aux_CAV!$A$2:$A$121,1))))</f>
        <v>22</v>
      </c>
      <c r="AB214" s="18" t="n">
        <f aca="false">IF(D214="","",IF(L214&lt;=$B$16,1,IF(L214&gt;=$B$17,$B$21,MATCH(L214,Aux_CAV!$A$2:$A$121,1))))</f>
        <v>22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0.546355578863602</v>
      </c>
      <c r="E215" s="16" t="n">
        <f aca="false">IF(D215="","",D215*$B$15)</f>
        <v>1.41615366041446</v>
      </c>
      <c r="F215" s="16" t="n">
        <f aca="false" t="array" ref="F215:F215">IF(D215="","",IFERROR(INDEX(Dados_Evap!$C$2:$N$15,MATCH($B$9,Dados_Evap!$A$2:$A$15,0),C215),0))</f>
        <v>241.8</v>
      </c>
      <c r="G215" s="16" t="n">
        <f aca="false">IF(F215="","",F215/1000)</f>
        <v>0.2418</v>
      </c>
      <c r="H215" s="16" t="n">
        <f aca="false">IF(D215="","",MAX(0,MIN($B$8,IFERROR(LOOKUP(2,1/($U$24:U214&lt;&gt;""),$U$24:U214),$B$11))))</f>
        <v>149.516931834642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14.8741481839771</v>
      </c>
      <c r="J215" s="16" t="n">
        <f aca="false">IF(D215="","",$B$12)</f>
        <v>0.432</v>
      </c>
      <c r="K215" s="16" t="n">
        <f aca="false">IF(J215="","",J215*$B$15)</f>
        <v>1.119744</v>
      </c>
      <c r="L215" s="16" t="n">
        <f aca="false">IF(D215="","",H215+E215-K215-G215*I215)</f>
        <v>146.21677246417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14.6338742547406</v>
      </c>
      <c r="N215" s="16" t="n">
        <f aca="false">IF(D215="","",(I215+M215)/2)</f>
        <v>14.7540112193589</v>
      </c>
      <c r="O215" s="16" t="n">
        <f aca="false">IF(D215="","",G215*N215)</f>
        <v>3.56751991284097</v>
      </c>
      <c r="P215" s="16" t="n">
        <f aca="false">IF(D215="","",H215+E215-K215-O215)</f>
        <v>146.245821582215</v>
      </c>
      <c r="Q215" s="16" t="n">
        <f aca="false">IF(D215="","",IF(P215&gt;=0,K215,MAX(0,K215+P215)))</f>
        <v>1.119744</v>
      </c>
      <c r="R215" s="16" t="n">
        <f aca="false">IF(D215="","",Q215/$B$15)</f>
        <v>0.432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146.245821582215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90.2751985075401</v>
      </c>
      <c r="Z215" s="18" t="n">
        <f aca="false">IF(D215="","",MAX(0,IF(P215&gt;=0,P215,IF(K215+P215&gt;=0,0,P215+K215))))</f>
        <v>146.245821582215</v>
      </c>
      <c r="AA215" s="18" t="n">
        <f aca="false">IF(D215="","",IF(H215&lt;=$B$16,1,IF(H215&gt;=$B$17,$B$21,MATCH(H215,Aux_CAV!$A$2:$A$121,1))))</f>
        <v>22</v>
      </c>
      <c r="AB215" s="18" t="n">
        <f aca="false">IF(D215="","",IF(L215&lt;=$B$16,1,IF(L215&gt;=$B$17,$B$21,MATCH(L215,Aux_CAV!$A$2:$A$121,1))))</f>
        <v>22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0.793617248789235</v>
      </c>
      <c r="E216" s="16" t="n">
        <f aca="false">IF(D216="","",D216*$B$15)</f>
        <v>2.0570559088617</v>
      </c>
      <c r="F216" s="16" t="n">
        <f aca="false" t="array" ref="F216:F216">IF(D216="","",IFERROR(INDEX(Dados_Evap!$C$2:$N$15,MATCH($B$9,Dados_Evap!$A$2:$A$15,0),C216),0))</f>
        <v>189</v>
      </c>
      <c r="G216" s="16" t="n">
        <f aca="false">IF(F216="","",F216/1000)</f>
        <v>0.189</v>
      </c>
      <c r="H216" s="16" t="n">
        <f aca="false">IF(D216="","",MAX(0,MIN($B$8,IFERROR(LOOKUP(2,1/($U$24:U215&lt;&gt;""),$U$24:U215),$B$11))))</f>
        <v>146.245821582215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14.6359892270646</v>
      </c>
      <c r="J216" s="16" t="n">
        <f aca="false">IF(D216="","",$B$12)</f>
        <v>0.432</v>
      </c>
      <c r="K216" s="16" t="n">
        <f aca="false">IF(J216="","",J216*$B$15)</f>
        <v>1.119744</v>
      </c>
      <c r="L216" s="16" t="n">
        <f aca="false">IF(D216="","",H216+E216-K216-G216*I216)</f>
        <v>144.416931527162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14.5028336577909</v>
      </c>
      <c r="N216" s="16" t="n">
        <f aca="false">IF(D216="","",(I216+M216)/2)</f>
        <v>14.5694114424278</v>
      </c>
      <c r="O216" s="16" t="n">
        <f aca="false">IF(D216="","",G216*N216)</f>
        <v>2.75361876261885</v>
      </c>
      <c r="P216" s="16" t="n">
        <f aca="false">IF(D216="","",H216+E216-K216-O216)</f>
        <v>144.429514728458</v>
      </c>
      <c r="Q216" s="16" t="n">
        <f aca="false">IF(D216="","",IF(P216&gt;=0,K216,MAX(0,K216+P216)))</f>
        <v>1.119744</v>
      </c>
      <c r="R216" s="16" t="n">
        <f aca="false">IF(D216="","",Q216/$B$15)</f>
        <v>0.432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144.429514728458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89.1540214373197</v>
      </c>
      <c r="Z216" s="18" t="n">
        <f aca="false">IF(D216="","",MAX(0,IF(P216&gt;=0,P216,IF(K216+P216&gt;=0,0,P216+K216))))</f>
        <v>144.429514728458</v>
      </c>
      <c r="AA216" s="18" t="n">
        <f aca="false">IF(D216="","",IF(H216&lt;=$B$16,1,IF(H216&gt;=$B$17,$B$21,MATCH(H216,Aux_CAV!$A$2:$A$121,1))))</f>
        <v>22</v>
      </c>
      <c r="AB216" s="18" t="n">
        <f aca="false">IF(D216="","",IF(L216&lt;=$B$16,1,IF(L216&gt;=$B$17,$B$21,MATCH(L216,Aux_CAV!$A$2:$A$121,1))))</f>
        <v>22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2.03707632403239</v>
      </c>
      <c r="E217" s="16" t="n">
        <f aca="false">IF(D217="","",D217*$B$15)</f>
        <v>5.28010183189196</v>
      </c>
      <c r="F217" s="16" t="n">
        <f aca="false" t="array" ref="F217:F217">IF(D217="","",IFERROR(INDEX(Dados_Evap!$C$2:$N$15,MATCH($B$9,Dados_Evap!$A$2:$A$15,0),C217),0))</f>
        <v>136.9</v>
      </c>
      <c r="G217" s="16" t="n">
        <f aca="false">IF(F217="","",F217/1000)</f>
        <v>0.1369</v>
      </c>
      <c r="H217" s="16" t="n">
        <f aca="false">IF(D217="","",MAX(0,MIN($B$8,IFERROR(LOOKUP(2,1/($U$24:U216&lt;&gt;""),$U$24:U216),$B$11))))</f>
        <v>144.429514728458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14.5037497999763</v>
      </c>
      <c r="J217" s="16" t="n">
        <f aca="false">IF(D217="","",$B$12)</f>
        <v>0.432</v>
      </c>
      <c r="K217" s="16" t="n">
        <f aca="false">IF(J217="","",J217*$B$15)</f>
        <v>1.119744</v>
      </c>
      <c r="L217" s="16" t="n">
        <f aca="false">IF(D217="","",H217+E217-K217-G217*I217)</f>
        <v>146.604309212733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14.6620895518968</v>
      </c>
      <c r="N217" s="16" t="n">
        <f aca="false">IF(D217="","",(I217+M217)/2)</f>
        <v>14.5829196759365</v>
      </c>
      <c r="O217" s="16" t="n">
        <f aca="false">IF(D217="","",G217*N217)</f>
        <v>1.99640170363571</v>
      </c>
      <c r="P217" s="16" t="n">
        <f aca="false">IF(D217="","",H217+E217-K217-O217)</f>
        <v>146.593470856714</v>
      </c>
      <c r="Q217" s="16" t="n">
        <f aca="false">IF(D217="","",IF(P217&gt;=0,K217,MAX(0,K217+P217)))</f>
        <v>1.119744</v>
      </c>
      <c r="R217" s="16" t="n">
        <f aca="false">IF(D217="","",Q217/$B$15)</f>
        <v>0.432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146.593470856714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90.4897968251322</v>
      </c>
      <c r="Z217" s="18" t="n">
        <f aca="false">IF(D217="","",MAX(0,IF(P217&gt;=0,P217,IF(K217+P217&gt;=0,0,P217+K217))))</f>
        <v>146.593470856714</v>
      </c>
      <c r="AA217" s="18" t="n">
        <f aca="false">IF(D217="","",IF(H217&lt;=$B$16,1,IF(H217&gt;=$B$17,$B$21,MATCH(H217,Aux_CAV!$A$2:$A$121,1))))</f>
        <v>22</v>
      </c>
      <c r="AB217" s="18" t="n">
        <f aca="false">IF(D217="","",IF(L217&lt;=$B$16,1,IF(L217&gt;=$B$17,$B$21,MATCH(L217,Aux_CAV!$A$2:$A$121,1))))</f>
        <v>22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8.60998267359112</v>
      </c>
      <c r="E218" s="16" t="n">
        <f aca="false">IF(D218="","",D218*$B$15)</f>
        <v>22.3170750899482</v>
      </c>
      <c r="F218" s="16" t="n">
        <f aca="false" t="array" ref="F218:F218">IF(D218="","",IFERROR(INDEX(Dados_Evap!$C$2:$N$15,MATCH($B$9,Dados_Evap!$A$2:$A$15,0),C218),0))</f>
        <v>102.9</v>
      </c>
      <c r="G218" s="16" t="n">
        <f aca="false">IF(F218="","",F218/1000)</f>
        <v>0.1029</v>
      </c>
      <c r="H218" s="16" t="n">
        <f aca="false">IF(D218="","",MAX(0,MIN($B$8,IFERROR(LOOKUP(2,1/($U$24:U217&lt;&gt;""),$U$24:U217),$B$11))))</f>
        <v>146.593470856714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14.6613004462523</v>
      </c>
      <c r="J218" s="16" t="n">
        <f aca="false">IF(D218="","",$B$12)</f>
        <v>0.432</v>
      </c>
      <c r="K218" s="16" t="n">
        <f aca="false">IF(J218="","",J218*$B$15)</f>
        <v>1.119744</v>
      </c>
      <c r="L218" s="16" t="n">
        <f aca="false">IF(D218="","",H218+E218-K218-G218*I218)</f>
        <v>166.282154130743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16.0391135994387</v>
      </c>
      <c r="N218" s="16" t="n">
        <f aca="false">IF(D218="","",(I218+M218)/2)</f>
        <v>15.3502070228455</v>
      </c>
      <c r="O218" s="16" t="n">
        <f aca="false">IF(D218="","",G218*N218)</f>
        <v>1.5795363026508</v>
      </c>
      <c r="P218" s="16" t="n">
        <f aca="false">IF(D218="","",H218+E218-K218-O218)</f>
        <v>166.211265644012</v>
      </c>
      <c r="Q218" s="16" t="n">
        <f aca="false">IF(D218="","",IF(P218&gt;=0,K218,MAX(0,K218+P218)))</f>
        <v>1.119744</v>
      </c>
      <c r="R218" s="16" t="n">
        <f aca="false">IF(D218="","",Q218/$B$15)</f>
        <v>0.432</v>
      </c>
      <c r="S218" s="16" t="n">
        <f aca="false">IF(D218="","",MAX(0,J218-R218))</f>
        <v>0</v>
      </c>
      <c r="T218" s="16" t="n">
        <f aca="false">IF(D218="","",MAX(0,Z218-$B$8))</f>
        <v>4.21126564401149</v>
      </c>
      <c r="U218" s="16" t="n">
        <f aca="false">IF(D218="","",MAX(0,MIN($B$8,Z218)))</f>
        <v>162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100</v>
      </c>
      <c r="Z218" s="18" t="n">
        <f aca="false">IF(D218="","",MAX(0,IF(P218&gt;=0,P218,IF(K218+P218&gt;=0,0,P218+K218))))</f>
        <v>166.211265644012</v>
      </c>
      <c r="AA218" s="18" t="n">
        <f aca="false">IF(D218="","",IF(H218&lt;=$B$16,1,IF(H218&gt;=$B$17,$B$21,MATCH(H218,Aux_CAV!$A$2:$A$121,1))))</f>
        <v>22</v>
      </c>
      <c r="AB218" s="18" t="n">
        <f aca="false">IF(D218="","",IF(L218&lt;=$B$16,1,IF(L218&gt;=$B$17,$B$21,MATCH(L218,Aux_CAV!$A$2:$A$121,1))))</f>
        <v>23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15.662038002619</v>
      </c>
      <c r="E219" s="16" t="n">
        <f aca="false">IF(D219="","",D219*$B$15)</f>
        <v>40.5960025027884</v>
      </c>
      <c r="F219" s="16" t="n">
        <f aca="false" t="array" ref="F219:F219">IF(D219="","",IFERROR(INDEX(Dados_Evap!$C$2:$N$15,MATCH($B$9,Dados_Evap!$A$2:$A$15,0),C219),0))</f>
        <v>81.8</v>
      </c>
      <c r="G219" s="16" t="n">
        <f aca="false">IF(F219="","",F219/1000)</f>
        <v>0.0818</v>
      </c>
      <c r="H219" s="16" t="n">
        <f aca="false">IF(D219="","",MAX(0,MIN($B$8,IFERROR(LOOKUP(2,1/($U$24:U218&lt;&gt;""),$U$24:U218),$B$11))))</f>
        <v>162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15.783</v>
      </c>
      <c r="J219" s="16" t="n">
        <f aca="false">IF(D219="","",$B$12)</f>
        <v>0.432</v>
      </c>
      <c r="K219" s="16" t="n">
        <f aca="false">IF(J219="","",J219*$B$15)</f>
        <v>1.119744</v>
      </c>
      <c r="L219" s="16" t="n">
        <f aca="false">IF(D219="","",H219+E219-K219-G219*I219)</f>
        <v>200.185209102788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18.0668391730049</v>
      </c>
      <c r="N219" s="16" t="n">
        <f aca="false">IF(D219="","",(I219+M219)/2)</f>
        <v>16.9249195865024</v>
      </c>
      <c r="O219" s="16" t="n">
        <f aca="false">IF(D219="","",G219*N219)</f>
        <v>1.3844584221759</v>
      </c>
      <c r="P219" s="16" t="n">
        <f aca="false">IF(D219="","",H219+E219-K219-O219)</f>
        <v>200.091800080613</v>
      </c>
      <c r="Q219" s="16" t="n">
        <f aca="false">IF(D219="","",IF(P219&gt;=0,K219,MAX(0,K219+P219)))</f>
        <v>1.119744</v>
      </c>
      <c r="R219" s="16" t="n">
        <f aca="false">IF(D219="","",Q219/$B$15)</f>
        <v>0.432</v>
      </c>
      <c r="S219" s="16" t="n">
        <f aca="false">IF(D219="","",MAX(0,J219-R219))</f>
        <v>0</v>
      </c>
      <c r="T219" s="16" t="n">
        <f aca="false">IF(D219="","",MAX(0,Z219-$B$8))</f>
        <v>38.0918000806126</v>
      </c>
      <c r="U219" s="16" t="n">
        <f aca="false">IF(D219="","",MAX(0,MIN($B$8,Z219)))</f>
        <v>162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200.091800080613</v>
      </c>
      <c r="AA219" s="18" t="n">
        <f aca="false">IF(D219="","",IF(H219&lt;=$B$16,1,IF(H219&gt;=$B$17,$B$21,MATCH(H219,Aux_CAV!$A$2:$A$121,1))))</f>
        <v>23</v>
      </c>
      <c r="AB219" s="18" t="n">
        <f aca="false">IF(D219="","",IF(L219&lt;=$B$16,1,IF(L219&gt;=$B$17,$B$21,MATCH(L219,Aux_CAV!$A$2:$A$121,1))))</f>
        <v>23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10.2635109163202</v>
      </c>
      <c r="E220" s="16" t="n">
        <f aca="false">IF(D220="","",D220*$B$15)</f>
        <v>26.603020295102</v>
      </c>
      <c r="F220" s="16" t="n">
        <f aca="false" t="array" ref="F220:F220">IF(D220="","",IFERROR(INDEX(Dados_Evap!$C$2:$N$15,MATCH($B$9,Dados_Evap!$A$2:$A$15,0),C220),0))</f>
        <v>83.6</v>
      </c>
      <c r="G220" s="16" t="n">
        <f aca="false">IF(F220="","",F220/1000)</f>
        <v>0.0836</v>
      </c>
      <c r="H220" s="16" t="n">
        <f aca="false">IF(D220="","",MAX(0,MIN($B$8,IFERROR(LOOKUP(2,1/($U$24:U219&lt;&gt;""),$U$24:U219),$B$11))))</f>
        <v>162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15.783</v>
      </c>
      <c r="J220" s="16" t="n">
        <f aca="false">IF(D220="","",$B$12)</f>
        <v>0.432</v>
      </c>
      <c r="K220" s="16" t="n">
        <f aca="false">IF(J220="","",J220*$B$15)</f>
        <v>1.119744</v>
      </c>
      <c r="L220" s="16" t="n">
        <f aca="false">IF(D220="","",H220+E220-K220-G220*I220)</f>
        <v>186.163817495102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17.2282264178023</v>
      </c>
      <c r="N220" s="16" t="n">
        <f aca="false">IF(D220="","",(I220+M220)/2)</f>
        <v>16.5056132089011</v>
      </c>
      <c r="O220" s="16" t="n">
        <f aca="false">IF(D220="","",G220*N220)</f>
        <v>1.37986926426414</v>
      </c>
      <c r="P220" s="16" t="n">
        <f aca="false">IF(D220="","",H220+E220-K220-O220)</f>
        <v>186.103407030838</v>
      </c>
      <c r="Q220" s="16" t="n">
        <f aca="false">IF(D220="","",IF(P220&gt;=0,K220,MAX(0,K220+P220)))</f>
        <v>1.119744</v>
      </c>
      <c r="R220" s="16" t="n">
        <f aca="false">IF(D220="","",Q220/$B$15)</f>
        <v>0.432</v>
      </c>
      <c r="S220" s="16" t="n">
        <f aca="false">IF(D220="","",MAX(0,J220-R220))</f>
        <v>0</v>
      </c>
      <c r="T220" s="16" t="n">
        <f aca="false">IF(D220="","",MAX(0,Z220-$B$8))</f>
        <v>24.1034070308378</v>
      </c>
      <c r="U220" s="16" t="n">
        <f aca="false">IF(D220="","",MAX(0,MIN($B$8,Z220)))</f>
        <v>162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186.103407030838</v>
      </c>
      <c r="AA220" s="18" t="n">
        <f aca="false">IF(D220="","",IF(H220&lt;=$B$16,1,IF(H220&gt;=$B$17,$B$21,MATCH(H220,Aux_CAV!$A$2:$A$121,1))))</f>
        <v>23</v>
      </c>
      <c r="AB220" s="18" t="n">
        <f aca="false">IF(D220="","",IF(L220&lt;=$B$16,1,IF(L220&gt;=$B$17,$B$21,MATCH(L220,Aux_CAV!$A$2:$A$121,1))))</f>
        <v>23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2.62552501170087</v>
      </c>
      <c r="E221" s="16" t="n">
        <f aca="false">IF(D221="","",D221*$B$15)</f>
        <v>6.80536083032866</v>
      </c>
      <c r="F221" s="16" t="n">
        <f aca="false" t="array" ref="F221:F221">IF(D221="","",IFERROR(INDEX(Dados_Evap!$C$2:$N$15,MATCH($B$9,Dados_Evap!$A$2:$A$15,0),C221),0))</f>
        <v>108.2</v>
      </c>
      <c r="G221" s="16" t="n">
        <f aca="false">IF(F221="","",F221/1000)</f>
        <v>0.1082</v>
      </c>
      <c r="H221" s="16" t="n">
        <f aca="false">IF(D221="","",MAX(0,MIN($B$8,IFERROR(LOOKUP(2,1/($U$24:U220&lt;&gt;""),$U$24:U220),$B$11))))</f>
        <v>162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15.783</v>
      </c>
      <c r="J221" s="16" t="n">
        <f aca="false">IF(D221="","",$B$12)</f>
        <v>0.432</v>
      </c>
      <c r="K221" s="16" t="n">
        <f aca="false">IF(J221="","",J221*$B$15)</f>
        <v>1.119744</v>
      </c>
      <c r="L221" s="16" t="n">
        <f aca="false">IF(D221="","",H221+E221-K221-G221*I221)</f>
        <v>165.977896230329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16.0209160792997</v>
      </c>
      <c r="N221" s="16" t="n">
        <f aca="false">IF(D221="","",(I221+M221)/2)</f>
        <v>15.9019580396498</v>
      </c>
      <c r="O221" s="16" t="n">
        <f aca="false">IF(D221="","",G221*N221)</f>
        <v>1.72059185989011</v>
      </c>
      <c r="P221" s="16" t="n">
        <f aca="false">IF(D221="","",H221+E221-K221-O221)</f>
        <v>165.965024970439</v>
      </c>
      <c r="Q221" s="16" t="n">
        <f aca="false">IF(D221="","",IF(P221&gt;=0,K221,MAX(0,K221+P221)))</f>
        <v>1.119744</v>
      </c>
      <c r="R221" s="16" t="n">
        <f aca="false">IF(D221="","",Q221/$B$15)</f>
        <v>0.432</v>
      </c>
      <c r="S221" s="16" t="n">
        <f aca="false">IF(D221="","",MAX(0,J221-R221))</f>
        <v>0</v>
      </c>
      <c r="T221" s="16" t="n">
        <f aca="false">IF(D221="","",MAX(0,Z221-$B$8))</f>
        <v>3.96502497043855</v>
      </c>
      <c r="U221" s="16" t="n">
        <f aca="false">IF(D221="","",MAX(0,MIN($B$8,Z221)))</f>
        <v>162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165.965024970439</v>
      </c>
      <c r="AA221" s="18" t="n">
        <f aca="false">IF(D221="","",IF(H221&lt;=$B$16,1,IF(H221&gt;=$B$17,$B$21,MATCH(H221,Aux_CAV!$A$2:$A$121,1))))</f>
        <v>23</v>
      </c>
      <c r="AB221" s="18" t="n">
        <f aca="false">IF(D221="","",IF(L221&lt;=$B$16,1,IF(L221&gt;=$B$17,$B$21,MATCH(L221,Aux_CAV!$A$2:$A$121,1))))</f>
        <v>23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1.04032660383649</v>
      </c>
      <c r="E222" s="16" t="n">
        <f aca="false">IF(D222="","",D222*$B$15)</f>
        <v>2.69652655714418</v>
      </c>
      <c r="F222" s="16" t="n">
        <f aca="false" t="array" ref="F222:F222">IF(D222="","",IFERROR(INDEX(Dados_Evap!$C$2:$N$15,MATCH($B$9,Dados_Evap!$A$2:$A$15,0),C222),0))</f>
        <v>149</v>
      </c>
      <c r="G222" s="16" t="n">
        <f aca="false">IF(F222="","",F222/1000)</f>
        <v>0.149</v>
      </c>
      <c r="H222" s="16" t="n">
        <f aca="false">IF(D222="","",MAX(0,MIN($B$8,IFERROR(LOOKUP(2,1/($U$24:U221&lt;&gt;""),$U$24:U221),$B$11))))</f>
        <v>162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15.783</v>
      </c>
      <c r="J222" s="16" t="n">
        <f aca="false">IF(D222="","",$B$12)</f>
        <v>0.432</v>
      </c>
      <c r="K222" s="16" t="n">
        <f aca="false">IF(J222="","",J222*$B$15)</f>
        <v>1.119744</v>
      </c>
      <c r="L222" s="16" t="n">
        <f aca="false">IF(D222="","",H222+E222-K222-G222*I222)</f>
        <v>161.225115557144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15.7265831701174</v>
      </c>
      <c r="N222" s="16" t="n">
        <f aca="false">IF(D222="","",(I222+M222)/2)</f>
        <v>15.7547915850587</v>
      </c>
      <c r="O222" s="16" t="n">
        <f aca="false">IF(D222="","",G222*N222)</f>
        <v>2.34746394617375</v>
      </c>
      <c r="P222" s="16" t="n">
        <f aca="false">IF(D222="","",H222+E222-K222-O222)</f>
        <v>161.22931861097</v>
      </c>
      <c r="Q222" s="16" t="n">
        <f aca="false">IF(D222="","",IF(P222&gt;=0,K222,MAX(0,K222+P222)))</f>
        <v>1.119744</v>
      </c>
      <c r="R222" s="16" t="n">
        <f aca="false">IF(D222="","",Q222/$B$15)</f>
        <v>0.432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161.22931861097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99.5242707475126</v>
      </c>
      <c r="Z222" s="18" t="n">
        <f aca="false">IF(D222="","",MAX(0,IF(P222&gt;=0,P222,IF(K222+P222&gt;=0,0,P222+K222))))</f>
        <v>161.22931861097</v>
      </c>
      <c r="AA222" s="18" t="n">
        <f aca="false">IF(D222="","",IF(H222&lt;=$B$16,1,IF(H222&gt;=$B$17,$B$21,MATCH(H222,Aux_CAV!$A$2:$A$121,1))))</f>
        <v>23</v>
      </c>
      <c r="AB222" s="18" t="n">
        <f aca="false">IF(D222="","",IF(L222&lt;=$B$16,1,IF(L222&gt;=$B$17,$B$21,MATCH(L222,Aux_CAV!$A$2:$A$121,1))))</f>
        <v>22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0.568864068759979</v>
      </c>
      <c r="E223" s="16" t="n">
        <f aca="false">IF(D223="","",D223*$B$15)</f>
        <v>1.47449566622587</v>
      </c>
      <c r="F223" s="16" t="n">
        <f aca="false" t="array" ref="F223:F223">IF(D223="","",IFERROR(INDEX(Dados_Evap!$C$2:$N$15,MATCH($B$9,Dados_Evap!$A$2:$A$15,0),C223),0))</f>
        <v>206.8</v>
      </c>
      <c r="G223" s="16" t="n">
        <f aca="false">IF(F223="","",F223/1000)</f>
        <v>0.2068</v>
      </c>
      <c r="H223" s="16" t="n">
        <f aca="false">IF(D223="","",MAX(0,MIN($B$8,IFERROR(LOOKUP(2,1/($U$24:U222&lt;&gt;""),$U$24:U222),$B$11))))</f>
        <v>161.22931861097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15.7268891808715</v>
      </c>
      <c r="J223" s="16" t="n">
        <f aca="false">IF(D223="","",$B$12)</f>
        <v>0.432</v>
      </c>
      <c r="K223" s="16" t="n">
        <f aca="false">IF(J223="","",J223*$B$15)</f>
        <v>1.119744</v>
      </c>
      <c r="L223" s="16" t="n">
        <f aca="false">IF(D223="","",H223+E223-K223-G223*I223)</f>
        <v>158.331749594592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15.5159265531183</v>
      </c>
      <c r="N223" s="16" t="n">
        <f aca="false">IF(D223="","",(I223+M223)/2)</f>
        <v>15.6214078669949</v>
      </c>
      <c r="O223" s="16" t="n">
        <f aca="false">IF(D223="","",G223*N223)</f>
        <v>3.23050714689455</v>
      </c>
      <c r="P223" s="16" t="n">
        <f aca="false">IF(D223="","",H223+E223-K223-O223)</f>
        <v>158.353563130302</v>
      </c>
      <c r="Q223" s="16" t="n">
        <f aca="false">IF(D223="","",IF(P223&gt;=0,K223,MAX(0,K223+P223)))</f>
        <v>1.119744</v>
      </c>
      <c r="R223" s="16" t="n">
        <f aca="false">IF(D223="","",Q223/$B$15)</f>
        <v>0.432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158.353563130302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97.7491130433961</v>
      </c>
      <c r="Z223" s="18" t="n">
        <f aca="false">IF(D223="","",MAX(0,IF(P223&gt;=0,P223,IF(K223+P223&gt;=0,0,P223+K223))))</f>
        <v>158.353563130302</v>
      </c>
      <c r="AA223" s="18" t="n">
        <f aca="false">IF(D223="","",IF(H223&lt;=$B$16,1,IF(H223&gt;=$B$17,$B$21,MATCH(H223,Aux_CAV!$A$2:$A$121,1))))</f>
        <v>22</v>
      </c>
      <c r="AB223" s="18" t="n">
        <f aca="false">IF(D223="","",IF(L223&lt;=$B$16,1,IF(L223&gt;=$B$17,$B$21,MATCH(L223,Aux_CAV!$A$2:$A$121,1))))</f>
        <v>22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0.570986645953701</v>
      </c>
      <c r="E224" s="16" t="n">
        <f aca="false">IF(D224="","",D224*$B$15)</f>
        <v>1.47999738631199</v>
      </c>
      <c r="F224" s="16" t="n">
        <f aca="false" t="array" ref="F224:F224">IF(D224="","",IFERROR(INDEX(Dados_Evap!$C$2:$N$15,MATCH($B$9,Dados_Evap!$A$2:$A$15,0),C224),0))</f>
        <v>245.9</v>
      </c>
      <c r="G224" s="16" t="n">
        <f aca="false">IF(F224="","",F224/1000)</f>
        <v>0.2459</v>
      </c>
      <c r="H224" s="16" t="n">
        <f aca="false">IF(D224="","",MAX(0,MIN($B$8,IFERROR(LOOKUP(2,1/($U$24:U223&lt;&gt;""),$U$24:U223),$B$11))))</f>
        <v>158.353563130302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15.5175147260964</v>
      </c>
      <c r="J224" s="16" t="n">
        <f aca="false">IF(D224="","",$B$12)</f>
        <v>0.432</v>
      </c>
      <c r="K224" s="16" t="n">
        <f aca="false">IF(J224="","",J224*$B$15)</f>
        <v>1.119744</v>
      </c>
      <c r="L224" s="16" t="n">
        <f aca="false">IF(D224="","",H224+E224-K224-G224*I224)</f>
        <v>154.898059645467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15.2659306943612</v>
      </c>
      <c r="N224" s="16" t="n">
        <f aca="false">IF(D224="","",(I224+M224)/2)</f>
        <v>15.3917227102288</v>
      </c>
      <c r="O224" s="16" t="n">
        <f aca="false">IF(D224="","",G224*N224)</f>
        <v>3.78482461444525</v>
      </c>
      <c r="P224" s="16" t="n">
        <f aca="false">IF(D224="","",H224+E224-K224-O224)</f>
        <v>154.928991902169</v>
      </c>
      <c r="Q224" s="16" t="n">
        <f aca="false">IF(D224="","",IF(P224&gt;=0,K224,MAX(0,K224+P224)))</f>
        <v>1.119744</v>
      </c>
      <c r="R224" s="16" t="n">
        <f aca="false">IF(D224="","",Q224/$B$15)</f>
        <v>0.432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154.928991902169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95.6351801865238</v>
      </c>
      <c r="Z224" s="18" t="n">
        <f aca="false">IF(D224="","",MAX(0,IF(P224&gt;=0,P224,IF(K224+P224&gt;=0,0,P224+K224))))</f>
        <v>154.928991902169</v>
      </c>
      <c r="AA224" s="18" t="n">
        <f aca="false">IF(D224="","",IF(H224&lt;=$B$16,1,IF(H224&gt;=$B$17,$B$21,MATCH(H224,Aux_CAV!$A$2:$A$121,1))))</f>
        <v>22</v>
      </c>
      <c r="AB224" s="18" t="n">
        <f aca="false">IF(D224="","",IF(L224&lt;=$B$16,1,IF(L224&gt;=$B$17,$B$21,MATCH(L224,Aux_CAV!$A$2:$A$121,1))))</f>
        <v>22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0.562293441064269</v>
      </c>
      <c r="E225" s="16" t="n">
        <f aca="false">IF(D225="","",D225*$B$15)</f>
        <v>1.45746459923859</v>
      </c>
      <c r="F225" s="16" t="n">
        <f aca="false" t="array" ref="F225:F225">IF(D225="","",IFERROR(INDEX(Dados_Evap!$C$2:$N$15,MATCH($B$9,Dados_Evap!$A$2:$A$15,0),C225),0))</f>
        <v>282.3</v>
      </c>
      <c r="G225" s="16" t="n">
        <f aca="false">IF(F225="","",F225/1000)</f>
        <v>0.2823</v>
      </c>
      <c r="H225" s="16" t="n">
        <f aca="false">IF(D225="","",MAX(0,MIN($B$8,IFERROR(LOOKUP(2,1/($U$24:U224&lt;&gt;""),$U$24:U224),$B$11))))</f>
        <v>154.928991902169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15.2681827719197</v>
      </c>
      <c r="J225" s="16" t="n">
        <f aca="false">IF(D225="","",$B$12)</f>
        <v>0.432</v>
      </c>
      <c r="K225" s="16" t="n">
        <f aca="false">IF(J225="","",J225*$B$15)</f>
        <v>1.119744</v>
      </c>
      <c r="L225" s="16" t="n">
        <f aca="false">IF(D225="","",H225+E225-K225-G225*I225)</f>
        <v>150.956504504894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14.9789588137297</v>
      </c>
      <c r="N225" s="16" t="n">
        <f aca="false">IF(D225="","",(I225+M225)/2)</f>
        <v>15.1235707928247</v>
      </c>
      <c r="O225" s="16" t="n">
        <f aca="false">IF(D225="","",G225*N225)</f>
        <v>4.26938403481442</v>
      </c>
      <c r="P225" s="16" t="n">
        <f aca="false">IF(D225="","",H225+E225-K225-O225)</f>
        <v>150.997328466593</v>
      </c>
      <c r="Q225" s="16" t="n">
        <f aca="false">IF(D225="","",IF(P225&gt;=0,K225,MAX(0,K225+P225)))</f>
        <v>1.119744</v>
      </c>
      <c r="R225" s="16" t="n">
        <f aca="false">IF(D225="","",Q225/$B$15)</f>
        <v>0.432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150.997328466593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93.208227448514</v>
      </c>
      <c r="Z225" s="18" t="n">
        <f aca="false">IF(D225="","",MAX(0,IF(P225&gt;=0,P225,IF(K225+P225&gt;=0,0,P225+K225))))</f>
        <v>150.997328466593</v>
      </c>
      <c r="AA225" s="18" t="n">
        <f aca="false">IF(D225="","",IF(H225&lt;=$B$16,1,IF(H225&gt;=$B$17,$B$21,MATCH(H225,Aux_CAV!$A$2:$A$121,1))))</f>
        <v>22</v>
      </c>
      <c r="AB225" s="18" t="n">
        <f aca="false">IF(D225="","",IF(L225&lt;=$B$16,1,IF(L225&gt;=$B$17,$B$21,MATCH(L225,Aux_CAV!$A$2:$A$121,1))))</f>
        <v>22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0.498819472042825</v>
      </c>
      <c r="E226" s="16" t="n">
        <f aca="false">IF(D226="","",D226*$B$15)</f>
        <v>1.292940071535</v>
      </c>
      <c r="F226" s="16" t="n">
        <f aca="false" t="array" ref="F226:F226">IF(D226="","",IFERROR(INDEX(Dados_Evap!$C$2:$N$15,MATCH($B$9,Dados_Evap!$A$2:$A$15,0),C226),0))</f>
        <v>241.3</v>
      </c>
      <c r="G226" s="16" t="n">
        <f aca="false">IF(F226="","",F226/1000)</f>
        <v>0.2413</v>
      </c>
      <c r="H226" s="16" t="n">
        <f aca="false">IF(D226="","",MAX(0,MIN($B$8,IFERROR(LOOKUP(2,1/($U$24:U225&lt;&gt;""),$U$24:U225),$B$11))))</f>
        <v>150.997328466593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14.9819310743339</v>
      </c>
      <c r="J226" s="16" t="n">
        <f aca="false">IF(D226="","",$B$12)</f>
        <v>0.432</v>
      </c>
      <c r="K226" s="16" t="n">
        <f aca="false">IF(J226="","",J226*$B$15)</f>
        <v>1.119744</v>
      </c>
      <c r="L226" s="16" t="n">
        <f aca="false">IF(D226="","",H226+E226-K226-G226*I226)</f>
        <v>147.555384569891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14.7313342723515</v>
      </c>
      <c r="N226" s="16" t="n">
        <f aca="false">IF(D226="","",(I226+M226)/2)</f>
        <v>14.8566326733427</v>
      </c>
      <c r="O226" s="16" t="n">
        <f aca="false">IF(D226="","",G226*N226)</f>
        <v>3.5849054640776</v>
      </c>
      <c r="P226" s="16" t="n">
        <f aca="false">IF(D226="","",H226+E226-K226-O226)</f>
        <v>147.58561907405</v>
      </c>
      <c r="Q226" s="16" t="n">
        <f aca="false">IF(D226="","",IF(P226&gt;=0,K226,MAX(0,K226+P226)))</f>
        <v>1.119744</v>
      </c>
      <c r="R226" s="16" t="n">
        <f aca="false">IF(D226="","",Q226/$B$15)</f>
        <v>0.432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147.58561907405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91.1022339963272</v>
      </c>
      <c r="Z226" s="18" t="n">
        <f aca="false">IF(D226="","",MAX(0,IF(P226&gt;=0,P226,IF(K226+P226&gt;=0,0,P226+K226))))</f>
        <v>147.58561907405</v>
      </c>
      <c r="AA226" s="18" t="n">
        <f aca="false">IF(D226="","",IF(H226&lt;=$B$16,1,IF(H226&gt;=$B$17,$B$21,MATCH(H226,Aux_CAV!$A$2:$A$121,1))))</f>
        <v>22</v>
      </c>
      <c r="AB226" s="18" t="n">
        <f aca="false">IF(D226="","",IF(L226&lt;=$B$16,1,IF(L226&gt;=$B$17,$B$21,MATCH(L226,Aux_CAV!$A$2:$A$121,1))))</f>
        <v>22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0.422391617605491</v>
      </c>
      <c r="E227" s="16" t="n">
        <f aca="false">IF(D227="","",D227*$B$15)</f>
        <v>1.09483907283343</v>
      </c>
      <c r="F227" s="16" t="n">
        <f aca="false" t="array" ref="F227:F227">IF(D227="","",IFERROR(INDEX(Dados_Evap!$C$2:$N$15,MATCH($B$9,Dados_Evap!$A$2:$A$15,0),C227),0))</f>
        <v>241.8</v>
      </c>
      <c r="G227" s="16" t="n">
        <f aca="false">IF(F227="","",F227/1000)</f>
        <v>0.2418</v>
      </c>
      <c r="H227" s="16" t="n">
        <f aca="false">IF(D227="","",MAX(0,MIN($B$8,IFERROR(LOOKUP(2,1/($U$24:U226&lt;&gt;""),$U$24:U226),$B$11))))</f>
        <v>147.58561907405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14.7335355488044</v>
      </c>
      <c r="J227" s="16" t="n">
        <f aca="false">IF(D227="","",$B$12)</f>
        <v>0.432</v>
      </c>
      <c r="K227" s="16" t="n">
        <f aca="false">IF(J227="","",J227*$B$15)</f>
        <v>1.119744</v>
      </c>
      <c r="L227" s="16" t="n">
        <f aca="false">IF(D227="","",H227+E227-K227-G227*I227)</f>
        <v>143.998145251183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14.4723431836216</v>
      </c>
      <c r="N227" s="16" t="n">
        <f aca="false">IF(D227="","",(I227+M227)/2)</f>
        <v>14.602939366213</v>
      </c>
      <c r="O227" s="16" t="n">
        <f aca="false">IF(D227="","",G227*N227)</f>
        <v>3.5309907387503</v>
      </c>
      <c r="P227" s="16" t="n">
        <f aca="false">IF(D227="","",H227+E227-K227-O227)</f>
        <v>144.029723408133</v>
      </c>
      <c r="Q227" s="16" t="n">
        <f aca="false">IF(D227="","",IF(P227&gt;=0,K227,MAX(0,K227+P227)))</f>
        <v>1.119744</v>
      </c>
      <c r="R227" s="16" t="n">
        <f aca="false">IF(D227="","",Q227/$B$15)</f>
        <v>0.432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144.029723408133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88.9072366716872</v>
      </c>
      <c r="Z227" s="18" t="n">
        <f aca="false">IF(D227="","",MAX(0,IF(P227&gt;=0,P227,IF(K227+P227&gt;=0,0,P227+K227))))</f>
        <v>144.029723408133</v>
      </c>
      <c r="AA227" s="18" t="n">
        <f aca="false">IF(D227="","",IF(H227&lt;=$B$16,1,IF(H227&gt;=$B$17,$B$21,MATCH(H227,Aux_CAV!$A$2:$A$121,1))))</f>
        <v>22</v>
      </c>
      <c r="AB227" s="18" t="n">
        <f aca="false">IF(D227="","",IF(L227&lt;=$B$16,1,IF(L227&gt;=$B$17,$B$21,MATCH(L227,Aux_CAV!$A$2:$A$121,1))))</f>
        <v>22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0.617174265523578</v>
      </c>
      <c r="E228" s="16" t="n">
        <f aca="false">IF(D228="","",D228*$B$15)</f>
        <v>1.59971569623711</v>
      </c>
      <c r="F228" s="16" t="n">
        <f aca="false" t="array" ref="F228:F228">IF(D228="","",IFERROR(INDEX(Dados_Evap!$C$2:$N$15,MATCH($B$9,Dados_Evap!$A$2:$A$15,0),C228),0))</f>
        <v>189</v>
      </c>
      <c r="G228" s="16" t="n">
        <f aca="false">IF(F228="","",F228/1000)</f>
        <v>0.189</v>
      </c>
      <c r="H228" s="16" t="n">
        <f aca="false">IF(D228="","",MAX(0,MIN($B$8,IFERROR(LOOKUP(2,1/($U$24:U227&lt;&gt;""),$U$24:U227),$B$11))))</f>
        <v>144.029723408133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14.4746422870881</v>
      </c>
      <c r="J228" s="16" t="n">
        <f aca="false">IF(D228="","",$B$12)</f>
        <v>0.432</v>
      </c>
      <c r="K228" s="16" t="n">
        <f aca="false">IF(J228="","",J228*$B$15)</f>
        <v>1.119744</v>
      </c>
      <c r="L228" s="16" t="n">
        <f aca="false">IF(D228="","",H228+E228-K228-G228*I228)</f>
        <v>141.773987712111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14.3104094673485</v>
      </c>
      <c r="N228" s="16" t="n">
        <f aca="false">IF(D228="","",(I228+M228)/2)</f>
        <v>14.3925258772183</v>
      </c>
      <c r="O228" s="16" t="n">
        <f aca="false">IF(D228="","",G228*N228)</f>
        <v>2.72018739079426</v>
      </c>
      <c r="P228" s="16" t="n">
        <f aca="false">IF(D228="","",H228+E228-K228-O228)</f>
        <v>141.789507713576</v>
      </c>
      <c r="Q228" s="16" t="n">
        <f aca="false">IF(D228="","",IF(P228&gt;=0,K228,MAX(0,K228+P228)))</f>
        <v>1.119744</v>
      </c>
      <c r="R228" s="16" t="n">
        <f aca="false">IF(D228="","",Q228/$B$15)</f>
        <v>0.432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141.789507713576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87.5243874775161</v>
      </c>
      <c r="Z228" s="18" t="n">
        <f aca="false">IF(D228="","",MAX(0,IF(P228&gt;=0,P228,IF(K228+P228&gt;=0,0,P228+K228))))</f>
        <v>141.789507713576</v>
      </c>
      <c r="AA228" s="18" t="n">
        <f aca="false">IF(D228="","",IF(H228&lt;=$B$16,1,IF(H228&gt;=$B$17,$B$21,MATCH(H228,Aux_CAV!$A$2:$A$121,1))))</f>
        <v>22</v>
      </c>
      <c r="AB228" s="18" t="n">
        <f aca="false">IF(D228="","",IF(L228&lt;=$B$16,1,IF(L228&gt;=$B$17,$B$21,MATCH(L228,Aux_CAV!$A$2:$A$121,1))))</f>
        <v>22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1.07611414834537</v>
      </c>
      <c r="E229" s="16" t="n">
        <f aca="false">IF(D229="","",D229*$B$15)</f>
        <v>2.7892878725112</v>
      </c>
      <c r="F229" s="16" t="n">
        <f aca="false" t="array" ref="F229:F229">IF(D229="","",IFERROR(INDEX(Dados_Evap!$C$2:$N$15,MATCH($B$9,Dados_Evap!$A$2:$A$15,0),C229),0))</f>
        <v>136.9</v>
      </c>
      <c r="G229" s="16" t="n">
        <f aca="false">IF(F229="","",F229/1000)</f>
        <v>0.1369</v>
      </c>
      <c r="H229" s="16" t="n">
        <f aca="false">IF(D229="","",MAX(0,MIN($B$8,IFERROR(LOOKUP(2,1/($U$24:U228&lt;&gt;""),$U$24:U228),$B$11))))</f>
        <v>141.789507713576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14.311539428455</v>
      </c>
      <c r="J229" s="16" t="n">
        <f aca="false">IF(D229="","",$B$12)</f>
        <v>0.432</v>
      </c>
      <c r="K229" s="16" t="n">
        <f aca="false">IF(J229="","",J229*$B$15)</f>
        <v>1.119744</v>
      </c>
      <c r="L229" s="16" t="n">
        <f aca="false">IF(D229="","",H229+E229-K229-G229*I229)</f>
        <v>141.499801838332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14.2904468807464</v>
      </c>
      <c r="N229" s="16" t="n">
        <f aca="false">IF(D229="","",(I229+M229)/2)</f>
        <v>14.3009931546007</v>
      </c>
      <c r="O229" s="16" t="n">
        <f aca="false">IF(D229="","",G229*N229)</f>
        <v>1.95780596286484</v>
      </c>
      <c r="P229" s="16" t="n">
        <f aca="false">IF(D229="","",H229+E229-K229-O229)</f>
        <v>141.501245623223</v>
      </c>
      <c r="Q229" s="16" t="n">
        <f aca="false">IF(D229="","",IF(P229&gt;=0,K229,MAX(0,K229+P229)))</f>
        <v>1.119744</v>
      </c>
      <c r="R229" s="16" t="n">
        <f aca="false">IF(D229="","",Q229/$B$15)</f>
        <v>0.432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141.501245623223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87.3464479155694</v>
      </c>
      <c r="Z229" s="18" t="n">
        <f aca="false">IF(D229="","",MAX(0,IF(P229&gt;=0,P229,IF(K229+P229&gt;=0,0,P229+K229))))</f>
        <v>141.501245623223</v>
      </c>
      <c r="AA229" s="18" t="n">
        <f aca="false">IF(D229="","",IF(H229&lt;=$B$16,1,IF(H229&gt;=$B$17,$B$21,MATCH(H229,Aux_CAV!$A$2:$A$121,1))))</f>
        <v>22</v>
      </c>
      <c r="AB229" s="18" t="n">
        <f aca="false">IF(D229="","",IF(L229&lt;=$B$16,1,IF(L229&gt;=$B$17,$B$21,MATCH(L229,Aux_CAV!$A$2:$A$121,1))))</f>
        <v>22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1.92499096164143</v>
      </c>
      <c r="E230" s="16" t="n">
        <f aca="false">IF(D230="","",D230*$B$15)</f>
        <v>4.98957657257459</v>
      </c>
      <c r="F230" s="16" t="n">
        <f aca="false" t="array" ref="F230:F230">IF(D230="","",IFERROR(INDEX(Dados_Evap!$C$2:$N$15,MATCH($B$9,Dados_Evap!$A$2:$A$15,0),C230),0))</f>
        <v>102.9</v>
      </c>
      <c r="G230" s="16" t="n">
        <f aca="false">IF(F230="","",F230/1000)</f>
        <v>0.1029</v>
      </c>
      <c r="H230" s="16" t="n">
        <f aca="false">IF(D230="","",MAX(0,MIN($B$8,IFERROR(LOOKUP(2,1/($U$24:U229&lt;&gt;""),$U$24:U229),$B$11))))</f>
        <v>141.501245623223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14.2905519980543</v>
      </c>
      <c r="J230" s="16" t="n">
        <f aca="false">IF(D230="","",$B$12)</f>
        <v>0.432</v>
      </c>
      <c r="K230" s="16" t="n">
        <f aca="false">IF(J230="","",J230*$B$15)</f>
        <v>1.119744</v>
      </c>
      <c r="L230" s="16" t="n">
        <f aca="false">IF(D230="","",H230+E230-K230-G230*I230)</f>
        <v>143.900580395197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14.4652398020356</v>
      </c>
      <c r="N230" s="16" t="n">
        <f aca="false">IF(D230="","",(I230+M230)/2)</f>
        <v>14.377895900045</v>
      </c>
      <c r="O230" s="16" t="n">
        <f aca="false">IF(D230="","",G230*N230)</f>
        <v>1.47948548811463</v>
      </c>
      <c r="P230" s="16" t="n">
        <f aca="false">IF(D230="","",H230+E230-K230-O230)</f>
        <v>143.891592707682</v>
      </c>
      <c r="Q230" s="16" t="n">
        <f aca="false">IF(D230="","",IF(P230&gt;=0,K230,MAX(0,K230+P230)))</f>
        <v>1.119744</v>
      </c>
      <c r="R230" s="16" t="n">
        <f aca="false">IF(D230="","",Q230/$B$15)</f>
        <v>0.432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143.891592707682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88.8219708072114</v>
      </c>
      <c r="Z230" s="18" t="n">
        <f aca="false">IF(D230="","",MAX(0,IF(P230&gt;=0,P230,IF(K230+P230&gt;=0,0,P230+K230))))</f>
        <v>143.891592707682</v>
      </c>
      <c r="AA230" s="18" t="n">
        <f aca="false">IF(D230="","",IF(H230&lt;=$B$16,1,IF(H230&gt;=$B$17,$B$21,MATCH(H230,Aux_CAV!$A$2:$A$121,1))))</f>
        <v>22</v>
      </c>
      <c r="AB230" s="18" t="n">
        <f aca="false">IF(D230="","",IF(L230&lt;=$B$16,1,IF(L230&gt;=$B$17,$B$21,MATCH(L230,Aux_CAV!$A$2:$A$121,1))))</f>
        <v>22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8.71749432445821</v>
      </c>
      <c r="E231" s="16" t="n">
        <f aca="false">IF(D231="","",D231*$B$15)</f>
        <v>22.5957452889957</v>
      </c>
      <c r="F231" s="16" t="n">
        <f aca="false" t="array" ref="F231:F231">IF(D231="","",IFERROR(INDEX(Dados_Evap!$C$2:$N$15,MATCH($B$9,Dados_Evap!$A$2:$A$15,0),C231),0))</f>
        <v>81.8</v>
      </c>
      <c r="G231" s="16" t="n">
        <f aca="false">IF(F231="","",F231/1000)</f>
        <v>0.0818</v>
      </c>
      <c r="H231" s="16" t="n">
        <f aca="false">IF(D231="","",MAX(0,MIN($B$8,IFERROR(LOOKUP(2,1/($U$24:U230&lt;&gt;""),$U$24:U230),$B$11))))</f>
        <v>143.891592707682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14.4645854375788</v>
      </c>
      <c r="J231" s="16" t="n">
        <f aca="false">IF(D231="","",$B$12)</f>
        <v>0.432</v>
      </c>
      <c r="K231" s="16" t="n">
        <f aca="false">IF(J231="","",J231*$B$15)</f>
        <v>1.119744</v>
      </c>
      <c r="L231" s="16" t="n">
        <f aca="false">IF(D231="","",H231+E231-K231-G231*I231)</f>
        <v>164.184390907884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15.9136473800144</v>
      </c>
      <c r="N231" s="16" t="n">
        <f aca="false">IF(D231="","",(I231+M231)/2)</f>
        <v>15.1891164087966</v>
      </c>
      <c r="O231" s="16" t="n">
        <f aca="false">IF(D231="","",G231*N231)</f>
        <v>1.24246972223956</v>
      </c>
      <c r="P231" s="16" t="n">
        <f aca="false">IF(D231="","",H231+E231-K231-O231)</f>
        <v>164.125124274439</v>
      </c>
      <c r="Q231" s="16" t="n">
        <f aca="false">IF(D231="","",IF(P231&gt;=0,K231,MAX(0,K231+P231)))</f>
        <v>1.119744</v>
      </c>
      <c r="R231" s="16" t="n">
        <f aca="false">IF(D231="","",Q231/$B$15)</f>
        <v>0.432</v>
      </c>
      <c r="S231" s="16" t="n">
        <f aca="false">IF(D231="","",MAX(0,J231-R231))</f>
        <v>0</v>
      </c>
      <c r="T231" s="16" t="n">
        <f aca="false">IF(D231="","",MAX(0,Z231-$B$8))</f>
        <v>2.12512427443858</v>
      </c>
      <c r="U231" s="16" t="n">
        <f aca="false">IF(D231="","",MAX(0,MIN($B$8,Z231)))</f>
        <v>162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100</v>
      </c>
      <c r="Z231" s="18" t="n">
        <f aca="false">IF(D231="","",MAX(0,IF(P231&gt;=0,P231,IF(K231+P231&gt;=0,0,P231+K231))))</f>
        <v>164.125124274439</v>
      </c>
      <c r="AA231" s="18" t="n">
        <f aca="false">IF(D231="","",IF(H231&lt;=$B$16,1,IF(H231&gt;=$B$17,$B$21,MATCH(H231,Aux_CAV!$A$2:$A$121,1))))</f>
        <v>22</v>
      </c>
      <c r="AB231" s="18" t="n">
        <f aca="false">IF(D231="","",IF(L231&lt;=$B$16,1,IF(L231&gt;=$B$17,$B$21,MATCH(L231,Aux_CAV!$A$2:$A$121,1))))</f>
        <v>23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5.85592669263346</v>
      </c>
      <c r="E232" s="16" t="n">
        <f aca="false">IF(D232="","",D232*$B$15)</f>
        <v>15.1785619873059</v>
      </c>
      <c r="F232" s="16" t="n">
        <f aca="false" t="array" ref="F232:F232">IF(D232="","",IFERROR(INDEX(Dados_Evap!$C$2:$N$15,MATCH($B$9,Dados_Evap!$A$2:$A$15,0),C232),0))</f>
        <v>83.6</v>
      </c>
      <c r="G232" s="16" t="n">
        <f aca="false">IF(F232="","",F232/1000)</f>
        <v>0.0836</v>
      </c>
      <c r="H232" s="16" t="n">
        <f aca="false">IF(D232="","",MAX(0,MIN($B$8,IFERROR(LOOKUP(2,1/($U$24:U231&lt;&gt;""),$U$24:U231),$B$11))))</f>
        <v>162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15.783</v>
      </c>
      <c r="J232" s="16" t="n">
        <f aca="false">IF(D232="","",$B$12)</f>
        <v>0.432</v>
      </c>
      <c r="K232" s="16" t="n">
        <f aca="false">IF(J232="","",J232*$B$15)</f>
        <v>1.119744</v>
      </c>
      <c r="L232" s="16" t="n">
        <f aca="false">IF(D232="","",H232+E232-K232-G232*I232)</f>
        <v>174.739359187306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16.5449350066313</v>
      </c>
      <c r="N232" s="16" t="n">
        <f aca="false">IF(D232="","",(I232+M232)/2)</f>
        <v>16.1639675033156</v>
      </c>
      <c r="O232" s="16" t="n">
        <f aca="false">IF(D232="","",G232*N232)</f>
        <v>1.35130768327719</v>
      </c>
      <c r="P232" s="16" t="n">
        <f aca="false">IF(D232="","",H232+E232-K232-O232)</f>
        <v>174.707510304029</v>
      </c>
      <c r="Q232" s="16" t="n">
        <f aca="false">IF(D232="","",IF(P232&gt;=0,K232,MAX(0,K232+P232)))</f>
        <v>1.119744</v>
      </c>
      <c r="R232" s="16" t="n">
        <f aca="false">IF(D232="","",Q232/$B$15)</f>
        <v>0.432</v>
      </c>
      <c r="S232" s="16" t="n">
        <f aca="false">IF(D232="","",MAX(0,J232-R232))</f>
        <v>0</v>
      </c>
      <c r="T232" s="16" t="n">
        <f aca="false">IF(D232="","",MAX(0,Z232-$B$8))</f>
        <v>12.7075103040287</v>
      </c>
      <c r="U232" s="16" t="n">
        <f aca="false">IF(D232="","",MAX(0,MIN($B$8,Z232)))</f>
        <v>162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174.707510304029</v>
      </c>
      <c r="AA232" s="18" t="n">
        <f aca="false">IF(D232="","",IF(H232&lt;=$B$16,1,IF(H232&gt;=$B$17,$B$21,MATCH(H232,Aux_CAV!$A$2:$A$121,1))))</f>
        <v>23</v>
      </c>
      <c r="AB232" s="18" t="n">
        <f aca="false">IF(D232="","",IF(L232&lt;=$B$16,1,IF(L232&gt;=$B$17,$B$21,MATCH(L232,Aux_CAV!$A$2:$A$121,1))))</f>
        <v>23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1.89808671515197</v>
      </c>
      <c r="E233" s="16" t="n">
        <f aca="false">IF(D233="","",D233*$B$15)</f>
        <v>4.91984076567391</v>
      </c>
      <c r="F233" s="16" t="n">
        <f aca="false" t="array" ref="F233:F233">IF(D233="","",IFERROR(INDEX(Dados_Evap!$C$2:$N$15,MATCH($B$9,Dados_Evap!$A$2:$A$15,0),C233),0))</f>
        <v>108.2</v>
      </c>
      <c r="G233" s="16" t="n">
        <f aca="false">IF(F233="","",F233/1000)</f>
        <v>0.1082</v>
      </c>
      <c r="H233" s="16" t="n">
        <f aca="false">IF(D233="","",MAX(0,MIN($B$8,IFERROR(LOOKUP(2,1/($U$24:U232&lt;&gt;""),$U$24:U232),$B$11))))</f>
        <v>162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15.783</v>
      </c>
      <c r="J233" s="16" t="n">
        <f aca="false">IF(D233="","",$B$12)</f>
        <v>0.432</v>
      </c>
      <c r="K233" s="16" t="n">
        <f aca="false">IF(J233="","",J233*$B$15)</f>
        <v>1.119744</v>
      </c>
      <c r="L233" s="16" t="n">
        <f aca="false">IF(D233="","",H233+E233-K233-G233*I233)</f>
        <v>164.092376165674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15.9081440220994</v>
      </c>
      <c r="N233" s="16" t="n">
        <f aca="false">IF(D233="","",(I233+M233)/2)</f>
        <v>15.8455720110497</v>
      </c>
      <c r="O233" s="16" t="n">
        <f aca="false">IF(D233="","",G233*N233)</f>
        <v>1.71449089159558</v>
      </c>
      <c r="P233" s="16" t="n">
        <f aca="false">IF(D233="","",H233+E233-K233-O233)</f>
        <v>164.085605874078</v>
      </c>
      <c r="Q233" s="16" t="n">
        <f aca="false">IF(D233="","",IF(P233&gt;=0,K233,MAX(0,K233+P233)))</f>
        <v>1.119744</v>
      </c>
      <c r="R233" s="16" t="n">
        <f aca="false">IF(D233="","",Q233/$B$15)</f>
        <v>0.432</v>
      </c>
      <c r="S233" s="16" t="n">
        <f aca="false">IF(D233="","",MAX(0,J233-R233))</f>
        <v>0</v>
      </c>
      <c r="T233" s="16" t="n">
        <f aca="false">IF(D233="","",MAX(0,Z233-$B$8))</f>
        <v>2.08560587407834</v>
      </c>
      <c r="U233" s="16" t="n">
        <f aca="false">IF(D233="","",MAX(0,MIN($B$8,Z233)))</f>
        <v>162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164.085605874078</v>
      </c>
      <c r="AA233" s="18" t="n">
        <f aca="false">IF(D233="","",IF(H233&lt;=$B$16,1,IF(H233&gt;=$B$17,$B$21,MATCH(H233,Aux_CAV!$A$2:$A$121,1))))</f>
        <v>23</v>
      </c>
      <c r="AB233" s="18" t="n">
        <f aca="false">IF(D233="","",IF(L233&lt;=$B$16,1,IF(L233&gt;=$B$17,$B$21,MATCH(L233,Aux_CAV!$A$2:$A$121,1))))</f>
        <v>23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1.67088814171624</v>
      </c>
      <c r="E234" s="16" t="n">
        <f aca="false">IF(D234="","",D234*$B$15)</f>
        <v>4.33094206332849</v>
      </c>
      <c r="F234" s="16" t="n">
        <f aca="false" t="array" ref="F234:F234">IF(D234="","",IFERROR(INDEX(Dados_Evap!$C$2:$N$15,MATCH($B$9,Dados_Evap!$A$2:$A$15,0),C234),0))</f>
        <v>149</v>
      </c>
      <c r="G234" s="16" t="n">
        <f aca="false">IF(F234="","",F234/1000)</f>
        <v>0.149</v>
      </c>
      <c r="H234" s="16" t="n">
        <f aca="false">IF(D234="","",MAX(0,MIN($B$8,IFERROR(LOOKUP(2,1/($U$24:U233&lt;&gt;""),$U$24:U233),$B$11))))</f>
        <v>162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15.783</v>
      </c>
      <c r="J234" s="16" t="n">
        <f aca="false">IF(D234="","",$B$12)</f>
        <v>0.432</v>
      </c>
      <c r="K234" s="16" t="n">
        <f aca="false">IF(J234="","",J234*$B$15)</f>
        <v>1.119744</v>
      </c>
      <c r="L234" s="16" t="n">
        <f aca="false">IF(D234="","",H234+E234-K234-G234*I234)</f>
        <v>162.859531063329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15.8344081435972</v>
      </c>
      <c r="N234" s="16" t="n">
        <f aca="false">IF(D234="","",(I234+M234)/2)</f>
        <v>15.8087040717986</v>
      </c>
      <c r="O234" s="16" t="n">
        <f aca="false">IF(D234="","",G234*N234)</f>
        <v>2.35549690669799</v>
      </c>
      <c r="P234" s="16" t="n">
        <f aca="false">IF(D234="","",H234+E234-K234-O234)</f>
        <v>162.855701156631</v>
      </c>
      <c r="Q234" s="16" t="n">
        <f aca="false">IF(D234="","",IF(P234&gt;=0,K234,MAX(0,K234+P234)))</f>
        <v>1.119744</v>
      </c>
      <c r="R234" s="16" t="n">
        <f aca="false">IF(D234="","",Q234/$B$15)</f>
        <v>0.432</v>
      </c>
      <c r="S234" s="16" t="n">
        <f aca="false">IF(D234="","",MAX(0,J234-R234))</f>
        <v>0</v>
      </c>
      <c r="T234" s="16" t="n">
        <f aca="false">IF(D234="","",MAX(0,Z234-$B$8))</f>
        <v>0.855701156630516</v>
      </c>
      <c r="U234" s="16" t="n">
        <f aca="false">IF(D234="","",MAX(0,MIN($B$8,Z234)))</f>
        <v>162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100</v>
      </c>
      <c r="Z234" s="18" t="n">
        <f aca="false">IF(D234="","",MAX(0,IF(P234&gt;=0,P234,IF(K234+P234&gt;=0,0,P234+K234))))</f>
        <v>162.855701156631</v>
      </c>
      <c r="AA234" s="18" t="n">
        <f aca="false">IF(D234="","",IF(H234&lt;=$B$16,1,IF(H234&gt;=$B$17,$B$21,MATCH(H234,Aux_CAV!$A$2:$A$121,1))))</f>
        <v>23</v>
      </c>
      <c r="AB234" s="18" t="n">
        <f aca="false">IF(D234="","",IF(L234&lt;=$B$16,1,IF(L234&gt;=$B$17,$B$21,MATCH(L234,Aux_CAV!$A$2:$A$121,1))))</f>
        <v>23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0.40954713518088</v>
      </c>
      <c r="E235" s="16" t="n">
        <f aca="false">IF(D235="","",D235*$B$15)</f>
        <v>1.06154617438884</v>
      </c>
      <c r="F235" s="16" t="n">
        <f aca="false" t="array" ref="F235:F235">IF(D235="","",IFERROR(INDEX(Dados_Evap!$C$2:$N$15,MATCH($B$9,Dados_Evap!$A$2:$A$15,0),C235),0))</f>
        <v>206.8</v>
      </c>
      <c r="G235" s="16" t="n">
        <f aca="false">IF(F235="","",F235/1000)</f>
        <v>0.2068</v>
      </c>
      <c r="H235" s="16" t="n">
        <f aca="false">IF(D235="","",MAX(0,MIN($B$8,IFERROR(LOOKUP(2,1/($U$24:U234&lt;&gt;""),$U$24:U234),$B$11))))</f>
        <v>162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15.783</v>
      </c>
      <c r="J235" s="16" t="n">
        <f aca="false">IF(D235="","",$B$12)</f>
        <v>0.432</v>
      </c>
      <c r="K235" s="16" t="n">
        <f aca="false">IF(J235="","",J235*$B$15)</f>
        <v>1.119744</v>
      </c>
      <c r="L235" s="16" t="n">
        <f aca="false">IF(D235="","",H235+E235-K235-G235*I235)</f>
        <v>158.677877774389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15.5411270263207</v>
      </c>
      <c r="N235" s="16" t="n">
        <f aca="false">IF(D235="","",(I235+M235)/2)</f>
        <v>15.6620635131603</v>
      </c>
      <c r="O235" s="16" t="n">
        <f aca="false">IF(D235="","",G235*N235)</f>
        <v>3.23891473452156</v>
      </c>
      <c r="P235" s="16" t="n">
        <f aca="false">IF(D235="","",H235+E235-K235-O235)</f>
        <v>158.702887439867</v>
      </c>
      <c r="Q235" s="16" t="n">
        <f aca="false">IF(D235="","",IF(P235&gt;=0,K235,MAX(0,K235+P235)))</f>
        <v>1.119744</v>
      </c>
      <c r="R235" s="16" t="n">
        <f aca="false">IF(D235="","",Q235/$B$15)</f>
        <v>0.432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158.702887439867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97.9647453332514</v>
      </c>
      <c r="Z235" s="18" t="n">
        <f aca="false">IF(D235="","",MAX(0,IF(P235&gt;=0,P235,IF(K235+P235&gt;=0,0,P235+K235))))</f>
        <v>158.702887439867</v>
      </c>
      <c r="AA235" s="18" t="n">
        <f aca="false">IF(D235="","",IF(H235&lt;=$B$16,1,IF(H235&gt;=$B$17,$B$21,MATCH(H235,Aux_CAV!$A$2:$A$121,1))))</f>
        <v>23</v>
      </c>
      <c r="AB235" s="18" t="n">
        <f aca="false">IF(D235="","",IF(L235&lt;=$B$16,1,IF(L235&gt;=$B$17,$B$21,MATCH(L235,Aux_CAV!$A$2:$A$121,1))))</f>
        <v>22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0.492787877690202</v>
      </c>
      <c r="E236" s="16" t="n">
        <f aca="false">IF(D236="","",D236*$B$15)</f>
        <v>1.277306178973</v>
      </c>
      <c r="F236" s="16" t="n">
        <f aca="false" t="array" ref="F236:F236">IF(D236="","",IFERROR(INDEX(Dados_Evap!$C$2:$N$15,MATCH($B$9,Dados_Evap!$A$2:$A$15,0),C236),0))</f>
        <v>245.9</v>
      </c>
      <c r="G236" s="16" t="n">
        <f aca="false">IF(F236="","",F236/1000)</f>
        <v>0.2459</v>
      </c>
      <c r="H236" s="16" t="n">
        <f aca="false">IF(D236="","",MAX(0,MIN($B$8,IFERROR(LOOKUP(2,1/($U$24:U235&lt;&gt;""),$U$24:U235),$B$11))))</f>
        <v>158.702887439867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15.5429478991692</v>
      </c>
      <c r="J236" s="16" t="n">
        <f aca="false">IF(D236="","",$B$12)</f>
        <v>0.432</v>
      </c>
      <c r="K236" s="16" t="n">
        <f aca="false">IF(J236="","",J236*$B$15)</f>
        <v>1.119744</v>
      </c>
      <c r="L236" s="16" t="n">
        <f aca="false">IF(D236="","",H236+E236-K236-G236*I236)</f>
        <v>155.038438730435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15.2761512414747</v>
      </c>
      <c r="N236" s="16" t="n">
        <f aca="false">IF(D236="","",(I236+M236)/2)</f>
        <v>15.4095495703219</v>
      </c>
      <c r="O236" s="16" t="n">
        <f aca="false">IF(D236="","",G236*N236)</f>
        <v>3.78920823934216</v>
      </c>
      <c r="P236" s="16" t="n">
        <f aca="false">IF(D236="","",H236+E236-K236-O236)</f>
        <v>155.071241379498</v>
      </c>
      <c r="Q236" s="16" t="n">
        <f aca="false">IF(D236="","",IF(P236&gt;=0,K236,MAX(0,K236+P236)))</f>
        <v>1.119744</v>
      </c>
      <c r="R236" s="16" t="n">
        <f aca="false">IF(D236="","",Q236/$B$15)</f>
        <v>0.432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155.071241379498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95.722988505863</v>
      </c>
      <c r="Z236" s="18" t="n">
        <f aca="false">IF(D236="","",MAX(0,IF(P236&gt;=0,P236,IF(K236+P236&gt;=0,0,P236+K236))))</f>
        <v>155.071241379498</v>
      </c>
      <c r="AA236" s="18" t="n">
        <f aca="false">IF(D236="","",IF(H236&lt;=$B$16,1,IF(H236&gt;=$B$17,$B$21,MATCH(H236,Aux_CAV!$A$2:$A$121,1))))</f>
        <v>22</v>
      </c>
      <c r="AB236" s="18" t="n">
        <f aca="false">IF(D236="","",IF(L236&lt;=$B$16,1,IF(L236&gt;=$B$17,$B$21,MATCH(L236,Aux_CAV!$A$2:$A$121,1))))</f>
        <v>22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0.40350972550768</v>
      </c>
      <c r="E237" s="16" t="n">
        <f aca="false">IF(D237="","",D237*$B$15)</f>
        <v>1.04589720851591</v>
      </c>
      <c r="F237" s="16" t="n">
        <f aca="false" t="array" ref="F237:F237">IF(D237="","",IFERROR(INDEX(Dados_Evap!$C$2:$N$15,MATCH($B$9,Dados_Evap!$A$2:$A$15,0),C237),0))</f>
        <v>282.3</v>
      </c>
      <c r="G237" s="16" t="n">
        <f aca="false">IF(F237="","",F237/1000)</f>
        <v>0.2823</v>
      </c>
      <c r="H237" s="16" t="n">
        <f aca="false">IF(D237="","",MAX(0,MIN($B$8,IFERROR(LOOKUP(2,1/($U$24:U236&lt;&gt;""),$U$24:U236),$B$11))))</f>
        <v>155.071241379498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15.2785394962512</v>
      </c>
      <c r="J237" s="16" t="n">
        <f aca="false">IF(D237="","",$B$12)</f>
        <v>0.432</v>
      </c>
      <c r="K237" s="16" t="n">
        <f aca="false">IF(J237="","",J237*$B$15)</f>
        <v>1.119744</v>
      </c>
      <c r="L237" s="16" t="n">
        <f aca="false">IF(D237="","",H237+E237-K237-G237*I237)</f>
        <v>150.684262888222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14.9591377821987</v>
      </c>
      <c r="N237" s="16" t="n">
        <f aca="false">IF(D237="","",(I237+M237)/2)</f>
        <v>15.118838639225</v>
      </c>
      <c r="O237" s="16" t="n">
        <f aca="false">IF(D237="","",G237*N237)</f>
        <v>4.2680481478532</v>
      </c>
      <c r="P237" s="16" t="n">
        <f aca="false">IF(D237="","",H237+E237-K237-O237)</f>
        <v>150.729346440161</v>
      </c>
      <c r="Q237" s="16" t="n">
        <f aca="false">IF(D237="","",IF(P237&gt;=0,K237,MAX(0,K237+P237)))</f>
        <v>1.119744</v>
      </c>
      <c r="R237" s="16" t="n">
        <f aca="false">IF(D237="","",Q237/$B$15)</f>
        <v>0.432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150.729346440161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93.0428064445437</v>
      </c>
      <c r="Z237" s="18" t="n">
        <f aca="false">IF(D237="","",MAX(0,IF(P237&gt;=0,P237,IF(K237+P237&gt;=0,0,P237+K237))))</f>
        <v>150.729346440161</v>
      </c>
      <c r="AA237" s="18" t="n">
        <f aca="false">IF(D237="","",IF(H237&lt;=$B$16,1,IF(H237&gt;=$B$17,$B$21,MATCH(H237,Aux_CAV!$A$2:$A$121,1))))</f>
        <v>22</v>
      </c>
      <c r="AB237" s="18" t="n">
        <f aca="false">IF(D237="","",IF(L237&lt;=$B$16,1,IF(L237&gt;=$B$17,$B$21,MATCH(L237,Aux_CAV!$A$2:$A$121,1))))</f>
        <v>22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0.338960230582297</v>
      </c>
      <c r="E238" s="16" t="n">
        <f aca="false">IF(D238="","",D238*$B$15)</f>
        <v>0.878584917669314</v>
      </c>
      <c r="F238" s="16" t="n">
        <f aca="false" t="array" ref="F238:F238">IF(D238="","",IFERROR(INDEX(Dados_Evap!$C$2:$N$15,MATCH($B$9,Dados_Evap!$A$2:$A$15,0),C238),0))</f>
        <v>241.3</v>
      </c>
      <c r="G238" s="16" t="n">
        <f aca="false">IF(F238="","",F238/1000)</f>
        <v>0.2413</v>
      </c>
      <c r="H238" s="16" t="n">
        <f aca="false">IF(D238="","",MAX(0,MIN($B$8,IFERROR(LOOKUP(2,1/($U$24:U237&lt;&gt;""),$U$24:U237),$B$11))))</f>
        <v>150.729346440161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14.9624201697904</v>
      </c>
      <c r="J238" s="16" t="n">
        <f aca="false">IF(D238="","",$B$12)</f>
        <v>0.432</v>
      </c>
      <c r="K238" s="16" t="n">
        <f aca="false">IF(J238="","",J238*$B$15)</f>
        <v>1.119744</v>
      </c>
      <c r="L238" s="16" t="n">
        <f aca="false">IF(D238="","",H238+E238-K238-G238*I238)</f>
        <v>146.87775537086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14.681998282195</v>
      </c>
      <c r="N238" s="16" t="n">
        <f aca="false">IF(D238="","",(I238+M238)/2)</f>
        <v>14.8222092259927</v>
      </c>
      <c r="O238" s="16" t="n">
        <f aca="false">IF(D238="","",G238*N238)</f>
        <v>3.57659908623204</v>
      </c>
      <c r="P238" s="16" t="n">
        <f aca="false">IF(D238="","",H238+E238-K238-O238)</f>
        <v>146.911588271598</v>
      </c>
      <c r="Q238" s="16" t="n">
        <f aca="false">IF(D238="","",IF(P238&gt;=0,K238,MAX(0,K238+P238)))</f>
        <v>1.119744</v>
      </c>
      <c r="R238" s="16" t="n">
        <f aca="false">IF(D238="","",Q238/$B$15)</f>
        <v>0.432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146.911588271598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90.6861655997519</v>
      </c>
      <c r="Z238" s="18" t="n">
        <f aca="false">IF(D238="","",MAX(0,IF(P238&gt;=0,P238,IF(K238+P238&gt;=0,0,P238+K238))))</f>
        <v>146.911588271598</v>
      </c>
      <c r="AA238" s="18" t="n">
        <f aca="false">IF(D238="","",IF(H238&lt;=$B$16,1,IF(H238&gt;=$B$17,$B$21,MATCH(H238,Aux_CAV!$A$2:$A$121,1))))</f>
        <v>22</v>
      </c>
      <c r="AB238" s="18" t="n">
        <f aca="false">IF(D238="","",IF(L238&lt;=$B$16,1,IF(L238&gt;=$B$17,$B$21,MATCH(L238,Aux_CAV!$A$2:$A$121,1))))</f>
        <v>22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0.311984365886369</v>
      </c>
      <c r="E239" s="16" t="n">
        <f aca="false">IF(D239="","",D239*$B$15)</f>
        <v>0.808663476377469</v>
      </c>
      <c r="F239" s="16" t="n">
        <f aca="false" t="array" ref="F239:F239">IF(D239="","",IFERROR(INDEX(Dados_Evap!$C$2:$N$15,MATCH($B$9,Dados_Evap!$A$2:$A$15,0),C239),0))</f>
        <v>241.8</v>
      </c>
      <c r="G239" s="16" t="n">
        <f aca="false">IF(F239="","",F239/1000)</f>
        <v>0.2418</v>
      </c>
      <c r="H239" s="16" t="n">
        <f aca="false">IF(D239="","",MAX(0,MIN($B$8,IFERROR(LOOKUP(2,1/($U$24:U238&lt;&gt;""),$U$24:U238),$B$11))))</f>
        <v>146.911588271598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14.6844615462636</v>
      </c>
      <c r="J239" s="16" t="n">
        <f aca="false">IF(D239="","",$B$12)</f>
        <v>0.432</v>
      </c>
      <c r="K239" s="16" t="n">
        <f aca="false">IF(J239="","",J239*$B$15)</f>
        <v>1.119744</v>
      </c>
      <c r="L239" s="16" t="n">
        <f aca="false">IF(D239="","",H239+E239-K239-G239*I239)</f>
        <v>143.049804946089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14.403297593461</v>
      </c>
      <c r="N239" s="16" t="n">
        <f aca="false">IF(D239="","",(I239+M239)/2)</f>
        <v>14.5438795698623</v>
      </c>
      <c r="O239" s="16" t="n">
        <f aca="false">IF(D239="","",G239*N239)</f>
        <v>3.5167100799927</v>
      </c>
      <c r="P239" s="16" t="n">
        <f aca="false">IF(D239="","",H239+E239-K239-O239)</f>
        <v>143.083797667983</v>
      </c>
      <c r="Q239" s="16" t="n">
        <f aca="false">IF(D239="","",IF(P239&gt;=0,K239,MAX(0,K239+P239)))</f>
        <v>1.119744</v>
      </c>
      <c r="R239" s="16" t="n">
        <f aca="false">IF(D239="","",Q239/$B$15)</f>
        <v>0.432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143.083797667983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88.3233318938166</v>
      </c>
      <c r="Z239" s="18" t="n">
        <f aca="false">IF(D239="","",MAX(0,IF(P239&gt;=0,P239,IF(K239+P239&gt;=0,0,P239+K239))))</f>
        <v>143.083797667983</v>
      </c>
      <c r="AA239" s="18" t="n">
        <f aca="false">IF(D239="","",IF(H239&lt;=$B$16,1,IF(H239&gt;=$B$17,$B$21,MATCH(H239,Aux_CAV!$A$2:$A$121,1))))</f>
        <v>22</v>
      </c>
      <c r="AB239" s="18" t="n">
        <f aca="false">IF(D239="","",IF(L239&lt;=$B$16,1,IF(L239&gt;=$B$17,$B$21,MATCH(L239,Aux_CAV!$A$2:$A$121,1))))</f>
        <v>22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0.497361657089047</v>
      </c>
      <c r="E240" s="16" t="n">
        <f aca="false">IF(D240="","",D240*$B$15)</f>
        <v>1.28916141517481</v>
      </c>
      <c r="F240" s="16" t="n">
        <f aca="false" t="array" ref="F240:F240">IF(D240="","",IFERROR(INDEX(Dados_Evap!$C$2:$N$15,MATCH($B$9,Dados_Evap!$A$2:$A$15,0),C240),0))</f>
        <v>189</v>
      </c>
      <c r="G240" s="16" t="n">
        <f aca="false">IF(F240="","",F240/1000)</f>
        <v>0.189</v>
      </c>
      <c r="H240" s="16" t="n">
        <f aca="false">IF(D240="","",MAX(0,MIN($B$8,IFERROR(LOOKUP(2,1/($U$24:U239&lt;&gt;""),$U$24:U239),$B$11))))</f>
        <v>143.083797667983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14.405772493591</v>
      </c>
      <c r="J240" s="16" t="n">
        <f aca="false">IF(D240="","",$B$12)</f>
        <v>0.432</v>
      </c>
      <c r="K240" s="16" t="n">
        <f aca="false">IF(J240="","",J240*$B$15)</f>
        <v>1.119744</v>
      </c>
      <c r="L240" s="16" t="n">
        <f aca="false">IF(D240="","",H240+E240-K240-G240*I240)</f>
        <v>140.530524081869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14.2198769024748</v>
      </c>
      <c r="N240" s="16" t="n">
        <f aca="false">IF(D240="","",(I240+M240)/2)</f>
        <v>14.3128246980329</v>
      </c>
      <c r="O240" s="16" t="n">
        <f aca="false">IF(D240="","",G240*N240)</f>
        <v>2.70512386792822</v>
      </c>
      <c r="P240" s="16" t="n">
        <f aca="false">IF(D240="","",H240+E240-K240-O240)</f>
        <v>140.548091215229</v>
      </c>
      <c r="Q240" s="16" t="n">
        <f aca="false">IF(D240="","",IF(P240&gt;=0,K240,MAX(0,K240+P240)))</f>
        <v>1.119744</v>
      </c>
      <c r="R240" s="16" t="n">
        <f aca="false">IF(D240="","",Q240/$B$15)</f>
        <v>0.432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140.548091215229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86.7580809970552</v>
      </c>
      <c r="Z240" s="18" t="n">
        <f aca="false">IF(D240="","",MAX(0,IF(P240&gt;=0,P240,IF(K240+P240&gt;=0,0,P240+K240))))</f>
        <v>140.548091215229</v>
      </c>
      <c r="AA240" s="18" t="n">
        <f aca="false">IF(D240="","",IF(H240&lt;=$B$16,1,IF(H240&gt;=$B$17,$B$21,MATCH(H240,Aux_CAV!$A$2:$A$121,1))))</f>
        <v>22</v>
      </c>
      <c r="AB240" s="18" t="n">
        <f aca="false">IF(D240="","",IF(L240&lt;=$B$16,1,IF(L240&gt;=$B$17,$B$21,MATCH(L240,Aux_CAV!$A$2:$A$121,1))))</f>
        <v>22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0.358256864208097</v>
      </c>
      <c r="E241" s="16" t="n">
        <f aca="false">IF(D241="","",D241*$B$15)</f>
        <v>0.928601792027388</v>
      </c>
      <c r="F241" s="16" t="n">
        <f aca="false" t="array" ref="F241:F241">IF(D241="","",IFERROR(INDEX(Dados_Evap!$C$2:$N$15,MATCH($B$9,Dados_Evap!$A$2:$A$15,0),C241),0))</f>
        <v>136.9</v>
      </c>
      <c r="G241" s="16" t="n">
        <f aca="false">IF(F241="","",F241/1000)</f>
        <v>0.1369</v>
      </c>
      <c r="H241" s="16" t="n">
        <f aca="false">IF(D241="","",MAX(0,MIN($B$8,IFERROR(LOOKUP(2,1/($U$24:U240&lt;&gt;""),$U$24:U240),$B$11))))</f>
        <v>140.548091215229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14.221155908633</v>
      </c>
      <c r="J241" s="16" t="n">
        <f aca="false">IF(D241="","",$B$12)</f>
        <v>0.432</v>
      </c>
      <c r="K241" s="16" t="n">
        <f aca="false">IF(J241="","",J241*$B$15)</f>
        <v>1.119744</v>
      </c>
      <c r="L241" s="16" t="n">
        <f aca="false">IF(D241="","",H241+E241-K241-G241*I241)</f>
        <v>138.410072763365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14.0654937006784</v>
      </c>
      <c r="N241" s="16" t="n">
        <f aca="false">IF(D241="","",(I241+M241)/2)</f>
        <v>14.1433248046557</v>
      </c>
      <c r="O241" s="16" t="n">
        <f aca="false">IF(D241="","",G241*N241)</f>
        <v>1.93622116575737</v>
      </c>
      <c r="P241" s="16" t="n">
        <f aca="false">IF(D241="","",H241+E241-K241-O241)</f>
        <v>138.420727841499</v>
      </c>
      <c r="Q241" s="16" t="n">
        <f aca="false">IF(D241="","",IF(P241&gt;=0,K241,MAX(0,K241+P241)))</f>
        <v>1.119744</v>
      </c>
      <c r="R241" s="16" t="n">
        <f aca="false">IF(D241="","",Q241/$B$15)</f>
        <v>0.432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138.420727841499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85.4448937293207</v>
      </c>
      <c r="Z241" s="18" t="n">
        <f aca="false">IF(D241="","",MAX(0,IF(P241&gt;=0,P241,IF(K241+P241&gt;=0,0,P241+K241))))</f>
        <v>138.420727841499</v>
      </c>
      <c r="AA241" s="18" t="n">
        <f aca="false">IF(D241="","",IF(H241&lt;=$B$16,1,IF(H241&gt;=$B$17,$B$21,MATCH(H241,Aux_CAV!$A$2:$A$121,1))))</f>
        <v>22</v>
      </c>
      <c r="AB241" s="18" t="n">
        <f aca="false">IF(D241="","",IF(L241&lt;=$B$16,1,IF(L241&gt;=$B$17,$B$21,MATCH(L241,Aux_CAV!$A$2:$A$121,1))))</f>
        <v>22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1.32479992417137</v>
      </c>
      <c r="E242" s="16" t="n">
        <f aca="false">IF(D242="","",D242*$B$15)</f>
        <v>3.43388140345219</v>
      </c>
      <c r="F242" s="16" t="n">
        <f aca="false" t="array" ref="F242:F242">IF(D242="","",IFERROR(INDEX(Dados_Evap!$C$2:$N$15,MATCH($B$9,Dados_Evap!$A$2:$A$15,0),C242),0))</f>
        <v>102.9</v>
      </c>
      <c r="G242" s="16" t="n">
        <f aca="false">IF(F242="","",F242/1000)</f>
        <v>0.1029</v>
      </c>
      <c r="H242" s="16" t="n">
        <f aca="false">IF(D242="","",MAX(0,MIN($B$8,IFERROR(LOOKUP(2,1/($U$24:U241&lt;&gt;""),$U$24:U241),$B$11))))</f>
        <v>138.420727841499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14.066269462453</v>
      </c>
      <c r="J242" s="16" t="n">
        <f aca="false">IF(D242="","",$B$12)</f>
        <v>0.432</v>
      </c>
      <c r="K242" s="16" t="n">
        <f aca="false">IF(J242="","",J242*$B$15)</f>
        <v>1.119744</v>
      </c>
      <c r="L242" s="16" t="n">
        <f aca="false">IF(D242="","",H242+E242-K242-G242*I242)</f>
        <v>139.287446117265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14.1293724166687</v>
      </c>
      <c r="N242" s="16" t="n">
        <f aca="false">IF(D242="","",(I242+M242)/2)</f>
        <v>14.0978209395609</v>
      </c>
      <c r="O242" s="16" t="n">
        <f aca="false">IF(D242="","",G242*N242)</f>
        <v>1.45066577468081</v>
      </c>
      <c r="P242" s="16" t="n">
        <f aca="false">IF(D242="","",H242+E242-K242-O242)</f>
        <v>139.284199470271</v>
      </c>
      <c r="Q242" s="16" t="n">
        <f aca="false">IF(D242="","",IF(P242&gt;=0,K242,MAX(0,K242+P242)))</f>
        <v>1.119744</v>
      </c>
      <c r="R242" s="16" t="n">
        <f aca="false">IF(D242="","",Q242/$B$15)</f>
        <v>0.432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139.284199470271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85.9779009075746</v>
      </c>
      <c r="Z242" s="18" t="n">
        <f aca="false">IF(D242="","",MAX(0,IF(P242&gt;=0,P242,IF(K242+P242&gt;=0,0,P242+K242))))</f>
        <v>139.284199470271</v>
      </c>
      <c r="AA242" s="18" t="n">
        <f aca="false">IF(D242="","",IF(H242&lt;=$B$16,1,IF(H242&gt;=$B$17,$B$21,MATCH(H242,Aux_CAV!$A$2:$A$121,1))))</f>
        <v>22</v>
      </c>
      <c r="AB242" s="18" t="n">
        <f aca="false">IF(D242="","",IF(L242&lt;=$B$16,1,IF(L242&gt;=$B$17,$B$21,MATCH(L242,Aux_CAV!$A$2:$A$121,1))))</f>
        <v>22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2.89881960575249</v>
      </c>
      <c r="E243" s="16" t="n">
        <f aca="false">IF(D243="","",D243*$B$15)</f>
        <v>7.51374041811045</v>
      </c>
      <c r="F243" s="16" t="n">
        <f aca="false" t="array" ref="F243:F243">IF(D243="","",IFERROR(INDEX(Dados_Evap!$C$2:$N$15,MATCH($B$9,Dados_Evap!$A$2:$A$15,0),C243),0))</f>
        <v>81.8</v>
      </c>
      <c r="G243" s="16" t="n">
        <f aca="false">IF(F243="","",F243/1000)</f>
        <v>0.0818</v>
      </c>
      <c r="H243" s="16" t="n">
        <f aca="false">IF(D243="","",MAX(0,MIN($B$8,IFERROR(LOOKUP(2,1/($U$24:U242&lt;&gt;""),$U$24:U242),$B$11))))</f>
        <v>139.284199470271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14.1291360388025</v>
      </c>
      <c r="J243" s="16" t="n">
        <f aca="false">IF(D243="","",$B$12)</f>
        <v>0.432</v>
      </c>
      <c r="K243" s="16" t="n">
        <f aca="false">IF(J243="","",J243*$B$15)</f>
        <v>1.119744</v>
      </c>
      <c r="L243" s="16" t="n">
        <f aca="false">IF(D243="","",H243+E243-K243-G243*I243)</f>
        <v>144.522432560407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14.5105148467732</v>
      </c>
      <c r="N243" s="16" t="n">
        <f aca="false">IF(D243="","",(I243+M243)/2)</f>
        <v>14.3198254427879</v>
      </c>
      <c r="O243" s="16" t="n">
        <f aca="false">IF(D243="","",G243*N243)</f>
        <v>1.17136172122005</v>
      </c>
      <c r="P243" s="16" t="n">
        <f aca="false">IF(D243="","",H243+E243-K243-O243)</f>
        <v>144.506834167161</v>
      </c>
      <c r="Q243" s="16" t="n">
        <f aca="false">IF(D243="","",IF(P243&gt;=0,K243,MAX(0,K243+P243)))</f>
        <v>1.119744</v>
      </c>
      <c r="R243" s="16" t="n">
        <f aca="false">IF(D243="","",Q243/$B$15)</f>
        <v>0.432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144.506834167161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89.201749485902</v>
      </c>
      <c r="Z243" s="18" t="n">
        <f aca="false">IF(D243="","",MAX(0,IF(P243&gt;=0,P243,IF(K243+P243&gt;=0,0,P243+K243))))</f>
        <v>144.506834167161</v>
      </c>
      <c r="AA243" s="18" t="n">
        <f aca="false">IF(D243="","",IF(H243&lt;=$B$16,1,IF(H243&gt;=$B$17,$B$21,MATCH(H243,Aux_CAV!$A$2:$A$121,1))))</f>
        <v>22</v>
      </c>
      <c r="AB243" s="18" t="n">
        <f aca="false">IF(D243="","",IF(L243&lt;=$B$16,1,IF(L243&gt;=$B$17,$B$21,MATCH(L243,Aux_CAV!$A$2:$A$121,1))))</f>
        <v>22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1.52911122136573</v>
      </c>
      <c r="E244" s="16" t="n">
        <f aca="false">IF(D244="","",D244*$B$15)</f>
        <v>3.96345628577997</v>
      </c>
      <c r="F244" s="16" t="n">
        <f aca="false" t="array" ref="F244:F244">IF(D244="","",IFERROR(INDEX(Dados_Evap!$C$2:$N$15,MATCH($B$9,Dados_Evap!$A$2:$A$15,0),C244),0))</f>
        <v>83.6</v>
      </c>
      <c r="G244" s="16" t="n">
        <f aca="false">IF(F244="","",F244/1000)</f>
        <v>0.0836</v>
      </c>
      <c r="H244" s="16" t="n">
        <f aca="false">IF(D244="","",MAX(0,MIN($B$8,IFERROR(LOOKUP(2,1/($U$24:U243&lt;&gt;""),$U$24:U243),$B$11))))</f>
        <v>144.506834167161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14.5093791782147</v>
      </c>
      <c r="J244" s="16" t="n">
        <f aca="false">IF(D244="","",$B$12)</f>
        <v>0.432</v>
      </c>
      <c r="K244" s="16" t="n">
        <f aca="false">IF(J244="","",J244*$B$15)</f>
        <v>1.119744</v>
      </c>
      <c r="L244" s="16" t="n">
        <f aca="false">IF(D244="","",H244+E244-K244-G244*I244)</f>
        <v>146.137562353643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14.6281072228021</v>
      </c>
      <c r="N244" s="16" t="n">
        <f aca="false">IF(D244="","",(I244+M244)/2)</f>
        <v>14.5687432005084</v>
      </c>
      <c r="O244" s="16" t="n">
        <f aca="false">IF(D244="","",G244*N244)</f>
        <v>1.2179469315625</v>
      </c>
      <c r="P244" s="16" t="n">
        <f aca="false">IF(D244="","",H244+E244-K244-O244)</f>
        <v>146.132599521379</v>
      </c>
      <c r="Q244" s="16" t="n">
        <f aca="false">IF(D244="","",IF(P244&gt;=0,K244,MAX(0,K244+P244)))</f>
        <v>1.119744</v>
      </c>
      <c r="R244" s="16" t="n">
        <f aca="false">IF(D244="","",Q244/$B$15)</f>
        <v>0.432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146.132599521379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90.2053083465301</v>
      </c>
      <c r="Z244" s="18" t="n">
        <f aca="false">IF(D244="","",MAX(0,IF(P244&gt;=0,P244,IF(K244+P244&gt;=0,0,P244+K244))))</f>
        <v>146.132599521379</v>
      </c>
      <c r="AA244" s="18" t="n">
        <f aca="false">IF(D244="","",IF(H244&lt;=$B$16,1,IF(H244&gt;=$B$17,$B$21,MATCH(H244,Aux_CAV!$A$2:$A$121,1))))</f>
        <v>22</v>
      </c>
      <c r="AB244" s="18" t="n">
        <f aca="false">IF(D244="","",IF(L244&lt;=$B$16,1,IF(L244&gt;=$B$17,$B$21,MATCH(L244,Aux_CAV!$A$2:$A$121,1))))</f>
        <v>22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0.909491512071386</v>
      </c>
      <c r="E245" s="16" t="n">
        <f aca="false">IF(D245="","",D245*$B$15)</f>
        <v>2.35740199928903</v>
      </c>
      <c r="F245" s="16" t="n">
        <f aca="false" t="array" ref="F245:F245">IF(D245="","",IFERROR(INDEX(Dados_Evap!$C$2:$N$15,MATCH($B$9,Dados_Evap!$A$2:$A$15,0),C245),0))</f>
        <v>108.2</v>
      </c>
      <c r="G245" s="16" t="n">
        <f aca="false">IF(F245="","",F245/1000)</f>
        <v>0.1082</v>
      </c>
      <c r="H245" s="16" t="n">
        <f aca="false">IF(D245="","",MAX(0,MIN($B$8,IFERROR(LOOKUP(2,1/($U$24:U244&lt;&gt;""),$U$24:U244),$B$11))))</f>
        <v>146.132599521379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14.6277458950375</v>
      </c>
      <c r="J245" s="16" t="n">
        <f aca="false">IF(D245="","",$B$12)</f>
        <v>0.432</v>
      </c>
      <c r="K245" s="16" t="n">
        <f aca="false">IF(J245="","",J245*$B$15)</f>
        <v>1.119744</v>
      </c>
      <c r="L245" s="16" t="n">
        <f aca="false">IF(D245="","",H245+E245-K245-G245*I245)</f>
        <v>145.787535414825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14.6026228935661</v>
      </c>
      <c r="N245" s="16" t="n">
        <f aca="false">IF(D245="","",(I245+M245)/2)</f>
        <v>14.6151843943018</v>
      </c>
      <c r="O245" s="16" t="n">
        <f aca="false">IF(D245="","",G245*N245)</f>
        <v>1.58136295146345</v>
      </c>
      <c r="P245" s="16" t="n">
        <f aca="false">IF(D245="","",H245+E245-K245-O245)</f>
        <v>145.788894569204</v>
      </c>
      <c r="Q245" s="16" t="n">
        <f aca="false">IF(D245="","",IF(P245&gt;=0,K245,MAX(0,K245+P245)))</f>
        <v>1.119744</v>
      </c>
      <c r="R245" s="16" t="n">
        <f aca="false">IF(D245="","",Q245/$B$15)</f>
        <v>0.432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145.788894569204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89.9931447958052</v>
      </c>
      <c r="Z245" s="18" t="n">
        <f aca="false">IF(D245="","",MAX(0,IF(P245&gt;=0,P245,IF(K245+P245&gt;=0,0,P245+K245))))</f>
        <v>145.788894569204</v>
      </c>
      <c r="AA245" s="18" t="n">
        <f aca="false">IF(D245="","",IF(H245&lt;=$B$16,1,IF(H245&gt;=$B$17,$B$21,MATCH(H245,Aux_CAV!$A$2:$A$121,1))))</f>
        <v>22</v>
      </c>
      <c r="AB245" s="18" t="n">
        <f aca="false">IF(D245="","",IF(L245&lt;=$B$16,1,IF(L245&gt;=$B$17,$B$21,MATCH(L245,Aux_CAV!$A$2:$A$121,1))))</f>
        <v>22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0.304116731119295</v>
      </c>
      <c r="E246" s="16" t="n">
        <f aca="false">IF(D246="","",D246*$B$15)</f>
        <v>0.788270567061213</v>
      </c>
      <c r="F246" s="16" t="n">
        <f aca="false" t="array" ref="F246:F246">IF(D246="","",IFERROR(INDEX(Dados_Evap!$C$2:$N$15,MATCH($B$9,Dados_Evap!$A$2:$A$15,0),C246),0))</f>
        <v>149</v>
      </c>
      <c r="G246" s="16" t="n">
        <f aca="false">IF(F246="","",F246/1000)</f>
        <v>0.149</v>
      </c>
      <c r="H246" s="16" t="n">
        <f aca="false">IF(D246="","",MAX(0,MIN($B$8,IFERROR(LOOKUP(2,1/($U$24:U245&lt;&gt;""),$U$24:U245),$B$11))))</f>
        <v>145.788894569204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14.6027218492002</v>
      </c>
      <c r="J246" s="16" t="n">
        <f aca="false">IF(D246="","",$B$12)</f>
        <v>0.432</v>
      </c>
      <c r="K246" s="16" t="n">
        <f aca="false">IF(J246="","",J246*$B$15)</f>
        <v>1.119744</v>
      </c>
      <c r="L246" s="16" t="n">
        <f aca="false">IF(D246="","",H246+E246-K246-G246*I246)</f>
        <v>143.281615580735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14.4201749759667</v>
      </c>
      <c r="N246" s="16" t="n">
        <f aca="false">IF(D246="","",(I246+M246)/2)</f>
        <v>14.5114484125834</v>
      </c>
      <c r="O246" s="16" t="n">
        <f aca="false">IF(D246="","",G246*N246)</f>
        <v>2.16220581347493</v>
      </c>
      <c r="P246" s="16" t="n">
        <f aca="false">IF(D246="","",H246+E246-K246-O246)</f>
        <v>143.295215322791</v>
      </c>
      <c r="Q246" s="16" t="n">
        <f aca="false">IF(D246="","",IF(P246&gt;=0,K246,MAX(0,K246+P246)))</f>
        <v>1.119744</v>
      </c>
      <c r="R246" s="16" t="n">
        <f aca="false">IF(D246="","",Q246/$B$15)</f>
        <v>0.432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143.295215322791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88.4538366190066</v>
      </c>
      <c r="Z246" s="18" t="n">
        <f aca="false">IF(D246="","",MAX(0,IF(P246&gt;=0,P246,IF(K246+P246&gt;=0,0,P246+K246))))</f>
        <v>143.295215322791</v>
      </c>
      <c r="AA246" s="18" t="n">
        <f aca="false">IF(D246="","",IF(H246&lt;=$B$16,1,IF(H246&gt;=$B$17,$B$21,MATCH(H246,Aux_CAV!$A$2:$A$121,1))))</f>
        <v>22</v>
      </c>
      <c r="AB246" s="18" t="n">
        <f aca="false">IF(D246="","",IF(L246&lt;=$B$16,1,IF(L246&gt;=$B$17,$B$21,MATCH(L246,Aux_CAV!$A$2:$A$121,1))))</f>
        <v>22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0.190713509198292</v>
      </c>
      <c r="E247" s="16" t="n">
        <f aca="false">IF(D247="","",D247*$B$15)</f>
        <v>0.494329415841973</v>
      </c>
      <c r="F247" s="16" t="n">
        <f aca="false" t="array" ref="F247:F247">IF(D247="","",IFERROR(INDEX(Dados_Evap!$C$2:$N$15,MATCH($B$9,Dados_Evap!$A$2:$A$15,0),C247),0))</f>
        <v>206.8</v>
      </c>
      <c r="G247" s="16" t="n">
        <f aca="false">IF(F247="","",F247/1000)</f>
        <v>0.2068</v>
      </c>
      <c r="H247" s="16" t="n">
        <f aca="false">IF(D247="","",MAX(0,MIN($B$8,IFERROR(LOOKUP(2,1/($U$24:U246&lt;&gt;""),$U$24:U246),$B$11))))</f>
        <v>143.295215322791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14.4211651291968</v>
      </c>
      <c r="J247" s="16" t="n">
        <f aca="false">IF(D247="","",$B$12)</f>
        <v>0.432</v>
      </c>
      <c r="K247" s="16" t="n">
        <f aca="false">IF(J247="","",J247*$B$15)</f>
        <v>1.119744</v>
      </c>
      <c r="L247" s="16" t="n">
        <f aca="false">IF(D247="","",H247+E247-K247-G247*I247)</f>
        <v>139.687503789915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14.1584993218081</v>
      </c>
      <c r="N247" s="16" t="n">
        <f aca="false">IF(D247="","",(I247+M247)/2)</f>
        <v>14.2898322255024</v>
      </c>
      <c r="O247" s="16" t="n">
        <f aca="false">IF(D247="","",G247*N247)</f>
        <v>2.95513730423391</v>
      </c>
      <c r="P247" s="16" t="n">
        <f aca="false">IF(D247="","",H247+E247-K247-O247)</f>
        <v>139.714663434399</v>
      </c>
      <c r="Q247" s="16" t="n">
        <f aca="false">IF(D247="","",IF(P247&gt;=0,K247,MAX(0,K247+P247)))</f>
        <v>1.119744</v>
      </c>
      <c r="R247" s="16" t="n">
        <f aca="false">IF(D247="","",Q247/$B$15)</f>
        <v>0.432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139.714663434399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86.2436194039498</v>
      </c>
      <c r="Z247" s="18" t="n">
        <f aca="false">IF(D247="","",MAX(0,IF(P247&gt;=0,P247,IF(K247+P247&gt;=0,0,P247+K247))))</f>
        <v>139.714663434399</v>
      </c>
      <c r="AA247" s="18" t="n">
        <f aca="false">IF(D247="","",IF(H247&lt;=$B$16,1,IF(H247&gt;=$B$17,$B$21,MATCH(H247,Aux_CAV!$A$2:$A$121,1))))</f>
        <v>22</v>
      </c>
      <c r="AB247" s="18" t="n">
        <f aca="false">IF(D247="","",IF(L247&lt;=$B$16,1,IF(L247&gt;=$B$17,$B$21,MATCH(L247,Aux_CAV!$A$2:$A$121,1))))</f>
        <v>22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0.229505771558262</v>
      </c>
      <c r="E248" s="16" t="n">
        <f aca="false">IF(D248="","",D248*$B$15)</f>
        <v>0.594878959879015</v>
      </c>
      <c r="F248" s="16" t="n">
        <f aca="false" t="array" ref="F248:F248">IF(D248="","",IFERROR(INDEX(Dados_Evap!$C$2:$N$15,MATCH($B$9,Dados_Evap!$A$2:$A$15,0),C248),0))</f>
        <v>245.9</v>
      </c>
      <c r="G248" s="16" t="n">
        <f aca="false">IF(F248="","",F248/1000)</f>
        <v>0.2459</v>
      </c>
      <c r="H248" s="16" t="n">
        <f aca="false">IF(D248="","",MAX(0,MIN($B$8,IFERROR(LOOKUP(2,1/($U$24:U247&lt;&gt;""),$U$24:U247),$B$11))))</f>
        <v>139.714663434399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14.1604767276738</v>
      </c>
      <c r="J248" s="16" t="n">
        <f aca="false">IF(D248="","",$B$12)</f>
        <v>0.432</v>
      </c>
      <c r="K248" s="16" t="n">
        <f aca="false">IF(J248="","",J248*$B$15)</f>
        <v>1.119744</v>
      </c>
      <c r="L248" s="16" t="n">
        <f aca="false">IF(D248="","",H248+E248-K248-G248*I248)</f>
        <v>135.707737166943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13.8687453867401</v>
      </c>
      <c r="N248" s="16" t="n">
        <f aca="false">IF(D248="","",(I248+M248)/2)</f>
        <v>14.0146110572069</v>
      </c>
      <c r="O248" s="16" t="n">
        <f aca="false">IF(D248="","",G248*N248)</f>
        <v>3.44619285896719</v>
      </c>
      <c r="P248" s="16" t="n">
        <f aca="false">IF(D248="","",H248+E248-K248-O248)</f>
        <v>135.743605535311</v>
      </c>
      <c r="Q248" s="16" t="n">
        <f aca="false">IF(D248="","",IF(P248&gt;=0,K248,MAX(0,K248+P248)))</f>
        <v>1.119744</v>
      </c>
      <c r="R248" s="16" t="n">
        <f aca="false">IF(D248="","",Q248/$B$15)</f>
        <v>0.432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135.743605535311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83.7923490958707</v>
      </c>
      <c r="Z248" s="18" t="n">
        <f aca="false">IF(D248="","",MAX(0,IF(P248&gt;=0,P248,IF(K248+P248&gt;=0,0,P248+K248))))</f>
        <v>135.743605535311</v>
      </c>
      <c r="AA248" s="18" t="n">
        <f aca="false">IF(D248="","",IF(H248&lt;=$B$16,1,IF(H248&gt;=$B$17,$B$21,MATCH(H248,Aux_CAV!$A$2:$A$121,1))))</f>
        <v>22</v>
      </c>
      <c r="AB248" s="18" t="n">
        <f aca="false">IF(D248="","",IF(L248&lt;=$B$16,1,IF(L248&gt;=$B$17,$B$21,MATCH(L248,Aux_CAV!$A$2:$A$121,1))))</f>
        <v>22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0.274650486387682</v>
      </c>
      <c r="E249" s="16" t="n">
        <f aca="false">IF(D249="","",D249*$B$15)</f>
        <v>0.711894060716872</v>
      </c>
      <c r="F249" s="16" t="n">
        <f aca="false" t="array" ref="F249:F249">IF(D249="","",IFERROR(INDEX(Dados_Evap!$C$2:$N$15,MATCH($B$9,Dados_Evap!$A$2:$A$15,0),C249),0))</f>
        <v>282.3</v>
      </c>
      <c r="G249" s="16" t="n">
        <f aca="false">IF(F249="","",F249/1000)</f>
        <v>0.2823</v>
      </c>
      <c r="H249" s="16" t="n">
        <f aca="false">IF(D249="","",MAX(0,MIN($B$8,IFERROR(LOOKUP(2,1/($U$24:U248&lt;&gt;""),$U$24:U248),$B$11))))</f>
        <v>135.743605535311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13.8713568466229</v>
      </c>
      <c r="J249" s="16" t="n">
        <f aca="false">IF(D249="","",$B$12)</f>
        <v>0.432</v>
      </c>
      <c r="K249" s="16" t="n">
        <f aca="false">IF(J249="","",J249*$B$15)</f>
        <v>1.119744</v>
      </c>
      <c r="L249" s="16" t="n">
        <f aca="false">IF(D249="","",H249+E249-K249-G249*I249)</f>
        <v>131.419871558226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13.5565597610812</v>
      </c>
      <c r="N249" s="16" t="n">
        <f aca="false">IF(D249="","",(I249+M249)/2)</f>
        <v>13.7139583038521</v>
      </c>
      <c r="O249" s="16" t="n">
        <f aca="false">IF(D249="","",G249*N249)</f>
        <v>3.87145042917744</v>
      </c>
      <c r="P249" s="16" t="n">
        <f aca="false">IF(D249="","",H249+E249-K249-O249)</f>
        <v>131.46430516685</v>
      </c>
      <c r="Q249" s="16" t="n">
        <f aca="false">IF(D249="","",IF(P249&gt;=0,K249,MAX(0,K249+P249)))</f>
        <v>1.119744</v>
      </c>
      <c r="R249" s="16" t="n">
        <f aca="false">IF(D249="","",Q249/$B$15)</f>
        <v>0.432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131.46430516685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81.1508056585494</v>
      </c>
      <c r="Z249" s="18" t="n">
        <f aca="false">IF(D249="","",MAX(0,IF(P249&gt;=0,P249,IF(K249+P249&gt;=0,0,P249+K249))))</f>
        <v>131.46430516685</v>
      </c>
      <c r="AA249" s="18" t="n">
        <f aca="false">IF(D249="","",IF(H249&lt;=$B$16,1,IF(H249&gt;=$B$17,$B$21,MATCH(H249,Aux_CAV!$A$2:$A$121,1))))</f>
        <v>22</v>
      </c>
      <c r="AB249" s="18" t="n">
        <f aca="false">IF(D249="","",IF(L249&lt;=$B$16,1,IF(L249&gt;=$B$17,$B$21,MATCH(L249,Aux_CAV!$A$2:$A$121,1))))</f>
        <v>22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0.162440891676801</v>
      </c>
      <c r="E250" s="16" t="n">
        <f aca="false">IF(D250="","",D250*$B$15)</f>
        <v>0.421046791226268</v>
      </c>
      <c r="F250" s="16" t="n">
        <f aca="false" t="array" ref="F250:F250">IF(D250="","",IFERROR(INDEX(Dados_Evap!$C$2:$N$15,MATCH($B$9,Dados_Evap!$A$2:$A$15,0),C250),0))</f>
        <v>241.3</v>
      </c>
      <c r="G250" s="16" t="n">
        <f aca="false">IF(F250="","",F250/1000)</f>
        <v>0.2413</v>
      </c>
      <c r="H250" s="16" t="n">
        <f aca="false">IF(D250="","",MAX(0,MIN($B$8,IFERROR(LOOKUP(2,1/($U$24:U249&lt;&gt;""),$U$24:U249),$B$11))))</f>
        <v>131.46430516685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13.5597948284025</v>
      </c>
      <c r="J250" s="16" t="n">
        <f aca="false">IF(D250="","",$B$12)</f>
        <v>0.432</v>
      </c>
      <c r="K250" s="16" t="n">
        <f aca="false">IF(J250="","",J250*$B$15)</f>
        <v>1.119744</v>
      </c>
      <c r="L250" s="16" t="n">
        <f aca="false">IF(D250="","",H250+E250-K250-G250*I250)</f>
        <v>127.493629465983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13.2707027739678</v>
      </c>
      <c r="N250" s="16" t="n">
        <f aca="false">IF(D250="","",(I250+M250)/2)</f>
        <v>13.4152488011851</v>
      </c>
      <c r="O250" s="16" t="n">
        <f aca="false">IF(D250="","",G250*N250)</f>
        <v>3.23709953572598</v>
      </c>
      <c r="P250" s="16" t="n">
        <f aca="false">IF(D250="","",H250+E250-K250-O250)</f>
        <v>127.52850842235</v>
      </c>
      <c r="Q250" s="16" t="n">
        <f aca="false">IF(D250="","",IF(P250&gt;=0,K250,MAX(0,K250+P250)))</f>
        <v>1.119744</v>
      </c>
      <c r="R250" s="16" t="n">
        <f aca="false">IF(D250="","",Q250/$B$15)</f>
        <v>0.432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127.52850842235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78.7213014952779</v>
      </c>
      <c r="Z250" s="18" t="n">
        <f aca="false">IF(D250="","",MAX(0,IF(P250&gt;=0,P250,IF(K250+P250&gt;=0,0,P250+K250))))</f>
        <v>127.52850842235</v>
      </c>
      <c r="AA250" s="18" t="n">
        <f aca="false">IF(D250="","",IF(H250&lt;=$B$16,1,IF(H250&gt;=$B$17,$B$21,MATCH(H250,Aux_CAV!$A$2:$A$121,1))))</f>
        <v>22</v>
      </c>
      <c r="AB250" s="18" t="n">
        <f aca="false">IF(D250="","",IF(L250&lt;=$B$16,1,IF(L250&gt;=$B$17,$B$21,MATCH(L250,Aux_CAV!$A$2:$A$121,1))))</f>
        <v>22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0.161240981869241</v>
      </c>
      <c r="E251" s="16" t="n">
        <f aca="false">IF(D251="","",D251*$B$15)</f>
        <v>0.417936625005073</v>
      </c>
      <c r="F251" s="16" t="n">
        <f aca="false" t="array" ref="F251:F251">IF(D251="","",IFERROR(INDEX(Dados_Evap!$C$2:$N$15,MATCH($B$9,Dados_Evap!$A$2:$A$15,0),C251),0))</f>
        <v>241.8</v>
      </c>
      <c r="G251" s="16" t="n">
        <f aca="false">IF(F251="","",F251/1000)</f>
        <v>0.2418</v>
      </c>
      <c r="H251" s="16" t="n">
        <f aca="false">IF(D251="","",MAX(0,MIN($B$8,IFERROR(LOOKUP(2,1/($U$24:U250&lt;&gt;""),$U$24:U250),$B$11))))</f>
        <v>127.52850842235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13.2732421979632</v>
      </c>
      <c r="J251" s="16" t="n">
        <f aca="false">IF(D251="","",$B$12)</f>
        <v>0.432</v>
      </c>
      <c r="K251" s="16" t="n">
        <f aca="false">IF(J251="","",J251*$B$15)</f>
        <v>1.119744</v>
      </c>
      <c r="L251" s="16" t="n">
        <f aca="false">IF(D251="","",H251+E251-K251-G251*I251)</f>
        <v>123.617231083888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12.9884747461684</v>
      </c>
      <c r="N251" s="16" t="n">
        <f aca="false">IF(D251="","",(I251+M251)/2)</f>
        <v>13.1308584720658</v>
      </c>
      <c r="O251" s="16" t="n">
        <f aca="false">IF(D251="","",G251*N251)</f>
        <v>3.17504157854551</v>
      </c>
      <c r="P251" s="16" t="n">
        <f aca="false">IF(D251="","",H251+E251-K251-O251)</f>
        <v>123.65165946881</v>
      </c>
      <c r="Q251" s="16" t="n">
        <f aca="false">IF(D251="","",IF(P251&gt;=0,K251,MAX(0,K251+P251)))</f>
        <v>1.119744</v>
      </c>
      <c r="R251" s="16" t="n">
        <f aca="false">IF(D251="","",Q251/$B$15)</f>
        <v>0.432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123.65165946881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76.32818485729</v>
      </c>
      <c r="Z251" s="18" t="n">
        <f aca="false">IF(D251="","",MAX(0,IF(P251&gt;=0,P251,IF(K251+P251&gt;=0,0,P251+K251))))</f>
        <v>123.65165946881</v>
      </c>
      <c r="AA251" s="18" t="n">
        <f aca="false">IF(D251="","",IF(H251&lt;=$B$16,1,IF(H251&gt;=$B$17,$B$21,MATCH(H251,Aux_CAV!$A$2:$A$121,1))))</f>
        <v>22</v>
      </c>
      <c r="AB251" s="18" t="n">
        <f aca="false">IF(D251="","",IF(L251&lt;=$B$16,1,IF(L251&gt;=$B$17,$B$21,MATCH(L251,Aux_CAV!$A$2:$A$121,1))))</f>
        <v>22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0.221212919342476</v>
      </c>
      <c r="E252" s="16" t="n">
        <f aca="false">IF(D252="","",D252*$B$15)</f>
        <v>0.573383886935698</v>
      </c>
      <c r="F252" s="16" t="n">
        <f aca="false" t="array" ref="F252:F252">IF(D252="","",IFERROR(INDEX(Dados_Evap!$C$2:$N$15,MATCH($B$9,Dados_Evap!$A$2:$A$15,0),C252),0))</f>
        <v>189</v>
      </c>
      <c r="G252" s="16" t="n">
        <f aca="false">IF(F252="","",F252/1000)</f>
        <v>0.189</v>
      </c>
      <c r="H252" s="16" t="n">
        <f aca="false">IF(D252="","",MAX(0,MIN($B$8,IFERROR(LOOKUP(2,1/($U$24:U251&lt;&gt;""),$U$24:U251),$B$11))))</f>
        <v>123.65165946881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12.9909813655142</v>
      </c>
      <c r="J252" s="16" t="n">
        <f aca="false">IF(D252="","",$B$12)</f>
        <v>0.432</v>
      </c>
      <c r="K252" s="16" t="n">
        <f aca="false">IF(J252="","",J252*$B$15)</f>
        <v>1.119744</v>
      </c>
      <c r="L252" s="16" t="n">
        <f aca="false">IF(D252="","",H252+E252-K252-G252*I252)</f>
        <v>120.650003877663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12.7724405309252</v>
      </c>
      <c r="N252" s="16" t="n">
        <f aca="false">IF(D252="","",(I252+M252)/2)</f>
        <v>12.8817109482197</v>
      </c>
      <c r="O252" s="16" t="n">
        <f aca="false">IF(D252="","",G252*N252)</f>
        <v>2.43464336921353</v>
      </c>
      <c r="P252" s="16" t="n">
        <f aca="false">IF(D252="","",H252+E252-K252-O252)</f>
        <v>120.670655986532</v>
      </c>
      <c r="Q252" s="16" t="n">
        <f aca="false">IF(D252="","",IF(P252&gt;=0,K252,MAX(0,K252+P252)))</f>
        <v>1.119744</v>
      </c>
      <c r="R252" s="16" t="n">
        <f aca="false">IF(D252="","",Q252/$B$15)</f>
        <v>0.432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120.670655986532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74.4880592509457</v>
      </c>
      <c r="Z252" s="18" t="n">
        <f aca="false">IF(D252="","",MAX(0,IF(P252&gt;=0,P252,IF(K252+P252&gt;=0,0,P252+K252))))</f>
        <v>120.670655986532</v>
      </c>
      <c r="AA252" s="18" t="n">
        <f aca="false">IF(D252="","",IF(H252&lt;=$B$16,1,IF(H252&gt;=$B$17,$B$21,MATCH(H252,Aux_CAV!$A$2:$A$121,1))))</f>
        <v>22</v>
      </c>
      <c r="AB252" s="18" t="n">
        <f aca="false">IF(D252="","",IF(L252&lt;=$B$16,1,IF(L252&gt;=$B$17,$B$21,MATCH(L252,Aux_CAV!$A$2:$A$121,1))))</f>
        <v>22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1.12234547858583</v>
      </c>
      <c r="E253" s="16" t="n">
        <f aca="false">IF(D253="","",D253*$B$15)</f>
        <v>2.90911948049447</v>
      </c>
      <c r="F253" s="16" t="n">
        <f aca="false" t="array" ref="F253:F253">IF(D253="","",IFERROR(INDEX(Dados_Evap!$C$2:$N$15,MATCH($B$9,Dados_Evap!$A$2:$A$15,0),C253),0))</f>
        <v>136.9</v>
      </c>
      <c r="G253" s="16" t="n">
        <f aca="false">IF(F253="","",F253/1000)</f>
        <v>0.1369</v>
      </c>
      <c r="H253" s="16" t="n">
        <f aca="false">IF(D253="","",MAX(0,MIN($B$8,IFERROR(LOOKUP(2,1/($U$24:U252&lt;&gt;""),$U$24:U252),$B$11))))</f>
        <v>120.670655986532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12.7739441441717</v>
      </c>
      <c r="J253" s="16" t="n">
        <f aca="false">IF(D253="","",$B$12)</f>
        <v>0.432</v>
      </c>
      <c r="K253" s="16" t="n">
        <f aca="false">IF(J253="","",J253*$B$15)</f>
        <v>1.119744</v>
      </c>
      <c r="L253" s="16" t="n">
        <f aca="false">IF(D253="","",H253+E253-K253-G253*I253)</f>
        <v>120.711278513689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12.7769017389785</v>
      </c>
      <c r="N253" s="16" t="n">
        <f aca="false">IF(D253="","",(I253+M253)/2)</f>
        <v>12.7754229415751</v>
      </c>
      <c r="O253" s="16" t="n">
        <f aca="false">IF(D253="","",G253*N253)</f>
        <v>1.74895540070163</v>
      </c>
      <c r="P253" s="16" t="n">
        <f aca="false">IF(D253="","",H253+E253-K253-O253)</f>
        <v>120.711076066325</v>
      </c>
      <c r="Q253" s="16" t="n">
        <f aca="false">IF(D253="","",IF(P253&gt;=0,K253,MAX(0,K253+P253)))</f>
        <v>1.119744</v>
      </c>
      <c r="R253" s="16" t="n">
        <f aca="false">IF(D253="","",Q253/$B$15)</f>
        <v>0.432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120.711076066325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74.5130099174845</v>
      </c>
      <c r="Z253" s="18" t="n">
        <f aca="false">IF(D253="","",MAX(0,IF(P253&gt;=0,P253,IF(K253+P253&gt;=0,0,P253+K253))))</f>
        <v>120.711076066325</v>
      </c>
      <c r="AA253" s="18" t="n">
        <f aca="false">IF(D253="","",IF(H253&lt;=$B$16,1,IF(H253&gt;=$B$17,$B$21,MATCH(H253,Aux_CAV!$A$2:$A$121,1))))</f>
        <v>22</v>
      </c>
      <c r="AB253" s="18" t="n">
        <f aca="false">IF(D253="","",IF(L253&lt;=$B$16,1,IF(L253&gt;=$B$17,$B$21,MATCH(L253,Aux_CAV!$A$2:$A$121,1))))</f>
        <v>22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3.65923890431176</v>
      </c>
      <c r="E254" s="16" t="n">
        <f aca="false">IF(D254="","",D254*$B$15)</f>
        <v>9.48474723997608</v>
      </c>
      <c r="F254" s="16" t="n">
        <f aca="false" t="array" ref="F254:F254">IF(D254="","",IFERROR(INDEX(Dados_Evap!$C$2:$N$15,MATCH($B$9,Dados_Evap!$A$2:$A$15,0),C254),0))</f>
        <v>102.9</v>
      </c>
      <c r="G254" s="16" t="n">
        <f aca="false">IF(F254="","",F254/1000)</f>
        <v>0.1029</v>
      </c>
      <c r="H254" s="16" t="n">
        <f aca="false">IF(D254="","",MAX(0,MIN($B$8,IFERROR(LOOKUP(2,1/($U$24:U253&lt;&gt;""),$U$24:U253),$B$11))))</f>
        <v>120.711076066325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12.7768869994407</v>
      </c>
      <c r="J254" s="16" t="n">
        <f aca="false">IF(D254="","",$B$12)</f>
        <v>0.432</v>
      </c>
      <c r="K254" s="16" t="n">
        <f aca="false">IF(J254="","",J254*$B$15)</f>
        <v>1.119744</v>
      </c>
      <c r="L254" s="16" t="n">
        <f aca="false">IF(D254="","",H254+E254-K254-G254*I254)</f>
        <v>127.761337634058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13.2901937397702</v>
      </c>
      <c r="N254" s="16" t="n">
        <f aca="false">IF(D254="","",(I254+M254)/2)</f>
        <v>13.0335403696055</v>
      </c>
      <c r="O254" s="16" t="n">
        <f aca="false">IF(D254="","",G254*N254)</f>
        <v>1.3411513040324</v>
      </c>
      <c r="P254" s="16" t="n">
        <f aca="false">IF(D254="","",H254+E254-K254-O254)</f>
        <v>127.734928002269</v>
      </c>
      <c r="Q254" s="16" t="n">
        <f aca="false">IF(D254="","",IF(P254&gt;=0,K254,MAX(0,K254+P254)))</f>
        <v>1.119744</v>
      </c>
      <c r="R254" s="16" t="n">
        <f aca="false">IF(D254="","",Q254/$B$15)</f>
        <v>0.432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127.734928002269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78.8487209890546</v>
      </c>
      <c r="Z254" s="18" t="n">
        <f aca="false">IF(D254="","",MAX(0,IF(P254&gt;=0,P254,IF(K254+P254&gt;=0,0,P254+K254))))</f>
        <v>127.734928002269</v>
      </c>
      <c r="AA254" s="18" t="n">
        <f aca="false">IF(D254="","",IF(H254&lt;=$B$16,1,IF(H254&gt;=$B$17,$B$21,MATCH(H254,Aux_CAV!$A$2:$A$121,1))))</f>
        <v>22</v>
      </c>
      <c r="AB254" s="18" t="n">
        <f aca="false">IF(D254="","",IF(L254&lt;=$B$16,1,IF(L254&gt;=$B$17,$B$21,MATCH(L254,Aux_CAV!$A$2:$A$121,1))))</f>
        <v>22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6.12965538955542</v>
      </c>
      <c r="E255" s="16" t="n">
        <f aca="false">IF(D255="","",D255*$B$15)</f>
        <v>15.8880667697277</v>
      </c>
      <c r="F255" s="16" t="n">
        <f aca="false" t="array" ref="F255:F255">IF(D255="","",IFERROR(INDEX(Dados_Evap!$C$2:$N$15,MATCH($B$9,Dados_Evap!$A$2:$A$15,0),C255),0))</f>
        <v>81.8</v>
      </c>
      <c r="G255" s="16" t="n">
        <f aca="false">IF(F255="","",F255/1000)</f>
        <v>0.0818</v>
      </c>
      <c r="H255" s="16" t="n">
        <f aca="false">IF(D255="","",MAX(0,MIN($B$8,IFERROR(LOOKUP(2,1/($U$24:U254&lt;&gt;""),$U$24:U254),$B$11))))</f>
        <v>127.734928002269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13.2882709399028</v>
      </c>
      <c r="J255" s="16" t="n">
        <f aca="false">IF(D255="","",$B$12)</f>
        <v>0.432</v>
      </c>
      <c r="K255" s="16" t="n">
        <f aca="false">IF(J255="","",J255*$B$15)</f>
        <v>1.119744</v>
      </c>
      <c r="L255" s="16" t="n">
        <f aca="false">IF(D255="","",H255+E255-K255-G255*I255)</f>
        <v>141.416270209112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14.28436521301</v>
      </c>
      <c r="N255" s="16" t="n">
        <f aca="false">IF(D255="","",(I255+M255)/2)</f>
        <v>13.7863180764564</v>
      </c>
      <c r="O255" s="16" t="n">
        <f aca="false">IF(D255="","",G255*N255)</f>
        <v>1.12772081865414</v>
      </c>
      <c r="P255" s="16" t="n">
        <f aca="false">IF(D255="","",H255+E255-K255-O255)</f>
        <v>141.375529953342</v>
      </c>
      <c r="Q255" s="16" t="n">
        <f aca="false">IF(D255="","",IF(P255&gt;=0,K255,MAX(0,K255+P255)))</f>
        <v>1.119744</v>
      </c>
      <c r="R255" s="16" t="n">
        <f aca="false">IF(D255="","",Q255/$B$15)</f>
        <v>0.432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141.375529953342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87.2688456502111</v>
      </c>
      <c r="Z255" s="18" t="n">
        <f aca="false">IF(D255="","",MAX(0,IF(P255&gt;=0,P255,IF(K255+P255&gt;=0,0,P255+K255))))</f>
        <v>141.375529953342</v>
      </c>
      <c r="AA255" s="18" t="n">
        <f aca="false">IF(D255="","",IF(H255&lt;=$B$16,1,IF(H255&gt;=$B$17,$B$21,MATCH(H255,Aux_CAV!$A$2:$A$121,1))))</f>
        <v>22</v>
      </c>
      <c r="AB255" s="18" t="n">
        <f aca="false">IF(D255="","",IF(L255&lt;=$B$16,1,IF(L255&gt;=$B$17,$B$21,MATCH(L255,Aux_CAV!$A$2:$A$121,1))))</f>
        <v>22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5.30854196206876</v>
      </c>
      <c r="E256" s="16" t="n">
        <f aca="false">IF(D256="","",D256*$B$15)</f>
        <v>13.7597407656822</v>
      </c>
      <c r="F256" s="16" t="n">
        <f aca="false" t="array" ref="F256:F256">IF(D256="","",IFERROR(INDEX(Dados_Evap!$C$2:$N$15,MATCH($B$9,Dados_Evap!$A$2:$A$15,0),C256),0))</f>
        <v>83.6</v>
      </c>
      <c r="G256" s="16" t="n">
        <f aca="false">IF(F256="","",F256/1000)</f>
        <v>0.0836</v>
      </c>
      <c r="H256" s="16" t="n">
        <f aca="false">IF(D256="","",MAX(0,MIN($B$8,IFERROR(LOOKUP(2,1/($U$24:U255&lt;&gt;""),$U$24:U255),$B$11))))</f>
        <v>141.375529953342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14.2813990467638</v>
      </c>
      <c r="J256" s="16" t="n">
        <f aca="false">IF(D256="","",$B$12)</f>
        <v>0.432</v>
      </c>
      <c r="K256" s="16" t="n">
        <f aca="false">IF(J256="","",J256*$B$15)</f>
        <v>1.119744</v>
      </c>
      <c r="L256" s="16" t="n">
        <f aca="false">IF(D256="","",H256+E256-K256-G256*I256)</f>
        <v>152.821601758715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15.1147505120318</v>
      </c>
      <c r="N256" s="16" t="n">
        <f aca="false">IF(D256="","",(I256+M256)/2)</f>
        <v>14.6980747793978</v>
      </c>
      <c r="O256" s="16" t="n">
        <f aca="false">IF(D256="","",G256*N256)</f>
        <v>1.22875905155765</v>
      </c>
      <c r="P256" s="16" t="n">
        <f aca="false">IF(D256="","",H256+E256-K256-O256)</f>
        <v>152.786767667467</v>
      </c>
      <c r="Q256" s="16" t="n">
        <f aca="false">IF(D256="","",IF(P256&gt;=0,K256,MAX(0,K256+P256)))</f>
        <v>1.119744</v>
      </c>
      <c r="R256" s="16" t="n">
        <f aca="false">IF(D256="","",Q256/$B$15)</f>
        <v>0.432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152.786767667467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94.3128195478189</v>
      </c>
      <c r="Z256" s="18" t="n">
        <f aca="false">IF(D256="","",MAX(0,IF(P256&gt;=0,P256,IF(K256+P256&gt;=0,0,P256+K256))))</f>
        <v>152.786767667467</v>
      </c>
      <c r="AA256" s="18" t="n">
        <f aca="false">IF(D256="","",IF(H256&lt;=$B$16,1,IF(H256&gt;=$B$17,$B$21,MATCH(H256,Aux_CAV!$A$2:$A$121,1))))</f>
        <v>22</v>
      </c>
      <c r="AB256" s="18" t="n">
        <f aca="false">IF(D256="","",IF(L256&lt;=$B$16,1,IF(L256&gt;=$B$17,$B$21,MATCH(L256,Aux_CAV!$A$2:$A$121,1))))</f>
        <v>22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1.53775740976132</v>
      </c>
      <c r="E257" s="16" t="n">
        <f aca="false">IF(D257="","",D257*$B$15)</f>
        <v>3.98586720610134</v>
      </c>
      <c r="F257" s="16" t="n">
        <f aca="false" t="array" ref="F257:F257">IF(D257="","",IFERROR(INDEX(Dados_Evap!$C$2:$N$15,MATCH($B$9,Dados_Evap!$A$2:$A$15,0),C257),0))</f>
        <v>108.2</v>
      </c>
      <c r="G257" s="16" t="n">
        <f aca="false">IF(F257="","",F257/1000)</f>
        <v>0.1082</v>
      </c>
      <c r="H257" s="16" t="n">
        <f aca="false">IF(D257="","",MAX(0,MIN($B$8,IFERROR(LOOKUP(2,1/($U$24:U256&lt;&gt;""),$U$24:U256),$B$11))))</f>
        <v>152.786767667467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15.1122143545206</v>
      </c>
      <c r="J257" s="16" t="n">
        <f aca="false">IF(D257="","",$B$12)</f>
        <v>0.432</v>
      </c>
      <c r="K257" s="16" t="n">
        <f aca="false">IF(J257="","",J257*$B$15)</f>
        <v>1.119744</v>
      </c>
      <c r="L257" s="16" t="n">
        <f aca="false">IF(D257="","",H257+E257-K257-G257*I257)</f>
        <v>154.017749280409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15.2018381440884</v>
      </c>
      <c r="N257" s="16" t="n">
        <f aca="false">IF(D257="","",(I257+M257)/2)</f>
        <v>15.1570262493045</v>
      </c>
      <c r="O257" s="16" t="n">
        <f aca="false">IF(D257="","",G257*N257)</f>
        <v>1.63999024017475</v>
      </c>
      <c r="P257" s="16" t="n">
        <f aca="false">IF(D257="","",H257+E257-K257-O257)</f>
        <v>154.012900633393</v>
      </c>
      <c r="Q257" s="16" t="n">
        <f aca="false">IF(D257="","",IF(P257&gt;=0,K257,MAX(0,K257+P257)))</f>
        <v>1.119744</v>
      </c>
      <c r="R257" s="16" t="n">
        <f aca="false">IF(D257="","",Q257/$B$15)</f>
        <v>0.432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154.012900633393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95.0696917490082</v>
      </c>
      <c r="Z257" s="18" t="n">
        <f aca="false">IF(D257="","",MAX(0,IF(P257&gt;=0,P257,IF(K257+P257&gt;=0,0,P257+K257))))</f>
        <v>154.012900633393</v>
      </c>
      <c r="AA257" s="18" t="n">
        <f aca="false">IF(D257="","",IF(H257&lt;=$B$16,1,IF(H257&gt;=$B$17,$B$21,MATCH(H257,Aux_CAV!$A$2:$A$121,1))))</f>
        <v>22</v>
      </c>
      <c r="AB257" s="18" t="n">
        <f aca="false">IF(D257="","",IF(L257&lt;=$B$16,1,IF(L257&gt;=$B$17,$B$21,MATCH(L257,Aux_CAV!$A$2:$A$121,1))))</f>
        <v>22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1.63191001147173</v>
      </c>
      <c r="E258" s="16" t="n">
        <f aca="false">IF(D258="","",D258*$B$15)</f>
        <v>4.22991074973472</v>
      </c>
      <c r="F258" s="16" t="n">
        <f aca="false" t="array" ref="F258:F258">IF(D258="","",IFERROR(INDEX(Dados_Evap!$C$2:$N$15,MATCH($B$9,Dados_Evap!$A$2:$A$15,0),C258),0))</f>
        <v>149</v>
      </c>
      <c r="G258" s="16" t="n">
        <f aca="false">IF(F258="","",F258/1000)</f>
        <v>0.149</v>
      </c>
      <c r="H258" s="16" t="n">
        <f aca="false">IF(D258="","",MAX(0,MIN($B$8,IFERROR(LOOKUP(2,1/($U$24:U257&lt;&gt;""),$U$24:U257),$B$11))))</f>
        <v>154.012900633393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15.2014851297824</v>
      </c>
      <c r="J258" s="16" t="n">
        <f aca="false">IF(D258="","",$B$12)</f>
        <v>0.432</v>
      </c>
      <c r="K258" s="16" t="n">
        <f aca="false">IF(J258="","",J258*$B$15)</f>
        <v>1.119744</v>
      </c>
      <c r="L258" s="16" t="n">
        <f aca="false">IF(D258="","",H258+E258-K258-G258*I258)</f>
        <v>154.85804609879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15.2630174374535</v>
      </c>
      <c r="N258" s="16" t="n">
        <f aca="false">IF(D258="","",(I258+M258)/2)</f>
        <v>15.2322512836179</v>
      </c>
      <c r="O258" s="16" t="n">
        <f aca="false">IF(D258="","",G258*N258)</f>
        <v>2.26960544125907</v>
      </c>
      <c r="P258" s="16" t="n">
        <f aca="false">IF(D258="","",H258+E258-K258-O258)</f>
        <v>154.853461941869</v>
      </c>
      <c r="Q258" s="16" t="n">
        <f aca="false">IF(D258="","",IF(P258&gt;=0,K258,MAX(0,K258+P258)))</f>
        <v>1.119744</v>
      </c>
      <c r="R258" s="16" t="n">
        <f aca="false">IF(D258="","",Q258/$B$15)</f>
        <v>0.432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154.853461941869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95.5885567542401</v>
      </c>
      <c r="Z258" s="18" t="n">
        <f aca="false">IF(D258="","",MAX(0,IF(P258&gt;=0,P258,IF(K258+P258&gt;=0,0,P258+K258))))</f>
        <v>154.853461941869</v>
      </c>
      <c r="AA258" s="18" t="n">
        <f aca="false">IF(D258="","",IF(H258&lt;=$B$16,1,IF(H258&gt;=$B$17,$B$21,MATCH(H258,Aux_CAV!$A$2:$A$121,1))))</f>
        <v>22</v>
      </c>
      <c r="AB258" s="18" t="n">
        <f aca="false">IF(D258="","",IF(L258&lt;=$B$16,1,IF(L258&gt;=$B$17,$B$21,MATCH(L258,Aux_CAV!$A$2:$A$121,1))))</f>
        <v>22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0.559842883443195</v>
      </c>
      <c r="E259" s="16" t="n">
        <f aca="false">IF(D259="","",D259*$B$15)</f>
        <v>1.45111275388476</v>
      </c>
      <c r="F259" s="16" t="n">
        <f aca="false" t="array" ref="F259:F259">IF(D259="","",IFERROR(INDEX(Dados_Evap!$C$2:$N$15,MATCH($B$9,Dados_Evap!$A$2:$A$15,0),C259),0))</f>
        <v>206.8</v>
      </c>
      <c r="G259" s="16" t="n">
        <f aca="false">IF(F259="","",F259/1000)</f>
        <v>0.2068</v>
      </c>
      <c r="H259" s="16" t="n">
        <f aca="false">IF(D259="","",MAX(0,MIN($B$8,IFERROR(LOOKUP(2,1/($U$24:U258&lt;&gt;""),$U$24:U258),$B$11))))</f>
        <v>154.853461941869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15.2626836798157</v>
      </c>
      <c r="J259" s="16" t="n">
        <f aca="false">IF(D259="","",$B$12)</f>
        <v>0.432</v>
      </c>
      <c r="K259" s="16" t="n">
        <f aca="false">IF(J259="","",J259*$B$15)</f>
        <v>1.119744</v>
      </c>
      <c r="L259" s="16" t="n">
        <f aca="false">IF(D259="","",H259+E259-K259-G259*I259)</f>
        <v>152.028507710768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15.0570078997024</v>
      </c>
      <c r="N259" s="16" t="n">
        <f aca="false">IF(D259="","",(I259+M259)/2)</f>
        <v>15.159845789759</v>
      </c>
      <c r="O259" s="16" t="n">
        <f aca="false">IF(D259="","",G259*N259)</f>
        <v>3.13505610932217</v>
      </c>
      <c r="P259" s="16" t="n">
        <f aca="false">IF(D259="","",H259+E259-K259-O259)</f>
        <v>152.049774586431</v>
      </c>
      <c r="Q259" s="16" t="n">
        <f aca="false">IF(D259="","",IF(P259&gt;=0,K259,MAX(0,K259+P259)))</f>
        <v>1.119744</v>
      </c>
      <c r="R259" s="16" t="n">
        <f aca="false">IF(D259="","",Q259/$B$15)</f>
        <v>0.432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152.049774586431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93.8578855471799</v>
      </c>
      <c r="Z259" s="18" t="n">
        <f aca="false">IF(D259="","",MAX(0,IF(P259&gt;=0,P259,IF(K259+P259&gt;=0,0,P259+K259))))</f>
        <v>152.049774586431</v>
      </c>
      <c r="AA259" s="18" t="n">
        <f aca="false">IF(D259="","",IF(H259&lt;=$B$16,1,IF(H259&gt;=$B$17,$B$21,MATCH(H259,Aux_CAV!$A$2:$A$121,1))))</f>
        <v>22</v>
      </c>
      <c r="AB259" s="18" t="n">
        <f aca="false">IF(D259="","",IF(L259&lt;=$B$16,1,IF(L259&gt;=$B$17,$B$21,MATCH(L259,Aux_CAV!$A$2:$A$121,1))))</f>
        <v>22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0.428821641115275</v>
      </c>
      <c r="E260" s="16" t="n">
        <f aca="false">IF(D260="","",D260*$B$15)</f>
        <v>1.11150569377079</v>
      </c>
      <c r="F260" s="16" t="n">
        <f aca="false" t="array" ref="F260:F260">IF(D260="","",IFERROR(INDEX(Dados_Evap!$C$2:$N$15,MATCH($B$9,Dados_Evap!$A$2:$A$15,0),C260),0))</f>
        <v>245.9</v>
      </c>
      <c r="G260" s="16" t="n">
        <f aca="false">IF(F260="","",F260/1000)</f>
        <v>0.2459</v>
      </c>
      <c r="H260" s="16" t="n">
        <f aca="false">IF(D260="","",MAX(0,MIN($B$8,IFERROR(LOOKUP(2,1/($U$24:U259&lt;&gt;""),$U$24:U259),$B$11))))</f>
        <v>152.049774586431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15.0585562721307</v>
      </c>
      <c r="J260" s="16" t="n">
        <f aca="false">IF(D260="","",$B$12)</f>
        <v>0.432</v>
      </c>
      <c r="K260" s="16" t="n">
        <f aca="false">IF(J260="","",J260*$B$15)</f>
        <v>1.119744</v>
      </c>
      <c r="L260" s="16" t="n">
        <f aca="false">IF(D260="","",H260+E260-K260-G260*I260)</f>
        <v>148.338637292885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14.7883603696434</v>
      </c>
      <c r="N260" s="16" t="n">
        <f aca="false">IF(D260="","",(I260+M260)/2)</f>
        <v>14.923458320887</v>
      </c>
      <c r="O260" s="16" t="n">
        <f aca="false">IF(D260="","",G260*N260)</f>
        <v>3.66967840110612</v>
      </c>
      <c r="P260" s="16" t="n">
        <f aca="false">IF(D260="","",H260+E260-K260-O260)</f>
        <v>148.371857879096</v>
      </c>
      <c r="Q260" s="16" t="n">
        <f aca="false">IF(D260="","",IF(P260&gt;=0,K260,MAX(0,K260+P260)))</f>
        <v>1.119744</v>
      </c>
      <c r="R260" s="16" t="n">
        <f aca="false">IF(D260="","",Q260/$B$15)</f>
        <v>0.432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148.371857879096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91.5875665920347</v>
      </c>
      <c r="Z260" s="18" t="n">
        <f aca="false">IF(D260="","",MAX(0,IF(P260&gt;=0,P260,IF(K260+P260&gt;=0,0,P260+K260))))</f>
        <v>148.371857879096</v>
      </c>
      <c r="AA260" s="18" t="n">
        <f aca="false">IF(D260="","",IF(H260&lt;=$B$16,1,IF(H260&gt;=$B$17,$B$21,MATCH(H260,Aux_CAV!$A$2:$A$121,1))))</f>
        <v>22</v>
      </c>
      <c r="AB260" s="18" t="n">
        <f aca="false">IF(D260="","",IF(L260&lt;=$B$16,1,IF(L260&gt;=$B$17,$B$21,MATCH(L260,Aux_CAV!$A$2:$A$121,1))))</f>
        <v>22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0.461546915721333</v>
      </c>
      <c r="E261" s="16" t="n">
        <f aca="false">IF(D261="","",D261*$B$15)</f>
        <v>1.1963296055497</v>
      </c>
      <c r="F261" s="16" t="n">
        <f aca="false" t="array" ref="F261:F261">IF(D261="","",IFERROR(INDEX(Dados_Evap!$C$2:$N$15,MATCH($B$9,Dados_Evap!$A$2:$A$15,0),C261),0))</f>
        <v>282.3</v>
      </c>
      <c r="G261" s="16" t="n">
        <f aca="false">IF(F261="","",F261/1000)</f>
        <v>0.2823</v>
      </c>
      <c r="H261" s="16" t="n">
        <f aca="false">IF(D261="","",MAX(0,MIN($B$8,IFERROR(LOOKUP(2,1/($U$24:U260&lt;&gt;""),$U$24:U260),$B$11))))</f>
        <v>148.371857879096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14.7907790530718</v>
      </c>
      <c r="J261" s="16" t="n">
        <f aca="false">IF(D261="","",$B$12)</f>
        <v>0.432</v>
      </c>
      <c r="K261" s="16" t="n">
        <f aca="false">IF(J261="","",J261*$B$15)</f>
        <v>1.119744</v>
      </c>
      <c r="L261" s="16" t="n">
        <f aca="false">IF(D261="","",H261+E261-K261-G261*I261)</f>
        <v>144.273006557964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14.492354946316</v>
      </c>
      <c r="N261" s="16" t="n">
        <f aca="false">IF(D261="","",(I261+M261)/2)</f>
        <v>14.6415669996939</v>
      </c>
      <c r="O261" s="16" t="n">
        <f aca="false">IF(D261="","",G261*N261)</f>
        <v>4.13331436401358</v>
      </c>
      <c r="P261" s="16" t="n">
        <f aca="false">IF(D261="","",H261+E261-K261-O261)</f>
        <v>144.315129120632</v>
      </c>
      <c r="Q261" s="16" t="n">
        <f aca="false">IF(D261="","",IF(P261&gt;=0,K261,MAX(0,K261+P261)))</f>
        <v>1.119744</v>
      </c>
      <c r="R261" s="16" t="n">
        <f aca="false">IF(D261="","",Q261/$B$15)</f>
        <v>0.432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144.315129120632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89.0834130374273</v>
      </c>
      <c r="Z261" s="18" t="n">
        <f aca="false">IF(D261="","",MAX(0,IF(P261&gt;=0,P261,IF(K261+P261&gt;=0,0,P261+K261))))</f>
        <v>144.315129120632</v>
      </c>
      <c r="AA261" s="18" t="n">
        <f aca="false">IF(D261="","",IF(H261&lt;=$B$16,1,IF(H261&gt;=$B$17,$B$21,MATCH(H261,Aux_CAV!$A$2:$A$121,1))))</f>
        <v>22</v>
      </c>
      <c r="AB261" s="18" t="n">
        <f aca="false">IF(D261="","",IF(L261&lt;=$B$16,1,IF(L261&gt;=$B$17,$B$21,MATCH(L261,Aux_CAV!$A$2:$A$121,1))))</f>
        <v>22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0.313420693329654</v>
      </c>
      <c r="E262" s="16" t="n">
        <f aca="false">IF(D262="","",D262*$B$15)</f>
        <v>0.812386437110463</v>
      </c>
      <c r="F262" s="16" t="n">
        <f aca="false" t="array" ref="F262:F262">IF(D262="","",IFERROR(INDEX(Dados_Evap!$C$2:$N$15,MATCH($B$9,Dados_Evap!$A$2:$A$15,0),C262),0))</f>
        <v>241.3</v>
      </c>
      <c r="G262" s="16" t="n">
        <f aca="false">IF(F262="","",F262/1000)</f>
        <v>0.2413</v>
      </c>
      <c r="H262" s="16" t="n">
        <f aca="false">IF(D262="","",MAX(0,MIN($B$8,IFERROR(LOOKUP(2,1/($U$24:U261&lt;&gt;""),$U$24:U261),$B$11))))</f>
        <v>144.315129120632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14.4954217538564</v>
      </c>
      <c r="J262" s="16" t="n">
        <f aca="false">IF(D262="","",$B$12)</f>
        <v>0.432</v>
      </c>
      <c r="K262" s="16" t="n">
        <f aca="false">IF(J262="","",J262*$B$15)</f>
        <v>1.119744</v>
      </c>
      <c r="L262" s="16" t="n">
        <f aca="false">IF(D262="","",H262+E262-K262-G262*I262)</f>
        <v>140.510026288537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14.2183845244434</v>
      </c>
      <c r="N262" s="16" t="n">
        <f aca="false">IF(D262="","",(I262+M262)/2)</f>
        <v>14.3569031391499</v>
      </c>
      <c r="O262" s="16" t="n">
        <f aca="false">IF(D262="","",G262*N262)</f>
        <v>3.46432072747687</v>
      </c>
      <c r="P262" s="16" t="n">
        <f aca="false">IF(D262="","",H262+E262-K262-O262)</f>
        <v>140.543450830266</v>
      </c>
      <c r="Q262" s="16" t="n">
        <f aca="false">IF(D262="","",IF(P262&gt;=0,K262,MAX(0,K262+P262)))</f>
        <v>1.119744</v>
      </c>
      <c r="R262" s="16" t="n">
        <f aca="false">IF(D262="","",Q262/$B$15)</f>
        <v>0.432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140.543450830266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86.7552165618925</v>
      </c>
      <c r="Z262" s="18" t="n">
        <f aca="false">IF(D262="","",MAX(0,IF(P262&gt;=0,P262,IF(K262+P262&gt;=0,0,P262+K262))))</f>
        <v>140.543450830266</v>
      </c>
      <c r="AA262" s="18" t="n">
        <f aca="false">IF(D262="","",IF(H262&lt;=$B$16,1,IF(H262&gt;=$B$17,$B$21,MATCH(H262,Aux_CAV!$A$2:$A$121,1))))</f>
        <v>22</v>
      </c>
      <c r="AB262" s="18" t="n">
        <f aca="false">IF(D262="","",IF(L262&lt;=$B$16,1,IF(L262&gt;=$B$17,$B$21,MATCH(L262,Aux_CAV!$A$2:$A$121,1))))</f>
        <v>22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0.428000656641784</v>
      </c>
      <c r="E263" s="16" t="n">
        <f aca="false">IF(D263="","",D263*$B$15)</f>
        <v>1.1093777020155</v>
      </c>
      <c r="F263" s="16" t="n">
        <f aca="false" t="array" ref="F263:F263">IF(D263="","",IFERROR(INDEX(Dados_Evap!$C$2:$N$15,MATCH($B$9,Dados_Evap!$A$2:$A$15,0),C263),0))</f>
        <v>241.8</v>
      </c>
      <c r="G263" s="16" t="n">
        <f aca="false">IF(F263="","",F263/1000)</f>
        <v>0.2418</v>
      </c>
      <c r="H263" s="16" t="n">
        <f aca="false">IF(D263="","",MAX(0,MIN($B$8,IFERROR(LOOKUP(2,1/($U$24:U262&lt;&gt;""),$U$24:U262),$B$11))))</f>
        <v>140.543450830266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14.2208180572134</v>
      </c>
      <c r="J263" s="16" t="n">
        <f aca="false">IF(D263="","",$B$12)</f>
        <v>0.432</v>
      </c>
      <c r="K263" s="16" t="n">
        <f aca="false">IF(J263="","",J263*$B$15)</f>
        <v>1.119744</v>
      </c>
      <c r="L263" s="16" t="n">
        <f aca="false">IF(D263="","",H263+E263-K263-G263*I263)</f>
        <v>137.094490726047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13.969710427856</v>
      </c>
      <c r="N263" s="16" t="n">
        <f aca="false">IF(D263="","",(I263+M263)/2)</f>
        <v>14.0952642425347</v>
      </c>
      <c r="O263" s="16" t="n">
        <f aca="false">IF(D263="","",G263*N263)</f>
        <v>3.40823489384489</v>
      </c>
      <c r="P263" s="16" t="n">
        <f aca="false">IF(D263="","",H263+E263-K263-O263)</f>
        <v>137.124849638437</v>
      </c>
      <c r="Q263" s="16" t="n">
        <f aca="false">IF(D263="","",IF(P263&gt;=0,K263,MAX(0,K263+P263)))</f>
        <v>1.119744</v>
      </c>
      <c r="R263" s="16" t="n">
        <f aca="false">IF(D263="","",Q263/$B$15)</f>
        <v>0.432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137.124849638437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84.6449689126151</v>
      </c>
      <c r="Z263" s="18" t="n">
        <f aca="false">IF(D263="","",MAX(0,IF(P263&gt;=0,P263,IF(K263+P263&gt;=0,0,P263+K263))))</f>
        <v>137.124849638437</v>
      </c>
      <c r="AA263" s="18" t="n">
        <f aca="false">IF(D263="","",IF(H263&lt;=$B$16,1,IF(H263&gt;=$B$17,$B$21,MATCH(H263,Aux_CAV!$A$2:$A$121,1))))</f>
        <v>22</v>
      </c>
      <c r="AB263" s="18" t="n">
        <f aca="false">IF(D263="","",IF(L263&lt;=$B$16,1,IF(L263&gt;=$B$17,$B$21,MATCH(L263,Aux_CAV!$A$2:$A$121,1))))</f>
        <v>22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0.624111002932833</v>
      </c>
      <c r="E264" s="16" t="n">
        <f aca="false">IF(D264="","",D264*$B$15)</f>
        <v>1.6176957196019</v>
      </c>
      <c r="F264" s="16" t="n">
        <f aca="false" t="array" ref="F264:F264">IF(D264="","",IFERROR(INDEX(Dados_Evap!$C$2:$N$15,MATCH($B$9,Dados_Evap!$A$2:$A$15,0),C264),0))</f>
        <v>189</v>
      </c>
      <c r="G264" s="16" t="n">
        <f aca="false">IF(F264="","",F264/1000)</f>
        <v>0.189</v>
      </c>
      <c r="H264" s="16" t="n">
        <f aca="false">IF(D264="","",MAX(0,MIN($B$8,IFERROR(LOOKUP(2,1/($U$24:U263&lt;&gt;""),$U$24:U263),$B$11))))</f>
        <v>137.124849638437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13.9719207620697</v>
      </c>
      <c r="J264" s="16" t="n">
        <f aca="false">IF(D264="","",$B$12)</f>
        <v>0.432</v>
      </c>
      <c r="K264" s="16" t="n">
        <f aca="false">IF(J264="","",J264*$B$15)</f>
        <v>1.119744</v>
      </c>
      <c r="L264" s="16" t="n">
        <f aca="false">IF(D264="","",H264+E264-K264-G264*I264)</f>
        <v>134.982108334007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13.8159146984961</v>
      </c>
      <c r="N264" s="16" t="n">
        <f aca="false">IF(D264="","",(I264+M264)/2)</f>
        <v>13.8939177302829</v>
      </c>
      <c r="O264" s="16" t="n">
        <f aca="false">IF(D264="","",G264*N264)</f>
        <v>2.62595045102347</v>
      </c>
      <c r="P264" s="16" t="n">
        <f aca="false">IF(D264="","",H264+E264-K264-O264)</f>
        <v>134.996850907015</v>
      </c>
      <c r="Q264" s="16" t="n">
        <f aca="false">IF(D264="","",IF(P264&gt;=0,K264,MAX(0,K264+P264)))</f>
        <v>1.119744</v>
      </c>
      <c r="R264" s="16" t="n">
        <f aca="false">IF(D264="","",Q264/$B$15)</f>
        <v>0.432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134.996850907015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83.3313894487746</v>
      </c>
      <c r="Z264" s="18" t="n">
        <f aca="false">IF(D264="","",MAX(0,IF(P264&gt;=0,P264,IF(K264+P264&gt;=0,0,P264+K264))))</f>
        <v>134.996850907015</v>
      </c>
      <c r="AA264" s="18" t="n">
        <f aca="false">IF(D264="","",IF(H264&lt;=$B$16,1,IF(H264&gt;=$B$17,$B$21,MATCH(H264,Aux_CAV!$A$2:$A$121,1))))</f>
        <v>22</v>
      </c>
      <c r="AB264" s="18" t="n">
        <f aca="false">IF(D264="","",IF(L264&lt;=$B$16,1,IF(L264&gt;=$B$17,$B$21,MATCH(L264,Aux_CAV!$A$2:$A$121,1))))</f>
        <v>22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0.552313160163554</v>
      </c>
      <c r="E265" s="16" t="n">
        <f aca="false">IF(D265="","",D265*$B$15)</f>
        <v>1.43159571114393</v>
      </c>
      <c r="F265" s="16" t="n">
        <f aca="false" t="array" ref="F265:F265">IF(D265="","",IFERROR(INDEX(Dados_Evap!$C$2:$N$15,MATCH($B$9,Dados_Evap!$A$2:$A$15,0),C265),0))</f>
        <v>136.9</v>
      </c>
      <c r="G265" s="16" t="n">
        <f aca="false">IF(F265="","",F265/1000)</f>
        <v>0.1369</v>
      </c>
      <c r="H265" s="16" t="n">
        <f aca="false">IF(D265="","",MAX(0,MIN($B$8,IFERROR(LOOKUP(2,1/($U$24:U264&lt;&gt;""),$U$24:U264),$B$11))))</f>
        <v>134.996850907015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13.8169880575513</v>
      </c>
      <c r="J265" s="16" t="n">
        <f aca="false">IF(D265="","",$B$12)</f>
        <v>0.432</v>
      </c>
      <c r="K265" s="16" t="n">
        <f aca="false">IF(J265="","",J265*$B$15)</f>
        <v>1.119744</v>
      </c>
      <c r="L265" s="16" t="n">
        <f aca="false">IF(D265="","",H265+E265-K265-G265*I265)</f>
        <v>133.41715695308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13.7019756503629</v>
      </c>
      <c r="N265" s="16" t="n">
        <f aca="false">IF(D265="","",(I265+M265)/2)</f>
        <v>13.7594818539571</v>
      </c>
      <c r="O265" s="16" t="n">
        <f aca="false">IF(D265="","",G265*N265)</f>
        <v>1.88367306580672</v>
      </c>
      <c r="P265" s="16" t="n">
        <f aca="false">IF(D265="","",H265+E265-K265-O265)</f>
        <v>133.425029552352</v>
      </c>
      <c r="Q265" s="16" t="n">
        <f aca="false">IF(D265="","",IF(P265&gt;=0,K265,MAX(0,K265+P265)))</f>
        <v>1.119744</v>
      </c>
      <c r="R265" s="16" t="n">
        <f aca="false">IF(D265="","",Q265/$B$15)</f>
        <v>0.432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133.425029552352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82.3611293533038</v>
      </c>
      <c r="Z265" s="18" t="n">
        <f aca="false">IF(D265="","",MAX(0,IF(P265&gt;=0,P265,IF(K265+P265&gt;=0,0,P265+K265))))</f>
        <v>133.425029552352</v>
      </c>
      <c r="AA265" s="18" t="n">
        <f aca="false">IF(D265="","",IF(H265&lt;=$B$16,1,IF(H265&gt;=$B$17,$B$21,MATCH(H265,Aux_CAV!$A$2:$A$121,1))))</f>
        <v>22</v>
      </c>
      <c r="AB265" s="18" t="n">
        <f aca="false">IF(D265="","",IF(L265&lt;=$B$16,1,IF(L265&gt;=$B$17,$B$21,MATCH(L265,Aux_CAV!$A$2:$A$121,1))))</f>
        <v>22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1.12823946495201</v>
      </c>
      <c r="E266" s="16" t="n">
        <f aca="false">IF(D266="","",D266*$B$15)</f>
        <v>2.92439669315561</v>
      </c>
      <c r="F266" s="16" t="n">
        <f aca="false" t="array" ref="F266:F266">IF(D266="","",IFERROR(INDEX(Dados_Evap!$C$2:$N$15,MATCH($B$9,Dados_Evap!$A$2:$A$15,0),C266),0))</f>
        <v>102.9</v>
      </c>
      <c r="G266" s="16" t="n">
        <f aca="false">IF(F266="","",F266/1000)</f>
        <v>0.1029</v>
      </c>
      <c r="H266" s="16" t="n">
        <f aca="false">IF(D266="","",MAX(0,MIN($B$8,IFERROR(LOOKUP(2,1/($U$24:U265&lt;&gt;""),$U$24:U265),$B$11))))</f>
        <v>133.425029552352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13.7025488288516</v>
      </c>
      <c r="J266" s="16" t="n">
        <f aca="false">IF(D266="","",$B$12)</f>
        <v>0.432</v>
      </c>
      <c r="K266" s="16" t="n">
        <f aca="false">IF(J266="","",J266*$B$15)</f>
        <v>1.119744</v>
      </c>
      <c r="L266" s="16" t="n">
        <f aca="false">IF(D266="","",H266+E266-K266-G266*I266)</f>
        <v>133.819689971019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13.7312827773862</v>
      </c>
      <c r="N266" s="16" t="n">
        <f aca="false">IF(D266="","",(I266+M266)/2)</f>
        <v>13.7169158031189</v>
      </c>
      <c r="O266" s="16" t="n">
        <f aca="false">IF(D266="","",G266*N266)</f>
        <v>1.41147063614094</v>
      </c>
      <c r="P266" s="16" t="n">
        <f aca="false">IF(D266="","",H266+E266-K266-O266)</f>
        <v>133.818211609367</v>
      </c>
      <c r="Q266" s="16" t="n">
        <f aca="false">IF(D266="","",IF(P266&gt;=0,K266,MAX(0,K266+P266)))</f>
        <v>1.119744</v>
      </c>
      <c r="R266" s="16" t="n">
        <f aca="false">IF(D266="","",Q266/$B$15)</f>
        <v>0.432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133.818211609367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82.6038343267696</v>
      </c>
      <c r="Z266" s="18" t="n">
        <f aca="false">IF(D266="","",MAX(0,IF(P266&gt;=0,P266,IF(K266+P266&gt;=0,0,P266+K266))))</f>
        <v>133.818211609367</v>
      </c>
      <c r="AA266" s="18" t="n">
        <f aca="false">IF(D266="","",IF(H266&lt;=$B$16,1,IF(H266&gt;=$B$17,$B$21,MATCH(H266,Aux_CAV!$A$2:$A$121,1))))</f>
        <v>22</v>
      </c>
      <c r="AB266" s="18" t="n">
        <f aca="false">IF(D266="","",IF(L266&lt;=$B$16,1,IF(L266&gt;=$B$17,$B$21,MATCH(L266,Aux_CAV!$A$2:$A$121,1))))</f>
        <v>22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1.84324501429459</v>
      </c>
      <c r="E267" s="16" t="n">
        <f aca="false">IF(D267="","",D267*$B$15)</f>
        <v>4.77769107705158</v>
      </c>
      <c r="F267" s="16" t="n">
        <f aca="false" t="array" ref="F267:F267">IF(D267="","",IFERROR(INDEX(Dados_Evap!$C$2:$N$15,MATCH($B$9,Dados_Evap!$A$2:$A$15,0),C267),0))</f>
        <v>81.8</v>
      </c>
      <c r="G267" s="16" t="n">
        <f aca="false">IF(F267="","",F267/1000)</f>
        <v>0.0818</v>
      </c>
      <c r="H267" s="16" t="n">
        <f aca="false">IF(D267="","",MAX(0,MIN($B$8,IFERROR(LOOKUP(2,1/($U$24:U266&lt;&gt;""),$U$24:U266),$B$11))))</f>
        <v>133.818211609367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13.7311751426562</v>
      </c>
      <c r="J267" s="16" t="n">
        <f aca="false">IF(D267="","",$B$12)</f>
        <v>0.432</v>
      </c>
      <c r="K267" s="16" t="n">
        <f aca="false">IF(J267="","",J267*$B$15)</f>
        <v>1.119744</v>
      </c>
      <c r="L267" s="16" t="n">
        <f aca="false">IF(D267="","",H267+E267-K267-G267*I267)</f>
        <v>136.352948559749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13.9157211412824</v>
      </c>
      <c r="N267" s="16" t="n">
        <f aca="false">IF(D267="","",(I267+M267)/2)</f>
        <v>13.8234481419693</v>
      </c>
      <c r="O267" s="16" t="n">
        <f aca="false">IF(D267="","",G267*N267)</f>
        <v>1.13075805801309</v>
      </c>
      <c r="P267" s="16" t="n">
        <f aca="false">IF(D267="","",H267+E267-K267-O267)</f>
        <v>136.345400628405</v>
      </c>
      <c r="Q267" s="16" t="n">
        <f aca="false">IF(D267="","",IF(P267&gt;=0,K267,MAX(0,K267+P267)))</f>
        <v>1.119744</v>
      </c>
      <c r="R267" s="16" t="n">
        <f aca="false">IF(D267="","",Q267/$B$15)</f>
        <v>0.432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136.345400628405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84.1638275483983</v>
      </c>
      <c r="Z267" s="18" t="n">
        <f aca="false">IF(D267="","",MAX(0,IF(P267&gt;=0,P267,IF(K267+P267&gt;=0,0,P267+K267))))</f>
        <v>136.345400628405</v>
      </c>
      <c r="AA267" s="18" t="n">
        <f aca="false">IF(D267="","",IF(H267&lt;=$B$16,1,IF(H267&gt;=$B$17,$B$21,MATCH(H267,Aux_CAV!$A$2:$A$121,1))))</f>
        <v>22</v>
      </c>
      <c r="AB267" s="18" t="n">
        <f aca="false">IF(D267="","",IF(L267&lt;=$B$16,1,IF(L267&gt;=$B$17,$B$21,MATCH(L267,Aux_CAV!$A$2:$A$121,1))))</f>
        <v>22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0.75184876214817</v>
      </c>
      <c r="E268" s="16" t="n">
        <f aca="false">IF(D268="","",D268*$B$15)</f>
        <v>1.94879199148806</v>
      </c>
      <c r="F268" s="16" t="n">
        <f aca="false" t="array" ref="F268:F268">IF(D268="","",IFERROR(INDEX(Dados_Evap!$C$2:$N$15,MATCH($B$9,Dados_Evap!$A$2:$A$15,0),C268),0))</f>
        <v>83.6</v>
      </c>
      <c r="G268" s="16" t="n">
        <f aca="false">IF(F268="","",F268/1000)</f>
        <v>0.0836</v>
      </c>
      <c r="H268" s="16" t="n">
        <f aca="false">IF(D268="","",MAX(0,MIN($B$8,IFERROR(LOOKUP(2,1/($U$24:U267&lt;&gt;""),$U$24:U267),$B$11))))</f>
        <v>136.345400628405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13.9151716008154</v>
      </c>
      <c r="J268" s="16" t="n">
        <f aca="false">IF(D268="","",$B$12)</f>
        <v>0.432</v>
      </c>
      <c r="K268" s="16" t="n">
        <f aca="false">IF(J268="","",J268*$B$15)</f>
        <v>1.119744</v>
      </c>
      <c r="L268" s="16" t="n">
        <f aca="false">IF(D268="","",H268+E268-K268-G268*I268)</f>
        <v>136.011140274065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13.8908351855974</v>
      </c>
      <c r="N268" s="16" t="n">
        <f aca="false">IF(D268="","",(I268+M268)/2)</f>
        <v>13.9030033932064</v>
      </c>
      <c r="O268" s="16" t="n">
        <f aca="false">IF(D268="","",G268*N268)</f>
        <v>1.16229108367206</v>
      </c>
      <c r="P268" s="16" t="n">
        <f aca="false">IF(D268="","",H268+E268-K268-O268)</f>
        <v>136.012157536221</v>
      </c>
      <c r="Q268" s="16" t="n">
        <f aca="false">IF(D268="","",IF(P268&gt;=0,K268,MAX(0,K268+P268)))</f>
        <v>1.119744</v>
      </c>
      <c r="R268" s="16" t="n">
        <f aca="false">IF(D268="","",Q268/$B$15)</f>
        <v>0.432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136.012157536221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83.9581219359391</v>
      </c>
      <c r="Z268" s="18" t="n">
        <f aca="false">IF(D268="","",MAX(0,IF(P268&gt;=0,P268,IF(K268+P268&gt;=0,0,P268+K268))))</f>
        <v>136.012157536221</v>
      </c>
      <c r="AA268" s="18" t="n">
        <f aca="false">IF(D268="","",IF(H268&lt;=$B$16,1,IF(H268&gt;=$B$17,$B$21,MATCH(H268,Aux_CAV!$A$2:$A$121,1))))</f>
        <v>22</v>
      </c>
      <c r="AB268" s="18" t="n">
        <f aca="false">IF(D268="","",IF(L268&lt;=$B$16,1,IF(L268&gt;=$B$17,$B$21,MATCH(L268,Aux_CAV!$A$2:$A$121,1))))</f>
        <v>22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1.35943355827548</v>
      </c>
      <c r="E269" s="16" t="n">
        <f aca="false">IF(D269="","",D269*$B$15)</f>
        <v>3.52365178305004</v>
      </c>
      <c r="F269" s="16" t="n">
        <f aca="false" t="array" ref="F269:F269">IF(D269="","",IFERROR(INDEX(Dados_Evap!$C$2:$N$15,MATCH($B$9,Dados_Evap!$A$2:$A$15,0),C269),0))</f>
        <v>108.2</v>
      </c>
      <c r="G269" s="16" t="n">
        <f aca="false">IF(F269="","",F269/1000)</f>
        <v>0.1082</v>
      </c>
      <c r="H269" s="16" t="n">
        <f aca="false">IF(D269="","",MAX(0,MIN($B$8,IFERROR(LOOKUP(2,1/($U$24:U268&lt;&gt;""),$U$24:U268),$B$11))))</f>
        <v>136.012157536221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13.8909092491646</v>
      </c>
      <c r="J269" s="16" t="n">
        <f aca="false">IF(D269="","",$B$12)</f>
        <v>0.432</v>
      </c>
      <c r="K269" s="16" t="n">
        <f aca="false">IF(J269="","",J269*$B$15)</f>
        <v>1.119744</v>
      </c>
      <c r="L269" s="16" t="n">
        <f aca="false">IF(D269="","",H269+E269-K269-G269*I269)</f>
        <v>136.913068938512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13.9565016943232</v>
      </c>
      <c r="N269" s="16" t="n">
        <f aca="false">IF(D269="","",(I269+M269)/2)</f>
        <v>13.9237054717439</v>
      </c>
      <c r="O269" s="16" t="n">
        <f aca="false">IF(D269="","",G269*N269)</f>
        <v>1.50654493204269</v>
      </c>
      <c r="P269" s="16" t="n">
        <f aca="false">IF(D269="","",H269+E269-K269-O269)</f>
        <v>136.909520387229</v>
      </c>
      <c r="Q269" s="16" t="n">
        <f aca="false">IF(D269="","",IF(P269&gt;=0,K269,MAX(0,K269+P269)))</f>
        <v>1.119744</v>
      </c>
      <c r="R269" s="16" t="n">
        <f aca="false">IF(D269="","",Q269/$B$15)</f>
        <v>0.432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136.909520387229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84.5120496217461</v>
      </c>
      <c r="Z269" s="18" t="n">
        <f aca="false">IF(D269="","",MAX(0,IF(P269&gt;=0,P269,IF(K269+P269&gt;=0,0,P269+K269))))</f>
        <v>136.909520387229</v>
      </c>
      <c r="AA269" s="18" t="n">
        <f aca="false">IF(D269="","",IF(H269&lt;=$B$16,1,IF(H269&gt;=$B$17,$B$21,MATCH(H269,Aux_CAV!$A$2:$A$121,1))))</f>
        <v>22</v>
      </c>
      <c r="AB269" s="18" t="n">
        <f aca="false">IF(D269="","",IF(L269&lt;=$B$16,1,IF(L269&gt;=$B$17,$B$21,MATCH(L269,Aux_CAV!$A$2:$A$121,1))))</f>
        <v>22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0.345220945615282</v>
      </c>
      <c r="E270" s="16" t="n">
        <f aca="false">IF(D270="","",D270*$B$15)</f>
        <v>0.894812691034811</v>
      </c>
      <c r="F270" s="16" t="n">
        <f aca="false" t="array" ref="F270:F270">IF(D270="","",IFERROR(INDEX(Dados_Evap!$C$2:$N$15,MATCH($B$9,Dados_Evap!$A$2:$A$15,0),C270),0))</f>
        <v>149</v>
      </c>
      <c r="G270" s="16" t="n">
        <f aca="false">IF(F270="","",F270/1000)</f>
        <v>0.149</v>
      </c>
      <c r="H270" s="16" t="n">
        <f aca="false">IF(D270="","",MAX(0,MIN($B$8,IFERROR(LOOKUP(2,1/($U$24:U269&lt;&gt;""),$U$24:U269),$B$11))))</f>
        <v>136.909520387229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13.9562433357823</v>
      </c>
      <c r="J270" s="16" t="n">
        <f aca="false">IF(D270="","",$B$12)</f>
        <v>0.432</v>
      </c>
      <c r="K270" s="16" t="n">
        <f aca="false">IF(J270="","",J270*$B$15)</f>
        <v>1.119744</v>
      </c>
      <c r="L270" s="16" t="n">
        <f aca="false">IF(D270="","",H270+E270-K270-G270*I270)</f>
        <v>134.605108821232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13.7884665833944</v>
      </c>
      <c r="N270" s="16" t="n">
        <f aca="false">IF(D270="","",(I270+M270)/2)</f>
        <v>13.8723549595883</v>
      </c>
      <c r="O270" s="16" t="n">
        <f aca="false">IF(D270="","",G270*N270)</f>
        <v>2.06698088897866</v>
      </c>
      <c r="P270" s="16" t="n">
        <f aca="false">IF(D270="","",H270+E270-K270-O270)</f>
        <v>134.617608189285</v>
      </c>
      <c r="Q270" s="16" t="n">
        <f aca="false">IF(D270="","",IF(P270&gt;=0,K270,MAX(0,K270+P270)))</f>
        <v>1.119744</v>
      </c>
      <c r="R270" s="16" t="n">
        <f aca="false">IF(D270="","",Q270/$B$15)</f>
        <v>0.432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134.617608189285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83.0972890057314</v>
      </c>
      <c r="Z270" s="18" t="n">
        <f aca="false">IF(D270="","",MAX(0,IF(P270&gt;=0,P270,IF(K270+P270&gt;=0,0,P270+K270))))</f>
        <v>134.617608189285</v>
      </c>
      <c r="AA270" s="18" t="n">
        <f aca="false">IF(D270="","",IF(H270&lt;=$B$16,1,IF(H270&gt;=$B$17,$B$21,MATCH(H270,Aux_CAV!$A$2:$A$121,1))))</f>
        <v>22</v>
      </c>
      <c r="AB270" s="18" t="n">
        <f aca="false">IF(D270="","",IF(L270&lt;=$B$16,1,IF(L270&gt;=$B$17,$B$21,MATCH(L270,Aux_CAV!$A$2:$A$121,1))))</f>
        <v>22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0.231127912526904</v>
      </c>
      <c r="E271" s="16" t="n">
        <f aca="false">IF(D271="","",D271*$B$15)</f>
        <v>0.599083549269735</v>
      </c>
      <c r="F271" s="16" t="n">
        <f aca="false" t="array" ref="F271:F271">IF(D271="","",IFERROR(INDEX(Dados_Evap!$C$2:$N$15,MATCH($B$9,Dados_Evap!$A$2:$A$15,0),C271),0))</f>
        <v>206.8</v>
      </c>
      <c r="G271" s="16" t="n">
        <f aca="false">IF(F271="","",F271/1000)</f>
        <v>0.2068</v>
      </c>
      <c r="H271" s="16" t="n">
        <f aca="false">IF(D271="","",MAX(0,MIN($B$8,IFERROR(LOOKUP(2,1/($U$24:U270&lt;&gt;""),$U$24:U270),$B$11))))</f>
        <v>134.617608189285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13.7893766219525</v>
      </c>
      <c r="J271" s="16" t="n">
        <f aca="false">IF(D271="","",$B$12)</f>
        <v>0.432</v>
      </c>
      <c r="K271" s="16" t="n">
        <f aca="false">IF(J271="","",J271*$B$15)</f>
        <v>1.119744</v>
      </c>
      <c r="L271" s="16" t="n">
        <f aca="false">IF(D271="","",H271+E271-K271-G271*I271)</f>
        <v>131.245304653135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13.5438501093668</v>
      </c>
      <c r="N271" s="16" t="n">
        <f aca="false">IF(D271="","",(I271+M271)/2)</f>
        <v>13.6666133656596</v>
      </c>
      <c r="O271" s="16" t="n">
        <f aca="false">IF(D271="","",G271*N271)</f>
        <v>2.82625564401841</v>
      </c>
      <c r="P271" s="16" t="n">
        <f aca="false">IF(D271="","",H271+E271-K271-O271)</f>
        <v>131.270692094536</v>
      </c>
      <c r="Q271" s="16" t="n">
        <f aca="false">IF(D271="","",IF(P271&gt;=0,K271,MAX(0,K271+P271)))</f>
        <v>1.119744</v>
      </c>
      <c r="R271" s="16" t="n">
        <f aca="false">IF(D271="","",Q271/$B$15)</f>
        <v>0.432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131.270692094536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81.0312914163803</v>
      </c>
      <c r="Z271" s="18" t="n">
        <f aca="false">IF(D271="","",MAX(0,IF(P271&gt;=0,P271,IF(K271+P271&gt;=0,0,P271+K271))))</f>
        <v>131.270692094536</v>
      </c>
      <c r="AA271" s="18" t="n">
        <f aca="false">IF(D271="","",IF(H271&lt;=$B$16,1,IF(H271&gt;=$B$17,$B$21,MATCH(H271,Aux_CAV!$A$2:$A$121,1))))</f>
        <v>22</v>
      </c>
      <c r="AB271" s="18" t="n">
        <f aca="false">IF(D271="","",IF(L271&lt;=$B$16,1,IF(L271&gt;=$B$17,$B$21,MATCH(L271,Aux_CAV!$A$2:$A$121,1))))</f>
        <v>22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0.170104387772945</v>
      </c>
      <c r="E272" s="16" t="n">
        <f aca="false">IF(D272="","",D272*$B$15)</f>
        <v>0.440910573107474</v>
      </c>
      <c r="F272" s="16" t="n">
        <f aca="false" t="array" ref="F272:F272">IF(D272="","",IFERROR(INDEX(Dados_Evap!$C$2:$N$15,MATCH($B$9,Dados_Evap!$A$2:$A$15,0),C272),0))</f>
        <v>245.9</v>
      </c>
      <c r="G272" s="16" t="n">
        <f aca="false">IF(F272="","",F272/1000)</f>
        <v>0.2459</v>
      </c>
      <c r="H272" s="16" t="n">
        <f aca="false">IF(D272="","",MAX(0,MIN($B$8,IFERROR(LOOKUP(2,1/($U$24:U271&lt;&gt;""),$U$24:U271),$B$11))))</f>
        <v>131.270692094536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13.5456984868583</v>
      </c>
      <c r="J272" s="16" t="n">
        <f aca="false">IF(D272="","",$B$12)</f>
        <v>0.432</v>
      </c>
      <c r="K272" s="16" t="n">
        <f aca="false">IF(J272="","",J272*$B$15)</f>
        <v>1.119744</v>
      </c>
      <c r="L272" s="16" t="n">
        <f aca="false">IF(D272="","",H272+E272-K272-G272*I272)</f>
        <v>127.260971409725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13.2537636934356</v>
      </c>
      <c r="N272" s="16" t="n">
        <f aca="false">IF(D272="","",(I272+M272)/2)</f>
        <v>13.399731090147</v>
      </c>
      <c r="O272" s="16" t="n">
        <f aca="false">IF(D272="","",G272*N272)</f>
        <v>3.29499387506714</v>
      </c>
      <c r="P272" s="16" t="n">
        <f aca="false">IF(D272="","",H272+E272-K272-O272)</f>
        <v>127.296864792577</v>
      </c>
      <c r="Q272" s="16" t="n">
        <f aca="false">IF(D272="","",IF(P272&gt;=0,K272,MAX(0,K272+P272)))</f>
        <v>1.119744</v>
      </c>
      <c r="R272" s="16" t="n">
        <f aca="false">IF(D272="","",Q272/$B$15)</f>
        <v>0.432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127.296864792577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78.5783116003559</v>
      </c>
      <c r="Z272" s="18" t="n">
        <f aca="false">IF(D272="","",MAX(0,IF(P272&gt;=0,P272,IF(K272+P272&gt;=0,0,P272+K272))))</f>
        <v>127.296864792577</v>
      </c>
      <c r="AA272" s="18" t="n">
        <f aca="false">IF(D272="","",IF(H272&lt;=$B$16,1,IF(H272&gt;=$B$17,$B$21,MATCH(H272,Aux_CAV!$A$2:$A$121,1))))</f>
        <v>22</v>
      </c>
      <c r="AB272" s="18" t="n">
        <f aca="false">IF(D272="","",IF(L272&lt;=$B$16,1,IF(L272&gt;=$B$17,$B$21,MATCH(L272,Aux_CAV!$A$2:$A$121,1))))</f>
        <v>22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0.233135631219636</v>
      </c>
      <c r="E273" s="16" t="n">
        <f aca="false">IF(D273="","",D273*$B$15)</f>
        <v>0.604287556121297</v>
      </c>
      <c r="F273" s="16" t="n">
        <f aca="false" t="array" ref="F273:F273">IF(D273="","",IFERROR(INDEX(Dados_Evap!$C$2:$N$15,MATCH($B$9,Dados_Evap!$A$2:$A$15,0),C273),0))</f>
        <v>282.3</v>
      </c>
      <c r="G273" s="16" t="n">
        <f aca="false">IF(F273="","",F273/1000)</f>
        <v>0.2823</v>
      </c>
      <c r="H273" s="16" t="n">
        <f aca="false">IF(D273="","",MAX(0,MIN($B$8,IFERROR(LOOKUP(2,1/($U$24:U272&lt;&gt;""),$U$24:U272),$B$11))))</f>
        <v>127.296864792577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13.2563769745421</v>
      </c>
      <c r="J273" s="16" t="n">
        <f aca="false">IF(D273="","",$B$12)</f>
        <v>0.432</v>
      </c>
      <c r="K273" s="16" t="n">
        <f aca="false">IF(J273="","",J273*$B$15)</f>
        <v>1.119744</v>
      </c>
      <c r="L273" s="16" t="n">
        <f aca="false">IF(D273="","",H273+E273-K273-G273*I273)</f>
        <v>123.039133128785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12.9463853039435</v>
      </c>
      <c r="N273" s="16" t="n">
        <f aca="false">IF(D273="","",(I273+M273)/2)</f>
        <v>13.1013811392428</v>
      </c>
      <c r="O273" s="16" t="n">
        <f aca="false">IF(D273="","",G273*N273)</f>
        <v>3.69851989560825</v>
      </c>
      <c r="P273" s="16" t="n">
        <f aca="false">IF(D273="","",H273+E273-K273-O273)</f>
        <v>123.08288845309</v>
      </c>
      <c r="Q273" s="16" t="n">
        <f aca="false">IF(D273="","",IF(P273&gt;=0,K273,MAX(0,K273+P273)))</f>
        <v>1.119744</v>
      </c>
      <c r="R273" s="16" t="n">
        <f aca="false">IF(D273="","",Q273/$B$15)</f>
        <v>0.432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123.08288845309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75.9770916377096</v>
      </c>
      <c r="Z273" s="18" t="n">
        <f aca="false">IF(D273="","",MAX(0,IF(P273&gt;=0,P273,IF(K273+P273&gt;=0,0,P273+K273))))</f>
        <v>123.08288845309</v>
      </c>
      <c r="AA273" s="18" t="n">
        <f aca="false">IF(D273="","",IF(H273&lt;=$B$16,1,IF(H273&gt;=$B$17,$B$21,MATCH(H273,Aux_CAV!$A$2:$A$121,1))))</f>
        <v>22</v>
      </c>
      <c r="AB273" s="18" t="n">
        <f aca="false">IF(D273="","",IF(L273&lt;=$B$16,1,IF(L273&gt;=$B$17,$B$21,MATCH(L273,Aux_CAV!$A$2:$A$121,1))))</f>
        <v>22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0.143895129121287</v>
      </c>
      <c r="E274" s="16" t="n">
        <f aca="false">IF(D274="","",D274*$B$15)</f>
        <v>0.372976174682376</v>
      </c>
      <c r="F274" s="16" t="n">
        <f aca="false" t="array" ref="F274:F274">IF(D274="","",IFERROR(INDEX(Dados_Evap!$C$2:$N$15,MATCH($B$9,Dados_Evap!$A$2:$A$15,0),C274),0))</f>
        <v>241.3</v>
      </c>
      <c r="G274" s="16" t="n">
        <f aca="false">IF(F274="","",F274/1000)</f>
        <v>0.2413</v>
      </c>
      <c r="H274" s="16" t="n">
        <f aca="false">IF(D274="","",MAX(0,MIN($B$8,IFERROR(LOOKUP(2,1/($U$24:U273&lt;&gt;""),$U$24:U273),$B$11))))</f>
        <v>123.08288845309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12.9495709875774</v>
      </c>
      <c r="J274" s="16" t="n">
        <f aca="false">IF(D274="","",$B$12)</f>
        <v>0.432</v>
      </c>
      <c r="K274" s="16" t="n">
        <f aca="false">IF(J274="","",J274*$B$15)</f>
        <v>1.119744</v>
      </c>
      <c r="L274" s="16" t="n">
        <f aca="false">IF(D274="","",H274+E274-K274-G274*I274)</f>
        <v>119.21138914847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12.6676996457626</v>
      </c>
      <c r="N274" s="16" t="n">
        <f aca="false">IF(D274="","",(I274+M274)/2)</f>
        <v>12.80863531667</v>
      </c>
      <c r="O274" s="16" t="n">
        <f aca="false">IF(D274="","",G274*N274)</f>
        <v>3.09072370191248</v>
      </c>
      <c r="P274" s="16" t="n">
        <f aca="false">IF(D274="","",H274+E274-K274-O274)</f>
        <v>119.245396925859</v>
      </c>
      <c r="Q274" s="16" t="n">
        <f aca="false">IF(D274="","",IF(P274&gt;=0,K274,MAX(0,K274+P274)))</f>
        <v>1.119744</v>
      </c>
      <c r="R274" s="16" t="n">
        <f aca="false">IF(D274="","",Q274/$B$15)</f>
        <v>0.432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119.245396925859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73.6082697073206</v>
      </c>
      <c r="Z274" s="18" t="n">
        <f aca="false">IF(D274="","",MAX(0,IF(P274&gt;=0,P274,IF(K274+P274&gt;=0,0,P274+K274))))</f>
        <v>119.245396925859</v>
      </c>
      <c r="AA274" s="18" t="n">
        <f aca="false">IF(D274="","",IF(H274&lt;=$B$16,1,IF(H274&gt;=$B$17,$B$21,MATCH(H274,Aux_CAV!$A$2:$A$121,1))))</f>
        <v>22</v>
      </c>
      <c r="AB274" s="18" t="n">
        <f aca="false">IF(D274="","",IF(L274&lt;=$B$16,1,IF(L274&gt;=$B$17,$B$21,MATCH(L274,Aux_CAV!$A$2:$A$121,1))))</f>
        <v>22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0.18077992824694</v>
      </c>
      <c r="E275" s="16" t="n">
        <f aca="false">IF(D275="","",D275*$B$15)</f>
        <v>0.468581574016069</v>
      </c>
      <c r="F275" s="16" t="n">
        <f aca="false" t="array" ref="F275:F275">IF(D275="","",IFERROR(INDEX(Dados_Evap!$C$2:$N$15,MATCH($B$9,Dados_Evap!$A$2:$A$15,0),C275),0))</f>
        <v>241.8</v>
      </c>
      <c r="G275" s="16" t="n">
        <f aca="false">IF(F275="","",F275/1000)</f>
        <v>0.2418</v>
      </c>
      <c r="H275" s="16" t="n">
        <f aca="false">IF(D275="","",MAX(0,MIN($B$8,IFERROR(LOOKUP(2,1/($U$24:U274&lt;&gt;""),$U$24:U274),$B$11))))</f>
        <v>119.245396925859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12.6701756420346</v>
      </c>
      <c r="J275" s="16" t="n">
        <f aca="false">IF(D275="","",$B$12)</f>
        <v>0.432</v>
      </c>
      <c r="K275" s="16" t="n">
        <f aca="false">IF(J275="","",J275*$B$15)</f>
        <v>1.119744</v>
      </c>
      <c r="L275" s="16" t="n">
        <f aca="false">IF(D275="","",H275+E275-K275-G275*I275)</f>
        <v>115.530586029632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12.3997122764184</v>
      </c>
      <c r="N275" s="16" t="n">
        <f aca="false">IF(D275="","",(I275+M275)/2)</f>
        <v>12.5349439592265</v>
      </c>
      <c r="O275" s="16" t="n">
        <f aca="false">IF(D275="","",G275*N275)</f>
        <v>3.03094944934097</v>
      </c>
      <c r="P275" s="16" t="n">
        <f aca="false">IF(D275="","",H275+E275-K275-O275)</f>
        <v>115.563285050535</v>
      </c>
      <c r="Q275" s="16" t="n">
        <f aca="false">IF(D275="","",IF(P275&gt;=0,K275,MAX(0,K275+P275)))</f>
        <v>1.119744</v>
      </c>
      <c r="R275" s="16" t="n">
        <f aca="false">IF(D275="","",Q275/$B$15)</f>
        <v>0.432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115.563285050535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71.3353611423053</v>
      </c>
      <c r="Z275" s="18" t="n">
        <f aca="false">IF(D275="","",MAX(0,IF(P275&gt;=0,P275,IF(K275+P275&gt;=0,0,P275+K275))))</f>
        <v>115.563285050535</v>
      </c>
      <c r="AA275" s="18" t="n">
        <f aca="false">IF(D275="","",IF(H275&lt;=$B$16,1,IF(H275&gt;=$B$17,$B$21,MATCH(H275,Aux_CAV!$A$2:$A$121,1))))</f>
        <v>22</v>
      </c>
      <c r="AB275" s="18" t="n">
        <f aca="false">IF(D275="","",IF(L275&lt;=$B$16,1,IF(L275&gt;=$B$17,$B$21,MATCH(L275,Aux_CAV!$A$2:$A$121,1))))</f>
        <v>22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0.28207673066179</v>
      </c>
      <c r="E276" s="16" t="n">
        <f aca="false">IF(D276="","",D276*$B$15)</f>
        <v>0.73114288587536</v>
      </c>
      <c r="F276" s="16" t="n">
        <f aca="false" t="array" ref="F276:F276">IF(D276="","",IFERROR(INDEX(Dados_Evap!$C$2:$N$15,MATCH($B$9,Dados_Evap!$A$2:$A$15,0),C276),0))</f>
        <v>189</v>
      </c>
      <c r="G276" s="16" t="n">
        <f aca="false">IF(F276="","",F276/1000)</f>
        <v>0.189</v>
      </c>
      <c r="H276" s="16" t="n">
        <f aca="false">IF(D276="","",MAX(0,MIN($B$8,IFERROR(LOOKUP(2,1/($U$24:U275&lt;&gt;""),$U$24:U275),$B$11))))</f>
        <v>115.563285050535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12.4020929863638</v>
      </c>
      <c r="J276" s="16" t="n">
        <f aca="false">IF(D276="","",$B$12)</f>
        <v>0.432</v>
      </c>
      <c r="K276" s="16" t="n">
        <f aca="false">IF(J276="","",J276*$B$15)</f>
        <v>1.119744</v>
      </c>
      <c r="L276" s="16" t="n">
        <f aca="false">IF(D276="","",H276+E276-K276-G276*I276)</f>
        <v>112.830688361987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12.2031414601888</v>
      </c>
      <c r="N276" s="16" t="n">
        <f aca="false">IF(D276="","",(I276+M276)/2)</f>
        <v>12.3026172232763</v>
      </c>
      <c r="O276" s="16" t="n">
        <f aca="false">IF(D276="","",G276*N276)</f>
        <v>2.32519465519922</v>
      </c>
      <c r="P276" s="16" t="n">
        <f aca="false">IF(D276="","",H276+E276-K276-O276)</f>
        <v>112.849489281211</v>
      </c>
      <c r="Q276" s="16" t="n">
        <f aca="false">IF(D276="","",IF(P276&gt;=0,K276,MAX(0,K276+P276)))</f>
        <v>1.119744</v>
      </c>
      <c r="R276" s="16" t="n">
        <f aca="false">IF(D276="","",Q276/$B$15)</f>
        <v>0.432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112.849489281211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69.6601785686486</v>
      </c>
      <c r="Z276" s="18" t="n">
        <f aca="false">IF(D276="","",MAX(0,IF(P276&gt;=0,P276,IF(K276+P276&gt;=0,0,P276+K276))))</f>
        <v>112.849489281211</v>
      </c>
      <c r="AA276" s="18" t="n">
        <f aca="false">IF(D276="","",IF(H276&lt;=$B$16,1,IF(H276&gt;=$B$17,$B$21,MATCH(H276,Aux_CAV!$A$2:$A$121,1))))</f>
        <v>22</v>
      </c>
      <c r="AB276" s="18" t="n">
        <f aca="false">IF(D276="","",IF(L276&lt;=$B$16,1,IF(L276&gt;=$B$17,$B$21,MATCH(L276,Aux_CAV!$A$2:$A$121,1))))</f>
        <v>22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1.05080465567158</v>
      </c>
      <c r="E277" s="16" t="n">
        <f aca="false">IF(D277="","",D277*$B$15)</f>
        <v>2.72368566750074</v>
      </c>
      <c r="F277" s="16" t="n">
        <f aca="false" t="array" ref="F277:F277">IF(D277="","",IFERROR(INDEX(Dados_Evap!$C$2:$N$15,MATCH($B$9,Dados_Evap!$A$2:$A$15,0),C277),0))</f>
        <v>136.9</v>
      </c>
      <c r="G277" s="16" t="n">
        <f aca="false">IF(F277="","",F277/1000)</f>
        <v>0.1369</v>
      </c>
      <c r="H277" s="16" t="n">
        <f aca="false">IF(D277="","",MAX(0,MIN($B$8,IFERROR(LOOKUP(2,1/($U$24:U276&lt;&gt;""),$U$24:U276),$B$11))))</f>
        <v>112.849489281211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12.204510294305</v>
      </c>
      <c r="J277" s="16" t="n">
        <f aca="false">IF(D277="","",$B$12)</f>
        <v>0.432</v>
      </c>
      <c r="K277" s="16" t="n">
        <f aca="false">IF(J277="","",J277*$B$15)</f>
        <v>1.119744</v>
      </c>
      <c r="L277" s="16" t="n">
        <f aca="false">IF(D277="","",H277+E277-K277-G277*I277)</f>
        <v>112.782633489421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12.1996427403531</v>
      </c>
      <c r="N277" s="16" t="n">
        <f aca="false">IF(D277="","",(I277+M277)/2)</f>
        <v>12.202076517329</v>
      </c>
      <c r="O277" s="16" t="n">
        <f aca="false">IF(D277="","",G277*N277)</f>
        <v>1.67046427522235</v>
      </c>
      <c r="P277" s="16" t="n">
        <f aca="false">IF(D277="","",H277+E277-K277-O277)</f>
        <v>112.782966673489</v>
      </c>
      <c r="Q277" s="16" t="n">
        <f aca="false">IF(D277="","",IF(P277&gt;=0,K277,MAX(0,K277+P277)))</f>
        <v>1.119744</v>
      </c>
      <c r="R277" s="16" t="n">
        <f aca="false">IF(D277="","",Q277/$B$15)</f>
        <v>0.432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112.782966673489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69.6191152305488</v>
      </c>
      <c r="Z277" s="18" t="n">
        <f aca="false">IF(D277="","",MAX(0,IF(P277&gt;=0,P277,IF(K277+P277&gt;=0,0,P277+K277))))</f>
        <v>112.782966673489</v>
      </c>
      <c r="AA277" s="18" t="n">
        <f aca="false">IF(D277="","",IF(H277&lt;=$B$16,1,IF(H277&gt;=$B$17,$B$21,MATCH(H277,Aux_CAV!$A$2:$A$121,1))))</f>
        <v>22</v>
      </c>
      <c r="AB277" s="18" t="n">
        <f aca="false">IF(D277="","",IF(L277&lt;=$B$16,1,IF(L277&gt;=$B$17,$B$21,MATCH(L277,Aux_CAV!$A$2:$A$121,1))))</f>
        <v>22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1.31395015836572</v>
      </c>
      <c r="E278" s="16" t="n">
        <f aca="false">IF(D278="","",D278*$B$15)</f>
        <v>3.40575881048395</v>
      </c>
      <c r="F278" s="16" t="n">
        <f aca="false" t="array" ref="F278:F278">IF(D278="","",IFERROR(INDEX(Dados_Evap!$C$2:$N$15,MATCH($B$9,Dados_Evap!$A$2:$A$15,0),C278),0))</f>
        <v>102.9</v>
      </c>
      <c r="G278" s="16" t="n">
        <f aca="false">IF(F278="","",F278/1000)</f>
        <v>0.1029</v>
      </c>
      <c r="H278" s="16" t="n">
        <f aca="false">IF(D278="","",MAX(0,MIN($B$8,IFERROR(LOOKUP(2,1/($U$24:U277&lt;&gt;""),$U$24:U277),$B$11))))</f>
        <v>112.782966673489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12.1996669984074</v>
      </c>
      <c r="J278" s="16" t="n">
        <f aca="false">IF(D278="","",$B$12)</f>
        <v>0.432</v>
      </c>
      <c r="K278" s="16" t="n">
        <f aca="false">IF(J278="","",J278*$B$15)</f>
        <v>1.119744</v>
      </c>
      <c r="L278" s="16" t="n">
        <f aca="false">IF(D278="","",H278+E278-K278-G278*I278)</f>
        <v>113.813635749837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12.2747066801066</v>
      </c>
      <c r="N278" s="16" t="n">
        <f aca="false">IF(D278="","",(I278+M278)/2)</f>
        <v>12.237186839257</v>
      </c>
      <c r="O278" s="16" t="n">
        <f aca="false">IF(D278="","",G278*N278)</f>
        <v>1.25920652575954</v>
      </c>
      <c r="P278" s="16" t="n">
        <f aca="false">IF(D278="","",H278+E278-K278-O278)</f>
        <v>113.809774958214</v>
      </c>
      <c r="Q278" s="16" t="n">
        <f aca="false">IF(D278="","",IF(P278&gt;=0,K278,MAX(0,K278+P278)))</f>
        <v>1.119744</v>
      </c>
      <c r="R278" s="16" t="n">
        <f aca="false">IF(D278="","",Q278/$B$15)</f>
        <v>0.432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113.809774958214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70.2529475050701</v>
      </c>
      <c r="Z278" s="18" t="n">
        <f aca="false">IF(D278="","",MAX(0,IF(P278&gt;=0,P278,IF(K278+P278&gt;=0,0,P278+K278))))</f>
        <v>113.809774958214</v>
      </c>
      <c r="AA278" s="18" t="n">
        <f aca="false">IF(D278="","",IF(H278&lt;=$B$16,1,IF(H278&gt;=$B$17,$B$21,MATCH(H278,Aux_CAV!$A$2:$A$121,1))))</f>
        <v>22</v>
      </c>
      <c r="AB278" s="18" t="n">
        <f aca="false">IF(D278="","",IF(L278&lt;=$B$16,1,IF(L278&gt;=$B$17,$B$21,MATCH(L278,Aux_CAV!$A$2:$A$121,1))))</f>
        <v>22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2.17859880803136</v>
      </c>
      <c r="E279" s="16" t="n">
        <f aca="false">IF(D279="","",D279*$B$15)</f>
        <v>5.64692811041729</v>
      </c>
      <c r="F279" s="16" t="n">
        <f aca="false" t="array" ref="F279:F279">IF(D279="","",IFERROR(INDEX(Dados_Evap!$C$2:$N$15,MATCH($B$9,Dados_Evap!$A$2:$A$15,0),C279),0))</f>
        <v>81.8</v>
      </c>
      <c r="G279" s="16" t="n">
        <f aca="false">IF(F279="","",F279/1000)</f>
        <v>0.0818</v>
      </c>
      <c r="H279" s="16" t="n">
        <f aca="false">IF(D279="","",MAX(0,MIN($B$8,IFERROR(LOOKUP(2,1/($U$24:U278&lt;&gt;""),$U$24:U278),$B$11))))</f>
        <v>113.809774958214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12.2744255883564</v>
      </c>
      <c r="J279" s="16" t="n">
        <f aca="false">IF(D279="","",$B$12)</f>
        <v>0.432</v>
      </c>
      <c r="K279" s="16" t="n">
        <f aca="false">IF(J279="","",J279*$B$15)</f>
        <v>1.119744</v>
      </c>
      <c r="L279" s="16" t="n">
        <f aca="false">IF(D279="","",H279+E279-K279-G279*I279)</f>
        <v>117.332911055503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12.5309337318434</v>
      </c>
      <c r="N279" s="16" t="n">
        <f aca="false">IF(D279="","",(I279+M279)/2)</f>
        <v>12.4026796600999</v>
      </c>
      <c r="O279" s="16" t="n">
        <f aca="false">IF(D279="","",G279*N279)</f>
        <v>1.01453919619617</v>
      </c>
      <c r="P279" s="16" t="n">
        <f aca="false">IF(D279="","",H279+E279-K279-O279)</f>
        <v>117.322419872435</v>
      </c>
      <c r="Q279" s="16" t="n">
        <f aca="false">IF(D279="","",IF(P279&gt;=0,K279,MAX(0,K279+P279)))</f>
        <v>1.119744</v>
      </c>
      <c r="R279" s="16" t="n">
        <f aca="false">IF(D279="","",Q279/$B$15)</f>
        <v>0.432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117.322419872435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72.4212468348362</v>
      </c>
      <c r="Z279" s="18" t="n">
        <f aca="false">IF(D279="","",MAX(0,IF(P279&gt;=0,P279,IF(K279+P279&gt;=0,0,P279+K279))))</f>
        <v>117.322419872435</v>
      </c>
      <c r="AA279" s="18" t="n">
        <f aca="false">IF(D279="","",IF(H279&lt;=$B$16,1,IF(H279&gt;=$B$17,$B$21,MATCH(H279,Aux_CAV!$A$2:$A$121,1))))</f>
        <v>22</v>
      </c>
      <c r="AB279" s="18" t="n">
        <f aca="false">IF(D279="","",IF(L279&lt;=$B$16,1,IF(L279&gt;=$B$17,$B$21,MATCH(L279,Aux_CAV!$A$2:$A$121,1))))</f>
        <v>22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0.841217283792194</v>
      </c>
      <c r="E280" s="16" t="n">
        <f aca="false">IF(D280="","",D280*$B$15)</f>
        <v>2.18043519958937</v>
      </c>
      <c r="F280" s="16" t="n">
        <f aca="false" t="array" ref="F280:F280">IF(D280="","",IFERROR(INDEX(Dados_Evap!$C$2:$N$15,MATCH($B$9,Dados_Evap!$A$2:$A$15,0),C280),0))</f>
        <v>83.6</v>
      </c>
      <c r="G280" s="16" t="n">
        <f aca="false">IF(F280="","",F280/1000)</f>
        <v>0.0836</v>
      </c>
      <c r="H280" s="16" t="n">
        <f aca="false">IF(D280="","",MAX(0,MIN($B$8,IFERROR(LOOKUP(2,1/($U$24:U279&lt;&gt;""),$U$24:U279),$B$11))))</f>
        <v>117.322419872435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12.5301699027384</v>
      </c>
      <c r="J280" s="16" t="n">
        <f aca="false">IF(D280="","",$B$12)</f>
        <v>0.432</v>
      </c>
      <c r="K280" s="16" t="n">
        <f aca="false">IF(J280="","",J280*$B$15)</f>
        <v>1.119744</v>
      </c>
      <c r="L280" s="16" t="n">
        <f aca="false">IF(D280="","",H280+E280-K280-G280*I280)</f>
        <v>117.335588868155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12.531128694721</v>
      </c>
      <c r="N280" s="16" t="n">
        <f aca="false">IF(D280="","",(I280+M280)/2)</f>
        <v>12.5306492987297</v>
      </c>
      <c r="O280" s="16" t="n">
        <f aca="false">IF(D280="","",G280*N280)</f>
        <v>1.0475622813738</v>
      </c>
      <c r="P280" s="16" t="n">
        <f aca="false">IF(D280="","",H280+E280-K280-O280)</f>
        <v>117.33554879065</v>
      </c>
      <c r="Q280" s="16" t="n">
        <f aca="false">IF(D280="","",IF(P280&gt;=0,K280,MAX(0,K280+P280)))</f>
        <v>1.119744</v>
      </c>
      <c r="R280" s="16" t="n">
        <f aca="false">IF(D280="","",Q280/$B$15)</f>
        <v>0.432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117.33554879065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72.4293511053396</v>
      </c>
      <c r="Z280" s="18" t="n">
        <f aca="false">IF(D280="","",MAX(0,IF(P280&gt;=0,P280,IF(K280+P280&gt;=0,0,P280+K280))))</f>
        <v>117.33554879065</v>
      </c>
      <c r="AA280" s="18" t="n">
        <f aca="false">IF(D280="","",IF(H280&lt;=$B$16,1,IF(H280&gt;=$B$17,$B$21,MATCH(H280,Aux_CAV!$A$2:$A$121,1))))</f>
        <v>22</v>
      </c>
      <c r="AB280" s="18" t="n">
        <f aca="false">IF(D280="","",IF(L280&lt;=$B$16,1,IF(L280&gt;=$B$17,$B$21,MATCH(L280,Aux_CAV!$A$2:$A$121,1))))</f>
        <v>22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0.610989978183662</v>
      </c>
      <c r="E281" s="16" t="n">
        <f aca="false">IF(D281="","",D281*$B$15)</f>
        <v>1.58368602345205</v>
      </c>
      <c r="F281" s="16" t="n">
        <f aca="false" t="array" ref="F281:F281">IF(D281="","",IFERROR(INDEX(Dados_Evap!$C$2:$N$15,MATCH($B$9,Dados_Evap!$A$2:$A$15,0),C281),0))</f>
        <v>108.2</v>
      </c>
      <c r="G281" s="16" t="n">
        <f aca="false">IF(F281="","",F281/1000)</f>
        <v>0.1082</v>
      </c>
      <c r="H281" s="16" t="n">
        <f aca="false">IF(D281="","",MAX(0,MIN($B$8,IFERROR(LOOKUP(2,1/($U$24:U280&lt;&gt;""),$U$24:U280),$B$11))))</f>
        <v>117.33554879065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12.5311257768075</v>
      </c>
      <c r="J281" s="16" t="n">
        <f aca="false">IF(D281="","",$B$12)</f>
        <v>0.432</v>
      </c>
      <c r="K281" s="16" t="n">
        <f aca="false">IF(J281="","",J281*$B$15)</f>
        <v>1.119744</v>
      </c>
      <c r="L281" s="16" t="n">
        <f aca="false">IF(D281="","",H281+E281-K281-G281*I281)</f>
        <v>116.443623005052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12.4661875453358</v>
      </c>
      <c r="N281" s="16" t="n">
        <f aca="false">IF(D281="","",(I281+M281)/2)</f>
        <v>12.4986566610717</v>
      </c>
      <c r="O281" s="16" t="n">
        <f aca="false">IF(D281="","",G281*N281)</f>
        <v>1.35235465072796</v>
      </c>
      <c r="P281" s="16" t="n">
        <f aca="false">IF(D281="","",H281+E281-K281-O281)</f>
        <v>116.447136163374</v>
      </c>
      <c r="Q281" s="16" t="n">
        <f aca="false">IF(D281="","",IF(P281&gt;=0,K281,MAX(0,K281+P281)))</f>
        <v>1.119744</v>
      </c>
      <c r="R281" s="16" t="n">
        <f aca="false">IF(D281="","",Q281/$B$15)</f>
        <v>0.432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116.447136163374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71.8809482489965</v>
      </c>
      <c r="Z281" s="18" t="n">
        <f aca="false">IF(D281="","",MAX(0,IF(P281&gt;=0,P281,IF(K281+P281&gt;=0,0,P281+K281))))</f>
        <v>116.447136163374</v>
      </c>
      <c r="AA281" s="18" t="n">
        <f aca="false">IF(D281="","",IF(H281&lt;=$B$16,1,IF(H281&gt;=$B$17,$B$21,MATCH(H281,Aux_CAV!$A$2:$A$121,1))))</f>
        <v>22</v>
      </c>
      <c r="AB281" s="18" t="n">
        <f aca="false">IF(D281="","",IF(L281&lt;=$B$16,1,IF(L281&gt;=$B$17,$B$21,MATCH(L281,Aux_CAV!$A$2:$A$121,1))))</f>
        <v>22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0.219715937616862</v>
      </c>
      <c r="E282" s="16" t="n">
        <f aca="false">IF(D282="","",D282*$B$15)</f>
        <v>0.569503710302906</v>
      </c>
      <c r="F282" s="16" t="n">
        <f aca="false" t="array" ref="F282:F282">IF(D282="","",IFERROR(INDEX(Dados_Evap!$C$2:$N$15,MATCH($B$9,Dados_Evap!$A$2:$A$15,0),C282),0))</f>
        <v>149</v>
      </c>
      <c r="G282" s="16" t="n">
        <f aca="false">IF(F282="","",F282/1000)</f>
        <v>0.149</v>
      </c>
      <c r="H282" s="16" t="n">
        <f aca="false">IF(D282="","",MAX(0,MIN($B$8,IFERROR(LOOKUP(2,1/($U$24:U281&lt;&gt;""),$U$24:U281),$B$11))))</f>
        <v>116.447136163374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12.4664433270298</v>
      </c>
      <c r="J282" s="16" t="n">
        <f aca="false">IF(D282="","",$B$12)</f>
        <v>0.432</v>
      </c>
      <c r="K282" s="16" t="n">
        <f aca="false">IF(J282="","",J282*$B$15)</f>
        <v>1.119744</v>
      </c>
      <c r="L282" s="16" t="n">
        <f aca="false">IF(D282="","",H282+E282-K282-G282*I282)</f>
        <v>114.03939581795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12.2911435404338</v>
      </c>
      <c r="N282" s="16" t="n">
        <f aca="false">IF(D282="","",(I282+M282)/2)</f>
        <v>12.3787934337318</v>
      </c>
      <c r="O282" s="16" t="n">
        <f aca="false">IF(D282="","",G282*N282)</f>
        <v>1.84444022162604</v>
      </c>
      <c r="P282" s="16" t="n">
        <f aca="false">IF(D282="","",H282+E282-K282-O282)</f>
        <v>114.052455652051</v>
      </c>
      <c r="Q282" s="16" t="n">
        <f aca="false">IF(D282="","",IF(P282&gt;=0,K282,MAX(0,K282+P282)))</f>
        <v>1.119744</v>
      </c>
      <c r="R282" s="16" t="n">
        <f aca="false">IF(D282="","",Q282/$B$15)</f>
        <v>0.432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114.052455652051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70.4027504025007</v>
      </c>
      <c r="Z282" s="18" t="n">
        <f aca="false">IF(D282="","",MAX(0,IF(P282&gt;=0,P282,IF(K282+P282&gt;=0,0,P282+K282))))</f>
        <v>114.052455652051</v>
      </c>
      <c r="AA282" s="18" t="n">
        <f aca="false">IF(D282="","",IF(H282&lt;=$B$16,1,IF(H282&gt;=$B$17,$B$21,MATCH(H282,Aux_CAV!$A$2:$A$121,1))))</f>
        <v>22</v>
      </c>
      <c r="AB282" s="18" t="n">
        <f aca="false">IF(D282="","",IF(L282&lt;=$B$16,1,IF(L282&gt;=$B$17,$B$21,MATCH(L282,Aux_CAV!$A$2:$A$121,1))))</f>
        <v>22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0.175498667466185</v>
      </c>
      <c r="E283" s="16" t="n">
        <f aca="false">IF(D283="","",D283*$B$15)</f>
        <v>0.454892546072352</v>
      </c>
      <c r="F283" s="16" t="n">
        <f aca="false" t="array" ref="F283:F283">IF(D283="","",IFERROR(INDEX(Dados_Evap!$C$2:$N$15,MATCH($B$9,Dados_Evap!$A$2:$A$15,0),C283),0))</f>
        <v>206.8</v>
      </c>
      <c r="G283" s="16" t="n">
        <f aca="false">IF(F283="","",F283/1000)</f>
        <v>0.2068</v>
      </c>
      <c r="H283" s="16" t="n">
        <f aca="false">IF(D283="","",MAX(0,MIN($B$8,IFERROR(LOOKUP(2,1/($U$24:U282&lt;&gt;""),$U$24:U282),$B$11))))</f>
        <v>114.052455652051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12.2920943847121</v>
      </c>
      <c r="J283" s="16" t="n">
        <f aca="false">IF(D283="","",$B$12)</f>
        <v>0.432</v>
      </c>
      <c r="K283" s="16" t="n">
        <f aca="false">IF(J283="","",J283*$B$15)</f>
        <v>1.119744</v>
      </c>
      <c r="L283" s="16" t="n">
        <f aca="false">IF(D283="","",H283+E283-K283-G283*I283)</f>
        <v>110.845599079365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12.0586135303898</v>
      </c>
      <c r="N283" s="16" t="n">
        <f aca="false">IF(D283="","",(I283+M283)/2)</f>
        <v>12.175353957551</v>
      </c>
      <c r="O283" s="16" t="n">
        <f aca="false">IF(D283="","",G283*N283)</f>
        <v>2.51786319842154</v>
      </c>
      <c r="P283" s="16" t="n">
        <f aca="false">IF(D283="","",H283+E283-K283-O283)</f>
        <v>110.869740999702</v>
      </c>
      <c r="Q283" s="16" t="n">
        <f aca="false">IF(D283="","",IF(P283&gt;=0,K283,MAX(0,K283+P283)))</f>
        <v>1.119744</v>
      </c>
      <c r="R283" s="16" t="n">
        <f aca="false">IF(D283="","",Q283/$B$15)</f>
        <v>0.432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110.869740999702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68.4381117282111</v>
      </c>
      <c r="Z283" s="18" t="n">
        <f aca="false">IF(D283="","",MAX(0,IF(P283&gt;=0,P283,IF(K283+P283&gt;=0,0,P283+K283))))</f>
        <v>110.869740999702</v>
      </c>
      <c r="AA283" s="18" t="n">
        <f aca="false">IF(D283="","",IF(H283&lt;=$B$16,1,IF(H283&gt;=$B$17,$B$21,MATCH(H283,Aux_CAV!$A$2:$A$121,1))))</f>
        <v>22</v>
      </c>
      <c r="AB283" s="18" t="n">
        <f aca="false">IF(D283="","",IF(L283&lt;=$B$16,1,IF(L283&gt;=$B$17,$B$21,MATCH(L283,Aux_CAV!$A$2:$A$121,1))))</f>
        <v>22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0.153981704603591</v>
      </c>
      <c r="E284" s="16" t="n">
        <f aca="false">IF(D284="","",D284*$B$15)</f>
        <v>0.399120578332508</v>
      </c>
      <c r="F284" s="16" t="n">
        <f aca="false" t="array" ref="F284:F284">IF(D284="","",IFERROR(INDEX(Dados_Evap!$C$2:$N$15,MATCH($B$9,Dados_Evap!$A$2:$A$15,0),C284),0))</f>
        <v>245.9</v>
      </c>
      <c r="G284" s="16" t="n">
        <f aca="false">IF(F284="","",F284/1000)</f>
        <v>0.2459</v>
      </c>
      <c r="H284" s="16" t="n">
        <f aca="false">IF(D284="","",MAX(0,MIN($B$8,IFERROR(LOOKUP(2,1/($U$24:U283&lt;&gt;""),$U$24:U283),$B$11))))</f>
        <v>110.869740999702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12.0603712255213</v>
      </c>
      <c r="J284" s="16" t="n">
        <f aca="false">IF(D284="","",$B$12)</f>
        <v>0.432</v>
      </c>
      <c r="K284" s="16" t="n">
        <f aca="false">IF(J284="","",J284*$B$15)</f>
        <v>1.119744</v>
      </c>
      <c r="L284" s="16" t="n">
        <f aca="false">IF(D284="","",H284+E284-K284-G284*I284)</f>
        <v>107.183472293679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11.7919859244529</v>
      </c>
      <c r="N284" s="16" t="n">
        <f aca="false">IF(D284="","",(I284+M284)/2)</f>
        <v>11.9261785749871</v>
      </c>
      <c r="O284" s="16" t="n">
        <f aca="false">IF(D284="","",G284*N284)</f>
        <v>2.93264731158933</v>
      </c>
      <c r="P284" s="16" t="n">
        <f aca="false">IF(D284="","",H284+E284-K284-O284)</f>
        <v>107.216470266445</v>
      </c>
      <c r="Q284" s="16" t="n">
        <f aca="false">IF(D284="","",IF(P284&gt;=0,K284,MAX(0,K284+P284)))</f>
        <v>1.119744</v>
      </c>
      <c r="R284" s="16" t="n">
        <f aca="false">IF(D284="","",Q284/$B$15)</f>
        <v>0.432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107.216470266445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66.1830063373118</v>
      </c>
      <c r="Z284" s="18" t="n">
        <f aca="false">IF(D284="","",MAX(0,IF(P284&gt;=0,P284,IF(K284+P284&gt;=0,0,P284+K284))))</f>
        <v>107.216470266445</v>
      </c>
      <c r="AA284" s="18" t="n">
        <f aca="false">IF(D284="","",IF(H284&lt;=$B$16,1,IF(H284&gt;=$B$17,$B$21,MATCH(H284,Aux_CAV!$A$2:$A$121,1))))</f>
        <v>22</v>
      </c>
      <c r="AB284" s="18" t="n">
        <f aca="false">IF(D284="","",IF(L284&lt;=$B$16,1,IF(L284&gt;=$B$17,$B$21,MATCH(L284,Aux_CAV!$A$2:$A$121,1))))</f>
        <v>22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0.130274986454546</v>
      </c>
      <c r="E285" s="16" t="n">
        <f aca="false">IF(D285="","",D285*$B$15)</f>
        <v>0.337672764890183</v>
      </c>
      <c r="F285" s="16" t="n">
        <f aca="false" t="array" ref="F285:F285">IF(D285="","",IFERROR(INDEX(Dados_Evap!$C$2:$N$15,MATCH($B$9,Dados_Evap!$A$2:$A$15,0),C285),0))</f>
        <v>282.3</v>
      </c>
      <c r="G285" s="16" t="n">
        <f aca="false">IF(F285="","",F285/1000)</f>
        <v>0.2823</v>
      </c>
      <c r="H285" s="16" t="n">
        <f aca="false">IF(D285="","",MAX(0,MIN($B$8,IFERROR(LOOKUP(2,1/($U$24:U284&lt;&gt;""),$U$24:U284),$B$11))))</f>
        <v>107.216470266445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11.7943884001165</v>
      </c>
      <c r="J285" s="16" t="n">
        <f aca="false">IF(D285="","",$B$12)</f>
        <v>0.432</v>
      </c>
      <c r="K285" s="16" t="n">
        <f aca="false">IF(J285="","",J285*$B$15)</f>
        <v>1.119744</v>
      </c>
      <c r="L285" s="16" t="n">
        <f aca="false">IF(D285="","",H285+E285-K285-G285*I285)</f>
        <v>103.104843185982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11.4950341316476</v>
      </c>
      <c r="N285" s="16" t="n">
        <f aca="false">IF(D285="","",(I285+M285)/2)</f>
        <v>11.644711265882</v>
      </c>
      <c r="O285" s="16" t="n">
        <f aca="false">IF(D285="","",G285*N285)</f>
        <v>3.2873019903585</v>
      </c>
      <c r="P285" s="16" t="n">
        <f aca="false">IF(D285="","",H285+E285-K285-O285)</f>
        <v>103.147097040977</v>
      </c>
      <c r="Q285" s="16" t="n">
        <f aca="false">IF(D285="","",IF(P285&gt;=0,K285,MAX(0,K285+P285)))</f>
        <v>1.119744</v>
      </c>
      <c r="R285" s="16" t="n">
        <f aca="false">IF(D285="","",Q285/$B$15)</f>
        <v>0.432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103.147097040977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63.6710475561585</v>
      </c>
      <c r="Z285" s="18" t="n">
        <f aca="false">IF(D285="","",MAX(0,IF(P285&gt;=0,P285,IF(K285+P285&gt;=0,0,P285+K285))))</f>
        <v>103.147097040977</v>
      </c>
      <c r="AA285" s="18" t="n">
        <f aca="false">IF(D285="","",IF(H285&lt;=$B$16,1,IF(H285&gt;=$B$17,$B$21,MATCH(H285,Aux_CAV!$A$2:$A$121,1))))</f>
        <v>22</v>
      </c>
      <c r="AB285" s="18" t="n">
        <f aca="false">IF(D285="","",IF(L285&lt;=$B$16,1,IF(L285&gt;=$B$17,$B$21,MATCH(L285,Aux_CAV!$A$2:$A$121,1))))</f>
        <v>22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0.113926704248958</v>
      </c>
      <c r="E286" s="16" t="n">
        <f aca="false">IF(D286="","",D286*$B$15)</f>
        <v>0.295298017413299</v>
      </c>
      <c r="F286" s="16" t="n">
        <f aca="false" t="array" ref="F286:F286">IF(D286="","",IFERROR(INDEX(Dados_Evap!$C$2:$N$15,MATCH($B$9,Dados_Evap!$A$2:$A$15,0),C286),0))</f>
        <v>241.3</v>
      </c>
      <c r="G286" s="16" t="n">
        <f aca="false">IF(F286="","",F286/1000)</f>
        <v>0.2413</v>
      </c>
      <c r="H286" s="16" t="n">
        <f aca="false">IF(D286="","",MAX(0,MIN($B$8,IFERROR(LOOKUP(2,1/($U$24:U285&lt;&gt;""),$U$24:U285),$B$11))))</f>
        <v>103.147097040977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11.4981104981576</v>
      </c>
      <c r="J286" s="16" t="n">
        <f aca="false">IF(D286="","",$B$12)</f>
        <v>0.432</v>
      </c>
      <c r="K286" s="16" t="n">
        <f aca="false">IF(J286="","",J286*$B$15)</f>
        <v>1.119744</v>
      </c>
      <c r="L286" s="16" t="n">
        <f aca="false">IF(D286="","",H286+E286-K286-G286*I286)</f>
        <v>99.5481569951847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11.2360833143717</v>
      </c>
      <c r="N286" s="16" t="n">
        <f aca="false">IF(D286="","",(I286+M286)/2)</f>
        <v>11.3670969062647</v>
      </c>
      <c r="O286" s="16" t="n">
        <f aca="false">IF(D286="","",G286*N286)</f>
        <v>2.74288048348167</v>
      </c>
      <c r="P286" s="16" t="n">
        <f aca="false">IF(D286="","",H286+E286-K286-O286)</f>
        <v>99.5797705749085</v>
      </c>
      <c r="Q286" s="16" t="n">
        <f aca="false">IF(D286="","",IF(P286&gt;=0,K286,MAX(0,K286+P286)))</f>
        <v>1.119744</v>
      </c>
      <c r="R286" s="16" t="n">
        <f aca="false">IF(D286="","",Q286/$B$15)</f>
        <v>0.432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99.5797705749085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61.4689941820423</v>
      </c>
      <c r="Z286" s="18" t="n">
        <f aca="false">IF(D286="","",MAX(0,IF(P286&gt;=0,P286,IF(K286+P286&gt;=0,0,P286+K286))))</f>
        <v>99.5797705749085</v>
      </c>
      <c r="AA286" s="18" t="n">
        <f aca="false">IF(D286="","",IF(H286&lt;=$B$16,1,IF(H286&gt;=$B$17,$B$21,MATCH(H286,Aux_CAV!$A$2:$A$121,1))))</f>
        <v>22</v>
      </c>
      <c r="AB286" s="18" t="n">
        <f aca="false">IF(D286="","",IF(L286&lt;=$B$16,1,IF(L286&gt;=$B$17,$B$21,MATCH(L286,Aux_CAV!$A$2:$A$121,1))))</f>
        <v>22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0.106913478954824</v>
      </c>
      <c r="E287" s="16" t="n">
        <f aca="false">IF(D287="","",D287*$B$15)</f>
        <v>0.277119737450904</v>
      </c>
      <c r="F287" s="16" t="n">
        <f aca="false" t="array" ref="F287:F287">IF(D287="","",IFERROR(INDEX(Dados_Evap!$C$2:$N$15,MATCH($B$9,Dados_Evap!$A$2:$A$15,0),C287),0))</f>
        <v>241.8</v>
      </c>
      <c r="G287" s="16" t="n">
        <f aca="false">IF(F287="","",F287/1000)</f>
        <v>0.2418</v>
      </c>
      <c r="H287" s="16" t="n">
        <f aca="false">IF(D287="","",MAX(0,MIN($B$8,IFERROR(LOOKUP(2,1/($U$24:U286&lt;&gt;""),$U$24:U286),$B$11))))</f>
        <v>99.5797705749085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11.2383849968558</v>
      </c>
      <c r="J287" s="16" t="n">
        <f aca="false">IF(D287="","",$B$12)</f>
        <v>0.432</v>
      </c>
      <c r="K287" s="16" t="n">
        <f aca="false">IF(J287="","",J287*$B$15)</f>
        <v>1.119744</v>
      </c>
      <c r="L287" s="16" t="n">
        <f aca="false">IF(D287="","",H287+E287-K287-G287*I287)</f>
        <v>96.0197048201197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10.9791881244571</v>
      </c>
      <c r="N287" s="16" t="n">
        <f aca="false">IF(D287="","",(I287+M287)/2)</f>
        <v>11.1087865606564</v>
      </c>
      <c r="O287" s="16" t="n">
        <f aca="false">IF(D287="","",G287*N287)</f>
        <v>2.68610459036672</v>
      </c>
      <c r="P287" s="16" t="n">
        <f aca="false">IF(D287="","",H287+E287-K287-O287)</f>
        <v>96.0510417219927</v>
      </c>
      <c r="Q287" s="16" t="n">
        <f aca="false">IF(D287="","",IF(P287&gt;=0,K287,MAX(0,K287+P287)))</f>
        <v>1.119744</v>
      </c>
      <c r="R287" s="16" t="n">
        <f aca="false">IF(D287="","",Q287/$B$15)</f>
        <v>0.432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96.0510417219927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59.2907664950572</v>
      </c>
      <c r="Z287" s="18" t="n">
        <f aca="false">IF(D287="","",MAX(0,IF(P287&gt;=0,P287,IF(K287+P287&gt;=0,0,P287+K287))))</f>
        <v>96.0510417219927</v>
      </c>
      <c r="AA287" s="18" t="n">
        <f aca="false">IF(D287="","",IF(H287&lt;=$B$16,1,IF(H287&gt;=$B$17,$B$21,MATCH(H287,Aux_CAV!$A$2:$A$121,1))))</f>
        <v>22</v>
      </c>
      <c r="AB287" s="18" t="n">
        <f aca="false">IF(D287="","",IF(L287&lt;=$B$16,1,IF(L287&gt;=$B$17,$B$21,MATCH(L287,Aux_CAV!$A$2:$A$121,1))))</f>
        <v>22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0.186869181064181</v>
      </c>
      <c r="E288" s="16" t="n">
        <f aca="false">IF(D288="","",D288*$B$15)</f>
        <v>0.484364917318357</v>
      </c>
      <c r="F288" s="16" t="n">
        <f aca="false" t="array" ref="F288:F288">IF(D288="","",IFERROR(INDEX(Dados_Evap!$C$2:$N$15,MATCH($B$9,Dados_Evap!$A$2:$A$15,0),C288),0))</f>
        <v>189</v>
      </c>
      <c r="G288" s="16" t="n">
        <f aca="false">IF(F288="","",F288/1000)</f>
        <v>0.189</v>
      </c>
      <c r="H288" s="16" t="n">
        <f aca="false">IF(D288="","",MAX(0,MIN($B$8,IFERROR(LOOKUP(2,1/($U$24:U287&lt;&gt;""),$U$24:U287),$B$11))))</f>
        <v>96.0510417219927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10.9814696629217</v>
      </c>
      <c r="J288" s="16" t="n">
        <f aca="false">IF(D288="","",$B$12)</f>
        <v>0.432</v>
      </c>
      <c r="K288" s="16" t="n">
        <f aca="false">IF(J288="","",J288*$B$15)</f>
        <v>1.119744</v>
      </c>
      <c r="L288" s="16" t="n">
        <f aca="false">IF(D288="","",H288+E288-K288-G288*I288)</f>
        <v>93.3401648730188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10.7840994880122</v>
      </c>
      <c r="N288" s="16" t="n">
        <f aca="false">IF(D288="","",(I288+M288)/2)</f>
        <v>10.8827845754669</v>
      </c>
      <c r="O288" s="16" t="n">
        <f aca="false">IF(D288="","",G288*N288)</f>
        <v>2.05684628476325</v>
      </c>
      <c r="P288" s="16" t="n">
        <f aca="false">IF(D288="","",H288+E288-K288-O288)</f>
        <v>93.3588163545478</v>
      </c>
      <c r="Q288" s="16" t="n">
        <f aca="false">IF(D288="","",IF(P288&gt;=0,K288,MAX(0,K288+P288)))</f>
        <v>1.119744</v>
      </c>
      <c r="R288" s="16" t="n">
        <f aca="false">IF(D288="","",Q288/$B$15)</f>
        <v>0.432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93.3588163545478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57.6288989842887</v>
      </c>
      <c r="Z288" s="18" t="n">
        <f aca="false">IF(D288="","",MAX(0,IF(P288&gt;=0,P288,IF(K288+P288&gt;=0,0,P288+K288))))</f>
        <v>93.3588163545478</v>
      </c>
      <c r="AA288" s="18" t="n">
        <f aca="false">IF(D288="","",IF(H288&lt;=$B$16,1,IF(H288&gt;=$B$17,$B$21,MATCH(H288,Aux_CAV!$A$2:$A$121,1))))</f>
        <v>22</v>
      </c>
      <c r="AB288" s="18" t="n">
        <f aca="false">IF(D288="","",IF(L288&lt;=$B$16,1,IF(L288&gt;=$B$17,$B$21,MATCH(L288,Aux_CAV!$A$2:$A$121,1))))</f>
        <v>22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0.300926753133615</v>
      </c>
      <c r="E289" s="16" t="n">
        <f aca="false">IF(D289="","",D289*$B$15)</f>
        <v>0.78000214412233</v>
      </c>
      <c r="F289" s="16" t="n">
        <f aca="false" t="array" ref="F289:F289">IF(D289="","",IFERROR(INDEX(Dados_Evap!$C$2:$N$15,MATCH($B$9,Dados_Evap!$A$2:$A$15,0),C289),0))</f>
        <v>136.9</v>
      </c>
      <c r="G289" s="16" t="n">
        <f aca="false">IF(F289="","",F289/1000)</f>
        <v>0.1369</v>
      </c>
      <c r="H289" s="16" t="n">
        <f aca="false">IF(D289="","",MAX(0,MIN($B$8,IFERROR(LOOKUP(2,1/($U$24:U288&lt;&gt;""),$U$24:U288),$B$11))))</f>
        <v>93.3588163545478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10.7854574420531</v>
      </c>
      <c r="J289" s="16" t="n">
        <f aca="false">IF(D289="","",$B$12)</f>
        <v>0.432</v>
      </c>
      <c r="K289" s="16" t="n">
        <f aca="false">IF(J289="","",J289*$B$15)</f>
        <v>1.119744</v>
      </c>
      <c r="L289" s="16" t="n">
        <f aca="false">IF(D289="","",H289+E289-K289-G289*I289)</f>
        <v>91.542545374853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10.6532206268392</v>
      </c>
      <c r="N289" s="16" t="n">
        <f aca="false">IF(D289="","",(I289+M289)/2)</f>
        <v>10.7193390344462</v>
      </c>
      <c r="O289" s="16" t="n">
        <f aca="false">IF(D289="","",G289*N289)</f>
        <v>1.46747751381568</v>
      </c>
      <c r="P289" s="16" t="n">
        <f aca="false">IF(D289="","",H289+E289-K289-O289)</f>
        <v>91.5515969848544</v>
      </c>
      <c r="Q289" s="16" t="n">
        <f aca="false">IF(D289="","",IF(P289&gt;=0,K289,MAX(0,K289+P289)))</f>
        <v>1.119744</v>
      </c>
      <c r="R289" s="16" t="n">
        <f aca="false">IF(D289="","",Q289/$B$15)</f>
        <v>0.432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91.5515969848544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56.5133314721324</v>
      </c>
      <c r="Z289" s="18" t="n">
        <f aca="false">IF(D289="","",MAX(0,IF(P289&gt;=0,P289,IF(K289+P289&gt;=0,0,P289+K289))))</f>
        <v>91.5515969848544</v>
      </c>
      <c r="AA289" s="18" t="n">
        <f aca="false">IF(D289="","",IF(H289&lt;=$B$16,1,IF(H289&gt;=$B$17,$B$21,MATCH(H289,Aux_CAV!$A$2:$A$121,1))))</f>
        <v>22</v>
      </c>
      <c r="AB289" s="18" t="n">
        <f aca="false">IF(D289="","",IF(L289&lt;=$B$16,1,IF(L289&gt;=$B$17,$B$21,MATCH(L289,Aux_CAV!$A$2:$A$121,1))))</f>
        <v>22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0.362477361228157</v>
      </c>
      <c r="E290" s="16" t="n">
        <f aca="false">IF(D290="","",D290*$B$15)</f>
        <v>0.939541320303383</v>
      </c>
      <c r="F290" s="16" t="n">
        <f aca="false" t="array" ref="F290:F290">IF(D290="","",IFERROR(INDEX(Dados_Evap!$C$2:$N$15,MATCH($B$9,Dados_Evap!$A$2:$A$15,0),C290),0))</f>
        <v>102.9</v>
      </c>
      <c r="G290" s="16" t="n">
        <f aca="false">IF(F290="","",F290/1000)</f>
        <v>0.1029</v>
      </c>
      <c r="H290" s="16" t="n">
        <f aca="false">IF(D290="","",MAX(0,MIN($B$8,IFERROR(LOOKUP(2,1/($U$24:U289&lt;&gt;""),$U$24:U289),$B$11))))</f>
        <v>91.5515969848544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10.6538796452855</v>
      </c>
      <c r="J290" s="16" t="n">
        <f aca="false">IF(D290="","",$B$12)</f>
        <v>0.432</v>
      </c>
      <c r="K290" s="16" t="n">
        <f aca="false">IF(J290="","",J290*$B$15)</f>
        <v>1.119744</v>
      </c>
      <c r="L290" s="16" t="n">
        <f aca="false">IF(D290="","",H290+E290-K290-G290*I290)</f>
        <v>90.2751100896579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10.5609427633058</v>
      </c>
      <c r="N290" s="16" t="n">
        <f aca="false">IF(D290="","",(I290+M290)/2)</f>
        <v>10.6074112042957</v>
      </c>
      <c r="O290" s="16" t="n">
        <f aca="false">IF(D290="","",G290*N290)</f>
        <v>1.09150261292203</v>
      </c>
      <c r="P290" s="16" t="n">
        <f aca="false">IF(D290="","",H290+E290-K290-O290)</f>
        <v>90.2798916922358</v>
      </c>
      <c r="Q290" s="16" t="n">
        <f aca="false">IF(D290="","",IF(P290&gt;=0,K290,MAX(0,K290+P290)))</f>
        <v>1.119744</v>
      </c>
      <c r="R290" s="16" t="n">
        <f aca="false">IF(D290="","",Q290/$B$15)</f>
        <v>0.432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90.2798916922358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55.7283282050838</v>
      </c>
      <c r="Z290" s="18" t="n">
        <f aca="false">IF(D290="","",MAX(0,IF(P290&gt;=0,P290,IF(K290+P290&gt;=0,0,P290+K290))))</f>
        <v>90.2798916922358</v>
      </c>
      <c r="AA290" s="18" t="n">
        <f aca="false">IF(D290="","",IF(H290&lt;=$B$16,1,IF(H290&gt;=$B$17,$B$21,MATCH(H290,Aux_CAV!$A$2:$A$121,1))))</f>
        <v>22</v>
      </c>
      <c r="AB290" s="18" t="n">
        <f aca="false">IF(D290="","",IF(L290&lt;=$B$16,1,IF(L290&gt;=$B$17,$B$21,MATCH(L290,Aux_CAV!$A$2:$A$121,1))))</f>
        <v>22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0.328288974557004</v>
      </c>
      <c r="E291" s="16" t="n">
        <f aca="false">IF(D291="","",D291*$B$15)</f>
        <v>0.850925022051755</v>
      </c>
      <c r="F291" s="16" t="n">
        <f aca="false" t="array" ref="F291:F291">IF(D291="","",IFERROR(INDEX(Dados_Evap!$C$2:$N$15,MATCH($B$9,Dados_Evap!$A$2:$A$15,0),C291),0))</f>
        <v>81.8</v>
      </c>
      <c r="G291" s="16" t="n">
        <f aca="false">IF(F291="","",F291/1000)</f>
        <v>0.0818</v>
      </c>
      <c r="H291" s="16" t="n">
        <f aca="false">IF(D291="","",MAX(0,MIN($B$8,IFERROR(LOOKUP(2,1/($U$24:U290&lt;&gt;""),$U$24:U290),$B$11))))</f>
        <v>90.2798916922358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10.5612908963232</v>
      </c>
      <c r="J291" s="16" t="n">
        <f aca="false">IF(D291="","",$B$12)</f>
        <v>0.432</v>
      </c>
      <c r="K291" s="16" t="n">
        <f aca="false">IF(J291="","",J291*$B$15)</f>
        <v>1.119744</v>
      </c>
      <c r="L291" s="16" t="n">
        <f aca="false">IF(D291="","",H291+E291-K291-G291*I291)</f>
        <v>89.1471591189683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10.4788203015427</v>
      </c>
      <c r="N291" s="16" t="n">
        <f aca="false">IF(D291="","",(I291+M291)/2)</f>
        <v>10.5200555989329</v>
      </c>
      <c r="O291" s="16" t="n">
        <f aca="false">IF(D291="","",G291*N291)</f>
        <v>0.860540547992715</v>
      </c>
      <c r="P291" s="16" t="n">
        <f aca="false">IF(D291="","",H291+E291-K291-O291)</f>
        <v>89.1505321662948</v>
      </c>
      <c r="Q291" s="16" t="n">
        <f aca="false">IF(D291="","",IF(P291&gt;=0,K291,MAX(0,K291+P291)))</f>
        <v>1.119744</v>
      </c>
      <c r="R291" s="16" t="n">
        <f aca="false">IF(D291="","",Q291/$B$15)</f>
        <v>0.432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89.1505321662948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55.0311926952437</v>
      </c>
      <c r="Z291" s="18" t="n">
        <f aca="false">IF(D291="","",MAX(0,IF(P291&gt;=0,P291,IF(K291+P291&gt;=0,0,P291+K291))))</f>
        <v>89.1505321662948</v>
      </c>
      <c r="AA291" s="18" t="n">
        <f aca="false">IF(D291="","",IF(H291&lt;=$B$16,1,IF(H291&gt;=$B$17,$B$21,MATCH(H291,Aux_CAV!$A$2:$A$121,1))))</f>
        <v>22</v>
      </c>
      <c r="AB291" s="18" t="n">
        <f aca="false">IF(D291="","",IF(L291&lt;=$B$16,1,IF(L291&gt;=$B$17,$B$21,MATCH(L291,Aux_CAV!$A$2:$A$121,1))))</f>
        <v>22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0.20140244545699</v>
      </c>
      <c r="E292" s="16" t="n">
        <f aca="false">IF(D292="","",D292*$B$15)</f>
        <v>0.522035138624518</v>
      </c>
      <c r="F292" s="16" t="n">
        <f aca="false" t="array" ref="F292:F292">IF(D292="","",IFERROR(INDEX(Dados_Evap!$C$2:$N$15,MATCH($B$9,Dados_Evap!$A$2:$A$15,0),C292),0))</f>
        <v>83.6</v>
      </c>
      <c r="G292" s="16" t="n">
        <f aca="false">IF(F292="","",F292/1000)</f>
        <v>0.0836</v>
      </c>
      <c r="H292" s="16" t="n">
        <f aca="false">IF(D292="","",MAX(0,MIN($B$8,IFERROR(LOOKUP(2,1/($U$24:U291&lt;&gt;""),$U$24:U291),$B$11))))</f>
        <v>89.1505321662948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10.4790658822083</v>
      </c>
      <c r="J292" s="16" t="n">
        <f aca="false">IF(D292="","",$B$12)</f>
        <v>0.432</v>
      </c>
      <c r="K292" s="16" t="n">
        <f aca="false">IF(J292="","",J292*$B$15)</f>
        <v>1.119744</v>
      </c>
      <c r="L292" s="16" t="n">
        <f aca="false">IF(D292="","",H292+E292-K292-G292*I292)</f>
        <v>87.6767733971667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10.3717662731731</v>
      </c>
      <c r="N292" s="16" t="n">
        <f aca="false">IF(D292="","",(I292+M292)/2)</f>
        <v>10.4254160776907</v>
      </c>
      <c r="O292" s="16" t="n">
        <f aca="false">IF(D292="","",G292*N292)</f>
        <v>0.871564784094942</v>
      </c>
      <c r="P292" s="16" t="n">
        <f aca="false">IF(D292="","",H292+E292-K292-O292)</f>
        <v>87.6812585208244</v>
      </c>
      <c r="Q292" s="16" t="n">
        <f aca="false">IF(D292="","",IF(P292&gt;=0,K292,MAX(0,K292+P292)))</f>
        <v>1.119744</v>
      </c>
      <c r="R292" s="16" t="n">
        <f aca="false">IF(D292="","",Q292/$B$15)</f>
        <v>0.432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87.6812585208244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54.1242336548299</v>
      </c>
      <c r="Z292" s="18" t="n">
        <f aca="false">IF(D292="","",MAX(0,IF(P292&gt;=0,P292,IF(K292+P292&gt;=0,0,P292+K292))))</f>
        <v>87.6812585208244</v>
      </c>
      <c r="AA292" s="18" t="n">
        <f aca="false">IF(D292="","",IF(H292&lt;=$B$16,1,IF(H292&gt;=$B$17,$B$21,MATCH(H292,Aux_CAV!$A$2:$A$121,1))))</f>
        <v>22</v>
      </c>
      <c r="AB292" s="18" t="n">
        <f aca="false">IF(D292="","",IF(L292&lt;=$B$16,1,IF(L292&gt;=$B$17,$B$21,MATCH(L292,Aux_CAV!$A$2:$A$121,1))))</f>
        <v>22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0.295571976940104</v>
      </c>
      <c r="E293" s="16" t="n">
        <f aca="false">IF(D293="","",D293*$B$15)</f>
        <v>0.76612256422875</v>
      </c>
      <c r="F293" s="16" t="n">
        <f aca="false" t="array" ref="F293:F293">IF(D293="","",IFERROR(INDEX(Dados_Evap!$C$2:$N$15,MATCH($B$9,Dados_Evap!$A$2:$A$15,0),C293),0))</f>
        <v>108.2</v>
      </c>
      <c r="G293" s="16" t="n">
        <f aca="false">IF(F293="","",F293/1000)</f>
        <v>0.1082</v>
      </c>
      <c r="H293" s="16" t="n">
        <f aca="false">IF(D293="","",MAX(0,MIN($B$8,IFERROR(LOOKUP(2,1/($U$24:U292&lt;&gt;""),$U$24:U292),$B$11))))</f>
        <v>87.6812585208244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10.3720928205193</v>
      </c>
      <c r="J293" s="16" t="n">
        <f aca="false">IF(D293="","",$B$12)</f>
        <v>0.432</v>
      </c>
      <c r="K293" s="16" t="n">
        <f aca="false">IF(J293="","",J293*$B$15)</f>
        <v>1.119744</v>
      </c>
      <c r="L293" s="16" t="n">
        <f aca="false">IF(D293="","",H293+E293-K293-G293*I293)</f>
        <v>86.205376641873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10.2517622517939</v>
      </c>
      <c r="N293" s="16" t="n">
        <f aca="false">IF(D293="","",(I293+M293)/2)</f>
        <v>10.3119275361566</v>
      </c>
      <c r="O293" s="16" t="n">
        <f aca="false">IF(D293="","",G293*N293)</f>
        <v>1.11575055941215</v>
      </c>
      <c r="P293" s="16" t="n">
        <f aca="false">IF(D293="","",H293+E293-K293-O293)</f>
        <v>86.211886525641</v>
      </c>
      <c r="Q293" s="16" t="n">
        <f aca="false">IF(D293="","",IF(P293&gt;=0,K293,MAX(0,K293+P293)))</f>
        <v>1.119744</v>
      </c>
      <c r="R293" s="16" t="n">
        <f aca="false">IF(D293="","",Q293/$B$15)</f>
        <v>0.432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86.211886525641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53.2172139047167</v>
      </c>
      <c r="Z293" s="18" t="n">
        <f aca="false">IF(D293="","",MAX(0,IF(P293&gt;=0,P293,IF(K293+P293&gt;=0,0,P293+K293))))</f>
        <v>86.211886525641</v>
      </c>
      <c r="AA293" s="18" t="n">
        <f aca="false">IF(D293="","",IF(H293&lt;=$B$16,1,IF(H293&gt;=$B$17,$B$21,MATCH(H293,Aux_CAV!$A$2:$A$121,1))))</f>
        <v>22</v>
      </c>
      <c r="AB293" s="18" t="n">
        <f aca="false">IF(D293="","",IF(L293&lt;=$B$16,1,IF(L293&gt;=$B$17,$B$21,MATCH(L293,Aux_CAV!$A$2:$A$121,1))))</f>
        <v>21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0.141355441040119</v>
      </c>
      <c r="E294" s="16" t="n">
        <f aca="false">IF(D294="","",D294*$B$15)</f>
        <v>0.366393303175988</v>
      </c>
      <c r="F294" s="16" t="n">
        <f aca="false" t="array" ref="F294:F294">IF(D294="","",IFERROR(INDEX(Dados_Evap!$C$2:$N$15,MATCH($B$9,Dados_Evap!$A$2:$A$15,0),C294),0))</f>
        <v>149</v>
      </c>
      <c r="G294" s="16" t="n">
        <f aca="false">IF(F294="","",F294/1000)</f>
        <v>0.149</v>
      </c>
      <c r="H294" s="16" t="n">
        <f aca="false">IF(D294="","",MAX(0,MIN($B$8,IFERROR(LOOKUP(2,1/($U$24:U293&lt;&gt;""),$U$24:U293),$B$11))))</f>
        <v>86.211886525641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10.2523140973325</v>
      </c>
      <c r="J294" s="16" t="n">
        <f aca="false">IF(D294="","",$B$12)</f>
        <v>0.432</v>
      </c>
      <c r="K294" s="16" t="n">
        <f aca="false">IF(J294="","",J294*$B$15)</f>
        <v>1.119744</v>
      </c>
      <c r="L294" s="16" t="n">
        <f aca="false">IF(D294="","",H294+E294-K294-G294*I294)</f>
        <v>83.9309410283144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10.0589574044364</v>
      </c>
      <c r="N294" s="16" t="n">
        <f aca="false">IF(D294="","",(I294+M294)/2)</f>
        <v>10.1556357508845</v>
      </c>
      <c r="O294" s="16" t="n">
        <f aca="false">IF(D294="","",G294*N294)</f>
        <v>1.51318972688178</v>
      </c>
      <c r="P294" s="16" t="n">
        <f aca="false">IF(D294="","",H294+E294-K294-O294)</f>
        <v>83.9453461019352</v>
      </c>
      <c r="Q294" s="16" t="n">
        <f aca="false">IF(D294="","",IF(P294&gt;=0,K294,MAX(0,K294+P294)))</f>
        <v>1.119744</v>
      </c>
      <c r="R294" s="16" t="n">
        <f aca="false">IF(D294="","",Q294/$B$15)</f>
        <v>0.432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83.9453461019352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51.8181148777378</v>
      </c>
      <c r="Z294" s="18" t="n">
        <f aca="false">IF(D294="","",MAX(0,IF(P294&gt;=0,P294,IF(K294+P294&gt;=0,0,P294+K294))))</f>
        <v>83.9453461019352</v>
      </c>
      <c r="AA294" s="18" t="n">
        <f aca="false">IF(D294="","",IF(H294&lt;=$B$16,1,IF(H294&gt;=$B$17,$B$21,MATCH(H294,Aux_CAV!$A$2:$A$121,1))))</f>
        <v>21</v>
      </c>
      <c r="AB294" s="18" t="n">
        <f aca="false">IF(D294="","",IF(L294&lt;=$B$16,1,IF(L294&gt;=$B$17,$B$21,MATCH(L294,Aux_CAV!$A$2:$A$121,1))))</f>
        <v>21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0.0656575292259625</v>
      </c>
      <c r="E295" s="16" t="n">
        <f aca="false">IF(D295="","",D295*$B$15)</f>
        <v>0.170184315753695</v>
      </c>
      <c r="F295" s="16" t="n">
        <f aca="false" t="array" ref="F295:F295">IF(D295="","",IFERROR(INDEX(Dados_Evap!$C$2:$N$15,MATCH($B$9,Dados_Evap!$A$2:$A$15,0),C295),0))</f>
        <v>206.8</v>
      </c>
      <c r="G295" s="16" t="n">
        <f aca="false">IF(F295="","",F295/1000)</f>
        <v>0.2068</v>
      </c>
      <c r="H295" s="16" t="n">
        <f aca="false">IF(D295="","",MAX(0,MIN($B$8,IFERROR(LOOKUP(2,1/($U$24:U294&lt;&gt;""),$U$24:U294),$B$11))))</f>
        <v>83.9453461019352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10.0601785284832</v>
      </c>
      <c r="J295" s="16" t="n">
        <f aca="false">IF(D295="","",$B$12)</f>
        <v>0.432</v>
      </c>
      <c r="K295" s="16" t="n">
        <f aca="false">IF(J295="","",J295*$B$15)</f>
        <v>1.119744</v>
      </c>
      <c r="L295" s="16" t="n">
        <f aca="false">IF(D295="","",H295+E295-K295-G295*I295)</f>
        <v>80.9153414979986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9.80332378541106</v>
      </c>
      <c r="N295" s="16" t="n">
        <f aca="false">IF(D295="","",(I295+M295)/2)</f>
        <v>9.93175115694712</v>
      </c>
      <c r="O295" s="16" t="n">
        <f aca="false">IF(D295="","",G295*N295)</f>
        <v>2.05388613925667</v>
      </c>
      <c r="P295" s="16" t="n">
        <f aca="false">IF(D295="","",H295+E295-K295-O295)</f>
        <v>80.9419002784322</v>
      </c>
      <c r="Q295" s="16" t="n">
        <f aca="false">IF(D295="","",IF(P295&gt;=0,K295,MAX(0,K295+P295)))</f>
        <v>1.119744</v>
      </c>
      <c r="R295" s="16" t="n">
        <f aca="false">IF(D295="","",Q295/$B$15)</f>
        <v>0.432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80.9419002784322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49.9641359743409</v>
      </c>
      <c r="Z295" s="18" t="n">
        <f aca="false">IF(D295="","",MAX(0,IF(P295&gt;=0,P295,IF(K295+P295&gt;=0,0,P295+K295))))</f>
        <v>80.9419002784322</v>
      </c>
      <c r="AA295" s="18" t="n">
        <f aca="false">IF(D295="","",IF(H295&lt;=$B$16,1,IF(H295&gt;=$B$17,$B$21,MATCH(H295,Aux_CAV!$A$2:$A$121,1))))</f>
        <v>21</v>
      </c>
      <c r="AB295" s="18" t="n">
        <f aca="false">IF(D295="","",IF(L295&lt;=$B$16,1,IF(L295&gt;=$B$17,$B$21,MATCH(L295,Aux_CAV!$A$2:$A$121,1))))</f>
        <v>21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0.112928199144878</v>
      </c>
      <c r="E296" s="16" t="n">
        <f aca="false">IF(D296="","",D296*$B$15)</f>
        <v>0.292709892183524</v>
      </c>
      <c r="F296" s="16" t="n">
        <f aca="false" t="array" ref="F296:F296">IF(D296="","",IFERROR(INDEX(Dados_Evap!$C$2:$N$15,MATCH($B$9,Dados_Evap!$A$2:$A$15,0),C296),0))</f>
        <v>245.9</v>
      </c>
      <c r="G296" s="16" t="n">
        <f aca="false">IF(F296="","",F296/1000)</f>
        <v>0.2459</v>
      </c>
      <c r="H296" s="16" t="n">
        <f aca="false">IF(D296="","",MAX(0,MIN($B$8,IFERROR(LOOKUP(2,1/($U$24:U295&lt;&gt;""),$U$24:U295),$B$11))))</f>
        <v>80.9419002784322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9.80557518420951</v>
      </c>
      <c r="J296" s="16" t="n">
        <f aca="false">IF(D296="","",$B$12)</f>
        <v>0.432</v>
      </c>
      <c r="K296" s="16" t="n">
        <f aca="false">IF(J296="","",J296*$B$15)</f>
        <v>1.119744</v>
      </c>
      <c r="L296" s="16" t="n">
        <f aca="false">IF(D296="","",H296+E296-K296-G296*I296)</f>
        <v>77.7036752328187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9.53106950820487</v>
      </c>
      <c r="N296" s="16" t="n">
        <f aca="false">IF(D296="","",(I296+M296)/2)</f>
        <v>9.66832234620719</v>
      </c>
      <c r="O296" s="16" t="n">
        <f aca="false">IF(D296="","",G296*N296)</f>
        <v>2.37744046493235</v>
      </c>
      <c r="P296" s="16" t="n">
        <f aca="false">IF(D296="","",H296+E296-K296-O296)</f>
        <v>77.7374257056834</v>
      </c>
      <c r="Q296" s="16" t="n">
        <f aca="false">IF(D296="","",IF(P296&gt;=0,K296,MAX(0,K296+P296)))</f>
        <v>1.119744</v>
      </c>
      <c r="R296" s="16" t="n">
        <f aca="false">IF(D296="","",Q296/$B$15)</f>
        <v>0.432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77.7374257056834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47.9860652504219</v>
      </c>
      <c r="Z296" s="18" t="n">
        <f aca="false">IF(D296="","",MAX(0,IF(P296&gt;=0,P296,IF(K296+P296&gt;=0,0,P296+K296))))</f>
        <v>77.7374257056834</v>
      </c>
      <c r="AA296" s="18" t="n">
        <f aca="false">IF(D296="","",IF(H296&lt;=$B$16,1,IF(H296&gt;=$B$17,$B$21,MATCH(H296,Aux_CAV!$A$2:$A$121,1))))</f>
        <v>21</v>
      </c>
      <c r="AB296" s="18" t="n">
        <f aca="false">IF(D296="","",IF(L296&lt;=$B$16,1,IF(L296&gt;=$B$17,$B$21,MATCH(L296,Aux_CAV!$A$2:$A$121,1))))</f>
        <v>21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0.0526374101747953</v>
      </c>
      <c r="E297" s="16" t="n">
        <f aca="false">IF(D297="","",D297*$B$15)</f>
        <v>0.136436167173069</v>
      </c>
      <c r="F297" s="16" t="n">
        <f aca="false" t="array" ref="F297:F297">IF(D297="","",IFERROR(INDEX(Dados_Evap!$C$2:$N$15,MATCH($B$9,Dados_Evap!$A$2:$A$15,0),C297),0))</f>
        <v>282.3</v>
      </c>
      <c r="G297" s="16" t="n">
        <f aca="false">IF(F297="","",F297/1000)</f>
        <v>0.2823</v>
      </c>
      <c r="H297" s="16" t="n">
        <f aca="false">IF(D297="","",MAX(0,MIN($B$8,IFERROR(LOOKUP(2,1/($U$24:U296&lt;&gt;""),$U$24:U296),$B$11))))</f>
        <v>77.7374257056834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9.5339305497442</v>
      </c>
      <c r="J297" s="16" t="n">
        <f aca="false">IF(D297="","",$B$12)</f>
        <v>0.432</v>
      </c>
      <c r="K297" s="16" t="n">
        <f aca="false">IF(J297="","",J297*$B$15)</f>
        <v>1.119744</v>
      </c>
      <c r="L297" s="16" t="n">
        <f aca="false">IF(D297="","",H297+E297-K297-G297*I297)</f>
        <v>74.0626892786637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9.22242162345622</v>
      </c>
      <c r="N297" s="16" t="n">
        <f aca="false">IF(D297="","",(I297+M297)/2)</f>
        <v>9.37817608660021</v>
      </c>
      <c r="O297" s="16" t="n">
        <f aca="false">IF(D297="","",G297*N297)</f>
        <v>2.64745910924724</v>
      </c>
      <c r="P297" s="16" t="n">
        <f aca="false">IF(D297="","",H297+E297-K297-O297)</f>
        <v>74.1066587636093</v>
      </c>
      <c r="Q297" s="16" t="n">
        <f aca="false">IF(D297="","",IF(P297&gt;=0,K297,MAX(0,K297+P297)))</f>
        <v>1.119744</v>
      </c>
      <c r="R297" s="16" t="n">
        <f aca="false">IF(D297="","",Q297/$B$15)</f>
        <v>0.432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74.1066587636093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45.7448510886477</v>
      </c>
      <c r="Z297" s="18" t="n">
        <f aca="false">IF(D297="","",MAX(0,IF(P297&gt;=0,P297,IF(K297+P297&gt;=0,0,P297+K297))))</f>
        <v>74.1066587636093</v>
      </c>
      <c r="AA297" s="18" t="n">
        <f aca="false">IF(D297="","",IF(H297&lt;=$B$16,1,IF(H297&gt;=$B$17,$B$21,MATCH(H297,Aux_CAV!$A$2:$A$121,1))))</f>
        <v>21</v>
      </c>
      <c r="AB297" s="18" t="n">
        <f aca="false">IF(D297="","",IF(L297&lt;=$B$16,1,IF(L297&gt;=$B$17,$B$21,MATCH(L297,Aux_CAV!$A$2:$A$121,1))))</f>
        <v>21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0.0430874763255111</v>
      </c>
      <c r="E298" s="16" t="n">
        <f aca="false">IF(D298="","",D298*$B$15)</f>
        <v>0.111682738635725</v>
      </c>
      <c r="F298" s="16" t="n">
        <f aca="false" t="array" ref="F298:F298">IF(D298="","",IFERROR(INDEX(Dados_Evap!$C$2:$N$15,MATCH($B$9,Dados_Evap!$A$2:$A$15,0),C298),0))</f>
        <v>241.3</v>
      </c>
      <c r="G298" s="16" t="n">
        <f aca="false">IF(F298="","",F298/1000)</f>
        <v>0.2413</v>
      </c>
      <c r="H298" s="16" t="n">
        <f aca="false">IF(D298="","",MAX(0,MIN($B$8,IFERROR(LOOKUP(2,1/($U$24:U297&lt;&gt;""),$U$24:U297),$B$11))))</f>
        <v>74.1066587636093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9.22614893487484</v>
      </c>
      <c r="J298" s="16" t="n">
        <f aca="false">IF(D298="","",$B$12)</f>
        <v>0.432</v>
      </c>
      <c r="K298" s="16" t="n">
        <f aca="false">IF(J298="","",J298*$B$15)</f>
        <v>1.119744</v>
      </c>
      <c r="L298" s="16" t="n">
        <f aca="false">IF(D298="","",H298+E298-K298-G298*I298)</f>
        <v>70.8723277642597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8.95197335878204</v>
      </c>
      <c r="N298" s="16" t="n">
        <f aca="false">IF(D298="","",(I298+M298)/2)</f>
        <v>9.08906114682844</v>
      </c>
      <c r="O298" s="16" t="n">
        <f aca="false">IF(D298="","",G298*N298)</f>
        <v>2.1931904547297</v>
      </c>
      <c r="P298" s="16" t="n">
        <f aca="false">IF(D298="","",H298+E298-K298-O298)</f>
        <v>70.9054070475153</v>
      </c>
      <c r="Q298" s="16" t="n">
        <f aca="false">IF(D298="","",IF(P298&gt;=0,K298,MAX(0,K298+P298)))</f>
        <v>1.119744</v>
      </c>
      <c r="R298" s="16" t="n">
        <f aca="false">IF(D298="","",Q298/$B$15)</f>
        <v>0.432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70.9054070475153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43.7687697824168</v>
      </c>
      <c r="Z298" s="18" t="n">
        <f aca="false">IF(D298="","",MAX(0,IF(P298&gt;=0,P298,IF(K298+P298&gt;=0,0,P298+K298))))</f>
        <v>70.9054070475153</v>
      </c>
      <c r="AA298" s="18" t="n">
        <f aca="false">IF(D298="","",IF(H298&lt;=$B$16,1,IF(H298&gt;=$B$17,$B$21,MATCH(H298,Aux_CAV!$A$2:$A$121,1))))</f>
        <v>21</v>
      </c>
      <c r="AB298" s="18" t="n">
        <f aca="false">IF(D298="","",IF(L298&lt;=$B$16,1,IF(L298&gt;=$B$17,$B$21,MATCH(L298,Aux_CAV!$A$2:$A$121,1))))</f>
        <v>21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0.0414559068452025</v>
      </c>
      <c r="E299" s="16" t="n">
        <f aca="false">IF(D299="","",D299*$B$15)</f>
        <v>0.107453710542765</v>
      </c>
      <c r="F299" s="16" t="n">
        <f aca="false" t="array" ref="F299:F299">IF(D299="","",IFERROR(INDEX(Dados_Evap!$C$2:$N$15,MATCH($B$9,Dados_Evap!$A$2:$A$15,0),C299),0))</f>
        <v>241.8</v>
      </c>
      <c r="G299" s="16" t="n">
        <f aca="false">IF(F299="","",F299/1000)</f>
        <v>0.2418</v>
      </c>
      <c r="H299" s="16" t="n">
        <f aca="false">IF(D299="","",MAX(0,MIN($B$8,IFERROR(LOOKUP(2,1/($U$24:U298&lt;&gt;""),$U$24:U298),$B$11))))</f>
        <v>70.9054070475153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8.95477750330069</v>
      </c>
      <c r="J299" s="16" t="n">
        <f aca="false">IF(D299="","",$B$12)</f>
        <v>0.432</v>
      </c>
      <c r="K299" s="16" t="n">
        <f aca="false">IF(J299="","",J299*$B$15)</f>
        <v>1.119744</v>
      </c>
      <c r="L299" s="16" t="n">
        <f aca="false">IF(D299="","",H299+E299-K299-G299*I299)</f>
        <v>67.72785155776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8.6854148106308</v>
      </c>
      <c r="N299" s="16" t="n">
        <f aca="false">IF(D299="","",(I299+M299)/2)</f>
        <v>8.82009615696575</v>
      </c>
      <c r="O299" s="16" t="n">
        <f aca="false">IF(D299="","",G299*N299)</f>
        <v>2.13269925075432</v>
      </c>
      <c r="P299" s="16" t="n">
        <f aca="false">IF(D299="","",H299+E299-K299-O299)</f>
        <v>67.7604175073037</v>
      </c>
      <c r="Q299" s="16" t="n">
        <f aca="false">IF(D299="","",IF(P299&gt;=0,K299,MAX(0,K299+P299)))</f>
        <v>1.119744</v>
      </c>
      <c r="R299" s="16" t="n">
        <f aca="false">IF(D299="","",Q299/$B$15)</f>
        <v>0.432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67.7604175073037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41.827418214385</v>
      </c>
      <c r="Z299" s="18" t="n">
        <f aca="false">IF(D299="","",MAX(0,IF(P299&gt;=0,P299,IF(K299+P299&gt;=0,0,P299+K299))))</f>
        <v>67.7604175073037</v>
      </c>
      <c r="AA299" s="18" t="n">
        <f aca="false">IF(D299="","",IF(H299&lt;=$B$16,1,IF(H299&gt;=$B$17,$B$21,MATCH(H299,Aux_CAV!$A$2:$A$121,1))))</f>
        <v>21</v>
      </c>
      <c r="AB299" s="18" t="n">
        <f aca="false">IF(D299="","",IF(L299&lt;=$B$16,1,IF(L299&gt;=$B$17,$B$21,MATCH(L299,Aux_CAV!$A$2:$A$121,1))))</f>
        <v>21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0.106791429153587</v>
      </c>
      <c r="E300" s="16" t="n">
        <f aca="false">IF(D300="","",D300*$B$15)</f>
        <v>0.276803384366098</v>
      </c>
      <c r="F300" s="16" t="n">
        <f aca="false" t="array" ref="F300:F300">IF(D300="","",IFERROR(INDEX(Dados_Evap!$C$2:$N$15,MATCH($B$9,Dados_Evap!$A$2:$A$15,0),C300),0))</f>
        <v>189</v>
      </c>
      <c r="G300" s="16" t="n">
        <f aca="false">IF(F300="","",F300/1000)</f>
        <v>0.189</v>
      </c>
      <c r="H300" s="16" t="n">
        <f aca="false">IF(D300="","",MAX(0,MIN($B$8,IFERROR(LOOKUP(2,1/($U$24:U299&lt;&gt;""),$U$24:U299),$B$11))))</f>
        <v>67.7604175073037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8.68817543963846</v>
      </c>
      <c r="J300" s="16" t="n">
        <f aca="false">IF(D300="","",$B$12)</f>
        <v>0.432</v>
      </c>
      <c r="K300" s="16" t="n">
        <f aca="false">IF(J300="","",J300*$B$15)</f>
        <v>1.119744</v>
      </c>
      <c r="L300" s="16" t="n">
        <f aca="false">IF(D300="","",H300+E300-K300-G300*I300)</f>
        <v>65.2754117335782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8.47752047274047</v>
      </c>
      <c r="N300" s="16" t="n">
        <f aca="false">IF(D300="","",(I300+M300)/2)</f>
        <v>8.58284795618947</v>
      </c>
      <c r="O300" s="16" t="n">
        <f aca="false">IF(D300="","",G300*N300)</f>
        <v>1.62215826371981</v>
      </c>
      <c r="P300" s="16" t="n">
        <f aca="false">IF(D300="","",H300+E300-K300-O300)</f>
        <v>65.29531862795</v>
      </c>
      <c r="Q300" s="16" t="n">
        <f aca="false">IF(D300="","",IF(P300&gt;=0,K300,MAX(0,K300+P300)))</f>
        <v>1.119744</v>
      </c>
      <c r="R300" s="16" t="n">
        <f aca="false">IF(D300="","",Q300/$B$15)</f>
        <v>0.432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65.29531862795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40.3057522394753</v>
      </c>
      <c r="Z300" s="18" t="n">
        <f aca="false">IF(D300="","",MAX(0,IF(P300&gt;=0,P300,IF(K300+P300&gt;=0,0,P300+K300))))</f>
        <v>65.29531862795</v>
      </c>
      <c r="AA300" s="18" t="n">
        <f aca="false">IF(D300="","",IF(H300&lt;=$B$16,1,IF(H300&gt;=$B$17,$B$21,MATCH(H300,Aux_CAV!$A$2:$A$121,1))))</f>
        <v>21</v>
      </c>
      <c r="AB300" s="18" t="n">
        <f aca="false">IF(D300="","",IF(L300&lt;=$B$16,1,IF(L300&gt;=$B$17,$B$21,MATCH(L300,Aux_CAV!$A$2:$A$121,1))))</f>
        <v>21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0.175685467339629</v>
      </c>
      <c r="E301" s="16" t="n">
        <f aca="false">IF(D301="","",D301*$B$15)</f>
        <v>0.455376731344318</v>
      </c>
      <c r="F301" s="16" t="n">
        <f aca="false" t="array" ref="F301:F301">IF(D301="","",IFERROR(INDEX(Dados_Evap!$C$2:$N$15,MATCH($B$9,Dados_Evap!$A$2:$A$15,0),C301),0))</f>
        <v>136.9</v>
      </c>
      <c r="G301" s="16" t="n">
        <f aca="false">IF(F301="","",F301/1000)</f>
        <v>0.1369</v>
      </c>
      <c r="H301" s="16" t="n">
        <f aca="false">IF(D301="","",MAX(0,MIN($B$8,IFERROR(LOOKUP(2,1/($U$24:U300&lt;&gt;""),$U$24:U300),$B$11))))</f>
        <v>65.29531862795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8.47920798840715</v>
      </c>
      <c r="J301" s="16" t="n">
        <f aca="false">IF(D301="","",$B$12)</f>
        <v>0.432</v>
      </c>
      <c r="K301" s="16" t="n">
        <f aca="false">IF(J301="","",J301*$B$15)</f>
        <v>1.119744</v>
      </c>
      <c r="L301" s="16" t="n">
        <f aca="false">IF(D301="","",H301+E301-K301-G301*I301)</f>
        <v>63.4701477856814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8.32448750146645</v>
      </c>
      <c r="N301" s="16" t="n">
        <f aca="false">IF(D301="","",(I301+M301)/2)</f>
        <v>8.4018477449368</v>
      </c>
      <c r="O301" s="16" t="n">
        <f aca="false">IF(D301="","",G301*N301)</f>
        <v>1.15021295628185</v>
      </c>
      <c r="P301" s="16" t="n">
        <f aca="false">IF(D301="","",H301+E301-K301-O301)</f>
        <v>63.4807384030125</v>
      </c>
      <c r="Q301" s="16" t="n">
        <f aca="false">IF(D301="","",IF(P301&gt;=0,K301,MAX(0,K301+P301)))</f>
        <v>1.119744</v>
      </c>
      <c r="R301" s="16" t="n">
        <f aca="false">IF(D301="","",Q301/$B$15)</f>
        <v>0.432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63.4807384030125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39.1856409895139</v>
      </c>
      <c r="Z301" s="18" t="n">
        <f aca="false">IF(D301="","",MAX(0,IF(P301&gt;=0,P301,IF(K301+P301&gt;=0,0,P301+K301))))</f>
        <v>63.4807384030125</v>
      </c>
      <c r="AA301" s="18" t="n">
        <f aca="false">IF(D301="","",IF(H301&lt;=$B$16,1,IF(H301&gt;=$B$17,$B$21,MATCH(H301,Aux_CAV!$A$2:$A$121,1))))</f>
        <v>21</v>
      </c>
      <c r="AB301" s="18" t="n">
        <f aca="false">IF(D301="","",IF(L301&lt;=$B$16,1,IF(L301&gt;=$B$17,$B$21,MATCH(L301,Aux_CAV!$A$2:$A$121,1))))</f>
        <v>21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0.546430653450198</v>
      </c>
      <c r="E302" s="16" t="n">
        <f aca="false">IF(D302="","",D302*$B$15)</f>
        <v>1.41634825374291</v>
      </c>
      <c r="F302" s="16" t="n">
        <f aca="false" t="array" ref="F302:F302">IF(D302="","",IFERROR(INDEX(Dados_Evap!$C$2:$N$15,MATCH($B$9,Dados_Evap!$A$2:$A$15,0),C302),0))</f>
        <v>102.9</v>
      </c>
      <c r="G302" s="16" t="n">
        <f aca="false">IF(F302="","",F302/1000)</f>
        <v>0.1029</v>
      </c>
      <c r="H302" s="16" t="n">
        <f aca="false">IF(D302="","",MAX(0,MIN($B$8,IFERROR(LOOKUP(2,1/($U$24:U301&lt;&gt;""),$U$24:U301),$B$11))))</f>
        <v>63.4807384030125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8.32538527247644</v>
      </c>
      <c r="J302" s="16" t="n">
        <f aca="false">IF(D302="","",$B$12)</f>
        <v>0.432</v>
      </c>
      <c r="K302" s="16" t="n">
        <f aca="false">IF(J302="","",J302*$B$15)</f>
        <v>1.119744</v>
      </c>
      <c r="L302" s="16" t="n">
        <f aca="false">IF(D302="","",H302+E302-K302-G302*I302)</f>
        <v>62.9206605122176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8.27790723810197</v>
      </c>
      <c r="N302" s="16" t="n">
        <f aca="false">IF(D302="","",(I302+M302)/2)</f>
        <v>8.30164625528921</v>
      </c>
      <c r="O302" s="16" t="n">
        <f aca="false">IF(D302="","",G302*N302)</f>
        <v>0.854239399669259</v>
      </c>
      <c r="P302" s="16" t="n">
        <f aca="false">IF(D302="","",H302+E302-K302-O302)</f>
        <v>62.9231032570862</v>
      </c>
      <c r="Q302" s="16" t="n">
        <f aca="false">IF(D302="","",IF(P302&gt;=0,K302,MAX(0,K302+P302)))</f>
        <v>1.119744</v>
      </c>
      <c r="R302" s="16" t="n">
        <f aca="false">IF(D302="","",Q302/$B$15)</f>
        <v>0.432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62.9231032570862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38.8414217636334</v>
      </c>
      <c r="Z302" s="18" t="n">
        <f aca="false">IF(D302="","",MAX(0,IF(P302&gt;=0,P302,IF(K302+P302&gt;=0,0,P302+K302))))</f>
        <v>62.9231032570862</v>
      </c>
      <c r="AA302" s="18" t="n">
        <f aca="false">IF(D302="","",IF(H302&lt;=$B$16,1,IF(H302&gt;=$B$17,$B$21,MATCH(H302,Aux_CAV!$A$2:$A$121,1))))</f>
        <v>21</v>
      </c>
      <c r="AB302" s="18" t="n">
        <f aca="false">IF(D302="","",IF(L302&lt;=$B$16,1,IF(L302&gt;=$B$17,$B$21,MATCH(L302,Aux_CAV!$A$2:$A$121,1))))</f>
        <v>21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2.91309415690442</v>
      </c>
      <c r="E303" s="16" t="n">
        <f aca="false">IF(D303="","",D303*$B$15)</f>
        <v>7.55074005469626</v>
      </c>
      <c r="F303" s="16" t="n">
        <f aca="false" t="array" ref="F303:F303">IF(D303="","",IFERROR(INDEX(Dados_Evap!$C$2:$N$15,MATCH($B$9,Dados_Evap!$A$2:$A$15,0),C303),0))</f>
        <v>81.8</v>
      </c>
      <c r="G303" s="16" t="n">
        <f aca="false">IF(F303="","",F303/1000)</f>
        <v>0.0818</v>
      </c>
      <c r="H303" s="16" t="n">
        <f aca="false">IF(D303="","",MAX(0,MIN($B$8,IFERROR(LOOKUP(2,1/($U$24:U302&lt;&gt;""),$U$24:U302),$B$11))))</f>
        <v>62.9231032570862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8.27811431059446</v>
      </c>
      <c r="J303" s="16" t="n">
        <f aca="false">IF(D303="","",$B$12)</f>
        <v>0.432</v>
      </c>
      <c r="K303" s="16" t="n">
        <f aca="false">IF(J303="","",J303*$B$15)</f>
        <v>1.119744</v>
      </c>
      <c r="L303" s="16" t="n">
        <f aca="false">IF(D303="","",H303+E303-K303-G303*I303)</f>
        <v>68.6769495611758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8.76587024079778</v>
      </c>
      <c r="N303" s="16" t="n">
        <f aca="false">IF(D303="","",(I303+M303)/2)</f>
        <v>8.52199227569612</v>
      </c>
      <c r="O303" s="16" t="n">
        <f aca="false">IF(D303="","",G303*N303)</f>
        <v>0.697098968151943</v>
      </c>
      <c r="P303" s="16" t="n">
        <f aca="false">IF(D303="","",H303+E303-K303-O303)</f>
        <v>68.6570003436305</v>
      </c>
      <c r="Q303" s="16" t="n">
        <f aca="false">IF(D303="","",IF(P303&gt;=0,K303,MAX(0,K303+P303)))</f>
        <v>1.119744</v>
      </c>
      <c r="R303" s="16" t="n">
        <f aca="false">IF(D303="","",Q303/$B$15)</f>
        <v>0.432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68.6570003436305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42.3808644096484</v>
      </c>
      <c r="Z303" s="18" t="n">
        <f aca="false">IF(D303="","",MAX(0,IF(P303&gt;=0,P303,IF(K303+P303&gt;=0,0,P303+K303))))</f>
        <v>68.6570003436305</v>
      </c>
      <c r="AA303" s="18" t="n">
        <f aca="false">IF(D303="","",IF(H303&lt;=$B$16,1,IF(H303&gt;=$B$17,$B$21,MATCH(H303,Aux_CAV!$A$2:$A$121,1))))</f>
        <v>21</v>
      </c>
      <c r="AB303" s="18" t="n">
        <f aca="false">IF(D303="","",IF(L303&lt;=$B$16,1,IF(L303&gt;=$B$17,$B$21,MATCH(L303,Aux_CAV!$A$2:$A$121,1))))</f>
        <v>21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1.17203202458595</v>
      </c>
      <c r="E304" s="16" t="n">
        <f aca="false">IF(D304="","",D304*$B$15)</f>
        <v>3.03790700772678</v>
      </c>
      <c r="F304" s="16" t="n">
        <f aca="false" t="array" ref="F304:F304">IF(D304="","",IFERROR(INDEX(Dados_Evap!$C$2:$N$15,MATCH($B$9,Dados_Evap!$A$2:$A$15,0),C304),0))</f>
        <v>83.6</v>
      </c>
      <c r="G304" s="16" t="n">
        <f aca="false">IF(F304="","",F304/1000)</f>
        <v>0.0836</v>
      </c>
      <c r="H304" s="16" t="n">
        <f aca="false">IF(D304="","",MAX(0,MIN($B$8,IFERROR(LOOKUP(2,1/($U$24:U303&lt;&gt;""),$U$24:U303),$B$11))))</f>
        <v>68.6570003436305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8.76417913737819</v>
      </c>
      <c r="J304" s="16" t="n">
        <f aca="false">IF(D304="","",$B$12)</f>
        <v>0.432</v>
      </c>
      <c r="K304" s="16" t="n">
        <f aca="false">IF(J304="","",J304*$B$15)</f>
        <v>1.119744</v>
      </c>
      <c r="L304" s="16" t="n">
        <f aca="false">IF(D304="","",H304+E304-K304-G304*I304)</f>
        <v>69.8424779754725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8.86467256638121</v>
      </c>
      <c r="N304" s="16" t="n">
        <f aca="false">IF(D304="","",(I304+M304)/2)</f>
        <v>8.8144258518797</v>
      </c>
      <c r="O304" s="16" t="n">
        <f aca="false">IF(D304="","",G304*N304)</f>
        <v>0.736886001217143</v>
      </c>
      <c r="P304" s="16" t="n">
        <f aca="false">IF(D304="","",H304+E304-K304-O304)</f>
        <v>69.8382773501401</v>
      </c>
      <c r="Q304" s="16" t="n">
        <f aca="false">IF(D304="","",IF(P304&gt;=0,K304,MAX(0,K304+P304)))</f>
        <v>1.119744</v>
      </c>
      <c r="R304" s="16" t="n">
        <f aca="false">IF(D304="","",Q304/$B$15)</f>
        <v>0.432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69.8382773501401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43.1100477470001</v>
      </c>
      <c r="Z304" s="18" t="n">
        <f aca="false">IF(D304="","",MAX(0,IF(P304&gt;=0,P304,IF(K304+P304&gt;=0,0,P304+K304))))</f>
        <v>69.8382773501401</v>
      </c>
      <c r="AA304" s="18" t="n">
        <f aca="false">IF(D304="","",IF(H304&lt;=$B$16,1,IF(H304&gt;=$B$17,$B$21,MATCH(H304,Aux_CAV!$A$2:$A$121,1))))</f>
        <v>21</v>
      </c>
      <c r="AB304" s="18" t="n">
        <f aca="false">IF(D304="","",IF(L304&lt;=$B$16,1,IF(L304&gt;=$B$17,$B$21,MATCH(L304,Aux_CAV!$A$2:$A$121,1))))</f>
        <v>21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0.2463264646258</v>
      </c>
      <c r="E305" s="16" t="n">
        <f aca="false">IF(D305="","",D305*$B$15)</f>
        <v>0.638478196310074</v>
      </c>
      <c r="F305" s="16" t="n">
        <f aca="false" t="array" ref="F305:F305">IF(D305="","",IFERROR(INDEX(Dados_Evap!$C$2:$N$15,MATCH($B$9,Dados_Evap!$A$2:$A$15,0),C305),0))</f>
        <v>108.2</v>
      </c>
      <c r="G305" s="16" t="n">
        <f aca="false">IF(F305="","",F305/1000)</f>
        <v>0.1082</v>
      </c>
      <c r="H305" s="16" t="n">
        <f aca="false">IF(D305="","",MAX(0,MIN($B$8,IFERROR(LOOKUP(2,1/($U$24:U304&lt;&gt;""),$U$24:U304),$B$11))))</f>
        <v>69.8382773501401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8.86431647763498</v>
      </c>
      <c r="J305" s="16" t="n">
        <f aca="false">IF(D305="","",$B$12)</f>
        <v>0.432</v>
      </c>
      <c r="K305" s="16" t="n">
        <f aca="false">IF(J305="","",J305*$B$15)</f>
        <v>1.119744</v>
      </c>
      <c r="L305" s="16" t="n">
        <f aca="false">IF(D305="","",H305+E305-K305-G305*I305)</f>
        <v>68.3978925035701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8.74221445864463</v>
      </c>
      <c r="N305" s="16" t="n">
        <f aca="false">IF(D305="","",(I305+M305)/2)</f>
        <v>8.80326546813981</v>
      </c>
      <c r="O305" s="16" t="n">
        <f aca="false">IF(D305="","",G305*N305)</f>
        <v>0.952513323652727</v>
      </c>
      <c r="P305" s="16" t="n">
        <f aca="false">IF(D305="","",H305+E305-K305-O305)</f>
        <v>68.4044982227975</v>
      </c>
      <c r="Q305" s="16" t="n">
        <f aca="false">IF(D305="","",IF(P305&gt;=0,K305,MAX(0,K305+P305)))</f>
        <v>1.119744</v>
      </c>
      <c r="R305" s="16" t="n">
        <f aca="false">IF(D305="","",Q305/$B$15)</f>
        <v>0.432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68.4044982227975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42.2249989029614</v>
      </c>
      <c r="Z305" s="18" t="n">
        <f aca="false">IF(D305="","",MAX(0,IF(P305&gt;=0,P305,IF(K305+P305&gt;=0,0,P305+K305))))</f>
        <v>68.4044982227975</v>
      </c>
      <c r="AA305" s="18" t="n">
        <f aca="false">IF(D305="","",IF(H305&lt;=$B$16,1,IF(H305&gt;=$B$17,$B$21,MATCH(H305,Aux_CAV!$A$2:$A$121,1))))</f>
        <v>21</v>
      </c>
      <c r="AB305" s="18" t="n">
        <f aca="false">IF(D305="","",IF(L305&lt;=$B$16,1,IF(L305&gt;=$B$17,$B$21,MATCH(L305,Aux_CAV!$A$2:$A$121,1))))</f>
        <v>21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0.253822985577796</v>
      </c>
      <c r="E306" s="16" t="n">
        <f aca="false">IF(D306="","",D306*$B$15)</f>
        <v>0.657909178617647</v>
      </c>
      <c r="F306" s="16" t="n">
        <f aca="false" t="array" ref="F306:F306">IF(D306="","",IFERROR(INDEX(Dados_Evap!$C$2:$N$15,MATCH($B$9,Dados_Evap!$A$2:$A$15,0),C306),0))</f>
        <v>149</v>
      </c>
      <c r="G306" s="16" t="n">
        <f aca="false">IF(F306="","",F306/1000)</f>
        <v>0.149</v>
      </c>
      <c r="H306" s="16" t="n">
        <f aca="false">IF(D306="","",MAX(0,MIN($B$8,IFERROR(LOOKUP(2,1/($U$24:U305&lt;&gt;""),$U$24:U305),$B$11))))</f>
        <v>68.4044982227975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8.74277442819476</v>
      </c>
      <c r="J306" s="16" t="n">
        <f aca="false">IF(D306="","",$B$12)</f>
        <v>0.432</v>
      </c>
      <c r="K306" s="16" t="n">
        <f aca="false">IF(J306="","",J306*$B$15)</f>
        <v>1.119744</v>
      </c>
      <c r="L306" s="16" t="n">
        <f aca="false">IF(D306="","",H306+E306-K306-G306*I306)</f>
        <v>66.6399900116141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8.59319633757294</v>
      </c>
      <c r="N306" s="16" t="n">
        <f aca="false">IF(D306="","",(I306+M306)/2)</f>
        <v>8.66798538288385</v>
      </c>
      <c r="O306" s="16" t="n">
        <f aca="false">IF(D306="","",G306*N306)</f>
        <v>1.29152982204969</v>
      </c>
      <c r="P306" s="16" t="n">
        <f aca="false">IF(D306="","",H306+E306-K306-O306)</f>
        <v>66.6511335793654</v>
      </c>
      <c r="Q306" s="16" t="n">
        <f aca="false">IF(D306="","",IF(P306&gt;=0,K306,MAX(0,K306+P306)))</f>
        <v>1.119744</v>
      </c>
      <c r="R306" s="16" t="n">
        <f aca="false">IF(D306="","",Q306/$B$15)</f>
        <v>0.432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66.6511335793654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41.142675048991</v>
      </c>
      <c r="Z306" s="18" t="n">
        <f aca="false">IF(D306="","",MAX(0,IF(P306&gt;=0,P306,IF(K306+P306&gt;=0,0,P306+K306))))</f>
        <v>66.6511335793654</v>
      </c>
      <c r="AA306" s="18" t="n">
        <f aca="false">IF(D306="","",IF(H306&lt;=$B$16,1,IF(H306&gt;=$B$17,$B$21,MATCH(H306,Aux_CAV!$A$2:$A$121,1))))</f>
        <v>21</v>
      </c>
      <c r="AB306" s="18" t="n">
        <f aca="false">IF(D306="","",IF(L306&lt;=$B$16,1,IF(L306&gt;=$B$17,$B$21,MATCH(L306,Aux_CAV!$A$2:$A$121,1))))</f>
        <v>21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0.108969348863871</v>
      </c>
      <c r="E307" s="16" t="n">
        <f aca="false">IF(D307="","",D307*$B$15)</f>
        <v>0.282448552255154</v>
      </c>
      <c r="F307" s="16" t="n">
        <f aca="false" t="array" ref="F307:F307">IF(D307="","",IFERROR(INDEX(Dados_Evap!$C$2:$N$15,MATCH($B$9,Dados_Evap!$A$2:$A$15,0),C307),0))</f>
        <v>206.8</v>
      </c>
      <c r="G307" s="16" t="n">
        <f aca="false">IF(F307="","",F307/1000)</f>
        <v>0.2068</v>
      </c>
      <c r="H307" s="16" t="n">
        <f aca="false">IF(D307="","",MAX(0,MIN($B$8,IFERROR(LOOKUP(2,1/($U$24:U306&lt;&gt;""),$U$24:U306),$B$11))))</f>
        <v>66.6511335793654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8.59414098241868</v>
      </c>
      <c r="J307" s="16" t="n">
        <f aca="false">IF(D307="","",$B$12)</f>
        <v>0.432</v>
      </c>
      <c r="K307" s="16" t="n">
        <f aca="false">IF(J307="","",J307*$B$15)</f>
        <v>1.119744</v>
      </c>
      <c r="L307" s="16" t="n">
        <f aca="false">IF(D307="","",H307+E307-K307-G307*I307)</f>
        <v>64.0365697764564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8.37250332781928</v>
      </c>
      <c r="N307" s="16" t="n">
        <f aca="false">IF(D307="","",(I307+M307)/2)</f>
        <v>8.48332215511898</v>
      </c>
      <c r="O307" s="16" t="n">
        <f aca="false">IF(D307="","",G307*N307)</f>
        <v>1.75435102167861</v>
      </c>
      <c r="P307" s="16" t="n">
        <f aca="false">IF(D307="","",H307+E307-K307-O307)</f>
        <v>64.059487109942</v>
      </c>
      <c r="Q307" s="16" t="n">
        <f aca="false">IF(D307="","",IF(P307&gt;=0,K307,MAX(0,K307+P307)))</f>
        <v>1.119744</v>
      </c>
      <c r="R307" s="16" t="n">
        <f aca="false">IF(D307="","",Q307/$B$15)</f>
        <v>0.432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64.059487109942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39.542893277742</v>
      </c>
      <c r="Z307" s="18" t="n">
        <f aca="false">IF(D307="","",MAX(0,IF(P307&gt;=0,P307,IF(K307+P307&gt;=0,0,P307+K307))))</f>
        <v>64.059487109942</v>
      </c>
      <c r="AA307" s="18" t="n">
        <f aca="false">IF(D307="","",IF(H307&lt;=$B$16,1,IF(H307&gt;=$B$17,$B$21,MATCH(H307,Aux_CAV!$A$2:$A$121,1))))</f>
        <v>21</v>
      </c>
      <c r="AB307" s="18" t="n">
        <f aca="false">IF(D307="","",IF(L307&lt;=$B$16,1,IF(L307&gt;=$B$17,$B$21,MATCH(L307,Aux_CAV!$A$2:$A$121,1))))</f>
        <v>21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0.108066886238394</v>
      </c>
      <c r="E308" s="16" t="n">
        <f aca="false">IF(D308="","",D308*$B$15)</f>
        <v>0.280109369129917</v>
      </c>
      <c r="F308" s="16" t="n">
        <f aca="false" t="array" ref="F308:F308">IF(D308="","",IFERROR(INDEX(Dados_Evap!$C$2:$N$15,MATCH($B$9,Dados_Evap!$A$2:$A$15,0),C308),0))</f>
        <v>245.9</v>
      </c>
      <c r="G308" s="16" t="n">
        <f aca="false">IF(F308="","",F308/1000)</f>
        <v>0.2459</v>
      </c>
      <c r="H308" s="16" t="n">
        <f aca="false">IF(D308="","",MAX(0,MIN($B$8,IFERROR(LOOKUP(2,1/($U$24:U307&lt;&gt;""),$U$24:U307),$B$11))))</f>
        <v>64.059487109942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8.37444603965434</v>
      </c>
      <c r="J308" s="16" t="n">
        <f aca="false">IF(D308="","",$B$12)</f>
        <v>0.432</v>
      </c>
      <c r="K308" s="16" t="n">
        <f aca="false">IF(J308="","",J308*$B$15)</f>
        <v>1.119744</v>
      </c>
      <c r="L308" s="16" t="n">
        <f aca="false">IF(D308="","",H308+E308-K308-G308*I308)</f>
        <v>61.1605761979209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8.12870416304835</v>
      </c>
      <c r="N308" s="16" t="n">
        <f aca="false">IF(D308="","",(I308+M308)/2)</f>
        <v>8.25157510135135</v>
      </c>
      <c r="O308" s="16" t="n">
        <f aca="false">IF(D308="","",G308*N308)</f>
        <v>2.0290623174223</v>
      </c>
      <c r="P308" s="16" t="n">
        <f aca="false">IF(D308="","",H308+E308-K308-O308)</f>
        <v>61.1907901616496</v>
      </c>
      <c r="Q308" s="16" t="n">
        <f aca="false">IF(D308="","",IF(P308&gt;=0,K308,MAX(0,K308+P308)))</f>
        <v>1.119744</v>
      </c>
      <c r="R308" s="16" t="n">
        <f aca="false">IF(D308="","",Q308/$B$15)</f>
        <v>0.432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61.1907901616496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37.7720926923763</v>
      </c>
      <c r="Z308" s="18" t="n">
        <f aca="false">IF(D308="","",MAX(0,IF(P308&gt;=0,P308,IF(K308+P308&gt;=0,0,P308+K308))))</f>
        <v>61.1907901616496</v>
      </c>
      <c r="AA308" s="18" t="n">
        <f aca="false">IF(D308="","",IF(H308&lt;=$B$16,1,IF(H308&gt;=$B$17,$B$21,MATCH(H308,Aux_CAV!$A$2:$A$121,1))))</f>
        <v>21</v>
      </c>
      <c r="AB308" s="18" t="n">
        <f aca="false">IF(D308="","",IF(L308&lt;=$B$16,1,IF(L308&gt;=$B$17,$B$21,MATCH(L308,Aux_CAV!$A$2:$A$121,1))))</f>
        <v>21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0.111759999993078</v>
      </c>
      <c r="E309" s="16" t="n">
        <f aca="false">IF(D309="","",D309*$B$15)</f>
        <v>0.289681919982058</v>
      </c>
      <c r="F309" s="16" t="n">
        <f aca="false" t="array" ref="F309:F309">IF(D309="","",IFERROR(INDEX(Dados_Evap!$C$2:$N$15,MATCH($B$9,Dados_Evap!$A$2:$A$15,0),C309),0))</f>
        <v>282.3</v>
      </c>
      <c r="G309" s="16" t="n">
        <f aca="false">IF(F309="","",F309/1000)</f>
        <v>0.2823</v>
      </c>
      <c r="H309" s="16" t="n">
        <f aca="false">IF(D309="","",MAX(0,MIN($B$8,IFERROR(LOOKUP(2,1/($U$24:U308&lt;&gt;""),$U$24:U308),$B$11))))</f>
        <v>61.1907901616496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8.13126541324601</v>
      </c>
      <c r="J309" s="16" t="n">
        <f aca="false">IF(D309="","",$B$12)</f>
        <v>0.432</v>
      </c>
      <c r="K309" s="16" t="n">
        <f aca="false">IF(J309="","",J309*$B$15)</f>
        <v>1.119744</v>
      </c>
      <c r="L309" s="16" t="n">
        <f aca="false">IF(D309="","",H309+E309-K309-G309*I309)</f>
        <v>58.0652718554723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7.86631393414351</v>
      </c>
      <c r="N309" s="16" t="n">
        <f aca="false">IF(D309="","",(I309+M309)/2)</f>
        <v>7.99878967369476</v>
      </c>
      <c r="O309" s="16" t="n">
        <f aca="false">IF(D309="","",G309*N309)</f>
        <v>2.25805832488403</v>
      </c>
      <c r="P309" s="16" t="n">
        <f aca="false">IF(D309="","",H309+E309-K309-O309)</f>
        <v>58.1026697567476</v>
      </c>
      <c r="Q309" s="16" t="n">
        <f aca="false">IF(D309="","",IF(P309&gt;=0,K309,MAX(0,K309+P309)))</f>
        <v>1.119744</v>
      </c>
      <c r="R309" s="16" t="n">
        <f aca="false">IF(D309="","",Q309/$B$15)</f>
        <v>0.432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58.1026697567476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35.8658455288566</v>
      </c>
      <c r="Z309" s="18" t="n">
        <f aca="false">IF(D309="","",MAX(0,IF(P309&gt;=0,P309,IF(K309+P309&gt;=0,0,P309+K309))))</f>
        <v>58.1026697567476</v>
      </c>
      <c r="AA309" s="18" t="n">
        <f aca="false">IF(D309="","",IF(H309&lt;=$B$16,1,IF(H309&gt;=$B$17,$B$21,MATCH(H309,Aux_CAV!$A$2:$A$121,1))))</f>
        <v>21</v>
      </c>
      <c r="AB309" s="18" t="n">
        <f aca="false">IF(D309="","",IF(L309&lt;=$B$16,1,IF(L309&gt;=$B$17,$B$21,MATCH(L309,Aux_CAV!$A$2:$A$121,1))))</f>
        <v>21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0.0996416369872829</v>
      </c>
      <c r="E310" s="16" t="n">
        <f aca="false">IF(D310="","",D310*$B$15)</f>
        <v>0.258271123071037</v>
      </c>
      <c r="F310" s="16" t="n">
        <f aca="false" t="array" ref="F310:F310">IF(D310="","",IFERROR(INDEX(Dados_Evap!$C$2:$N$15,MATCH($B$9,Dados_Evap!$A$2:$A$15,0),C310),0))</f>
        <v>241.3</v>
      </c>
      <c r="G310" s="16" t="n">
        <f aca="false">IF(F310="","",F310/1000)</f>
        <v>0.2413</v>
      </c>
      <c r="H310" s="16" t="n">
        <f aca="false">IF(D310="","",MAX(0,MIN($B$8,IFERROR(LOOKUP(2,1/($U$24:U309&lt;&gt;""),$U$24:U309),$B$11))))</f>
        <v>58.1026697567476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7.86948416969729</v>
      </c>
      <c r="J310" s="16" t="n">
        <f aca="false">IF(D310="","",$B$12)</f>
        <v>0.432</v>
      </c>
      <c r="K310" s="16" t="n">
        <f aca="false">IF(J310="","",J310*$B$15)</f>
        <v>1.119744</v>
      </c>
      <c r="L310" s="16" t="n">
        <f aca="false">IF(D310="","",H310+E310-K310-G310*I310)</f>
        <v>55.3422903496707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7.63548566604314</v>
      </c>
      <c r="N310" s="16" t="n">
        <f aca="false">IF(D310="","",(I310+M310)/2)</f>
        <v>7.75248491787021</v>
      </c>
      <c r="O310" s="16" t="n">
        <f aca="false">IF(D310="","",G310*N310)</f>
        <v>1.87067461068208</v>
      </c>
      <c r="P310" s="16" t="n">
        <f aca="false">IF(D310="","",H310+E310-K310-O310)</f>
        <v>55.3705222691366</v>
      </c>
      <c r="Q310" s="16" t="n">
        <f aca="false">IF(D310="","",IF(P310&gt;=0,K310,MAX(0,K310+P310)))</f>
        <v>1.119744</v>
      </c>
      <c r="R310" s="16" t="n">
        <f aca="false">IF(D310="","",Q310/$B$15)</f>
        <v>0.432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55.3705222691366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34.1793347340349</v>
      </c>
      <c r="Z310" s="18" t="n">
        <f aca="false">IF(D310="","",MAX(0,IF(P310&gt;=0,P310,IF(K310+P310&gt;=0,0,P310+K310))))</f>
        <v>55.3705222691366</v>
      </c>
      <c r="AA310" s="18" t="n">
        <f aca="false">IF(D310="","",IF(H310&lt;=$B$16,1,IF(H310&gt;=$B$17,$B$21,MATCH(H310,Aux_CAV!$A$2:$A$121,1))))</f>
        <v>21</v>
      </c>
      <c r="AB310" s="18" t="n">
        <f aca="false">IF(D310="","",IF(L310&lt;=$B$16,1,IF(L310&gt;=$B$17,$B$21,MATCH(L310,Aux_CAV!$A$2:$A$121,1))))</f>
        <v>21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0.122665987815809</v>
      </c>
      <c r="E311" s="16" t="n">
        <f aca="false">IF(D311="","",D311*$B$15)</f>
        <v>0.317950240418577</v>
      </c>
      <c r="F311" s="16" t="n">
        <f aca="false" t="array" ref="F311:F311">IF(D311="","",IFERROR(INDEX(Dados_Evap!$C$2:$N$15,MATCH($B$9,Dados_Evap!$A$2:$A$15,0),C311),0))</f>
        <v>241.8</v>
      </c>
      <c r="G311" s="16" t="n">
        <f aca="false">IF(F311="","",F311/1000)</f>
        <v>0.2418</v>
      </c>
      <c r="H311" s="16" t="n">
        <f aca="false">IF(D311="","",MAX(0,MIN($B$8,IFERROR(LOOKUP(2,1/($U$24:U310&lt;&gt;""),$U$24:U310),$B$11))))</f>
        <v>55.3705222691366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7.63787889752914</v>
      </c>
      <c r="J311" s="16" t="n">
        <f aca="false">IF(D311="","",$B$12)</f>
        <v>0.432</v>
      </c>
      <c r="K311" s="16" t="n">
        <f aca="false">IF(J311="","",J311*$B$15)</f>
        <v>1.119744</v>
      </c>
      <c r="L311" s="16" t="n">
        <f aca="false">IF(D311="","",H311+E311-K311-G311*I311)</f>
        <v>52.7218893921326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7.41335319343239</v>
      </c>
      <c r="N311" s="16" t="n">
        <f aca="false">IF(D311="","",(I311+M311)/2)</f>
        <v>7.52561604548076</v>
      </c>
      <c r="O311" s="16" t="n">
        <f aca="false">IF(D311="","",G311*N311)</f>
        <v>1.81969395979725</v>
      </c>
      <c r="P311" s="16" t="n">
        <f aca="false">IF(D311="","",H311+E311-K311-O311)</f>
        <v>52.7490345497579</v>
      </c>
      <c r="Q311" s="16" t="n">
        <f aca="false">IF(D311="","",IF(P311&gt;=0,K311,MAX(0,K311+P311)))</f>
        <v>1.119744</v>
      </c>
      <c r="R311" s="16" t="n">
        <f aca="false">IF(D311="","",Q311/$B$15)</f>
        <v>0.432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52.7490345497579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32.5611324381222</v>
      </c>
      <c r="Z311" s="18" t="n">
        <f aca="false">IF(D311="","",MAX(0,IF(P311&gt;=0,P311,IF(K311+P311&gt;=0,0,P311+K311))))</f>
        <v>52.7490345497579</v>
      </c>
      <c r="AA311" s="18" t="n">
        <f aca="false">IF(D311="","",IF(H311&lt;=$B$16,1,IF(H311&gt;=$B$17,$B$21,MATCH(H311,Aux_CAV!$A$2:$A$121,1))))</f>
        <v>21</v>
      </c>
      <c r="AB311" s="18" t="n">
        <f aca="false">IF(D311="","",IF(L311&lt;=$B$16,1,IF(L311&gt;=$B$17,$B$21,MATCH(L311,Aux_CAV!$A$2:$A$121,1))))</f>
        <v>21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0.189243436253509</v>
      </c>
      <c r="E312" s="16" t="n">
        <f aca="false">IF(D312="","",D312*$B$15)</f>
        <v>0.490518986769095</v>
      </c>
      <c r="F312" s="16" t="n">
        <f aca="false" t="array" ref="F312:F312">IF(D312="","",IFERROR(INDEX(Dados_Evap!$C$2:$N$15,MATCH($B$9,Dados_Evap!$A$2:$A$15,0),C312),0))</f>
        <v>189</v>
      </c>
      <c r="G312" s="16" t="n">
        <f aca="false">IF(F312="","",F312/1000)</f>
        <v>0.189</v>
      </c>
      <c r="H312" s="16" t="n">
        <f aca="false">IF(D312="","",MAX(0,MIN($B$8,IFERROR(LOOKUP(2,1/($U$24:U311&lt;&gt;""),$U$24:U311),$B$11))))</f>
        <v>52.7490345497579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7.41565429966782</v>
      </c>
      <c r="J312" s="16" t="n">
        <f aca="false">IF(D312="","",$B$12)</f>
        <v>0.432</v>
      </c>
      <c r="K312" s="16" t="n">
        <f aca="false">IF(J312="","",J312*$B$15)</f>
        <v>1.119744</v>
      </c>
      <c r="L312" s="16" t="n">
        <f aca="false">IF(D312="","",H312+E312-K312-G312*I312)</f>
        <v>50.7182508738898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7.24350392780948</v>
      </c>
      <c r="N312" s="16" t="n">
        <f aca="false">IF(D312="","",(I312+M312)/2)</f>
        <v>7.32957911373865</v>
      </c>
      <c r="O312" s="16" t="n">
        <f aca="false">IF(D312="","",G312*N312)</f>
        <v>1.38529045249661</v>
      </c>
      <c r="P312" s="16" t="n">
        <f aca="false">IF(D312="","",H312+E312-K312-O312)</f>
        <v>50.7345190840304</v>
      </c>
      <c r="Q312" s="16" t="n">
        <f aca="false">IF(D312="","",IF(P312&gt;=0,K312,MAX(0,K312+P312)))</f>
        <v>1.119744</v>
      </c>
      <c r="R312" s="16" t="n">
        <f aca="false">IF(D312="","",Q312/$B$15)</f>
        <v>0.432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50.7345190840304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31.3176043728583</v>
      </c>
      <c r="Z312" s="18" t="n">
        <f aca="false">IF(D312="","",MAX(0,IF(P312&gt;=0,P312,IF(K312+P312&gt;=0,0,P312+K312))))</f>
        <v>50.7345190840304</v>
      </c>
      <c r="AA312" s="18" t="n">
        <f aca="false">IF(D312="","",IF(H312&lt;=$B$16,1,IF(H312&gt;=$B$17,$B$21,MATCH(H312,Aux_CAV!$A$2:$A$121,1))))</f>
        <v>21</v>
      </c>
      <c r="AB312" s="18" t="n">
        <f aca="false">IF(D312="","",IF(L312&lt;=$B$16,1,IF(L312&gt;=$B$17,$B$21,MATCH(L312,Aux_CAV!$A$2:$A$121,1))))</f>
        <v>21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0.843701993974906</v>
      </c>
      <c r="E313" s="16" t="n">
        <f aca="false">IF(D313="","",D313*$B$15)</f>
        <v>2.18687556838296</v>
      </c>
      <c r="F313" s="16" t="n">
        <f aca="false" t="array" ref="F313:F313">IF(D313="","",IFERROR(INDEX(Dados_Evap!$C$2:$N$15,MATCH($B$9,Dados_Evap!$A$2:$A$15,0),C313),0))</f>
        <v>136.9</v>
      </c>
      <c r="G313" s="16" t="n">
        <f aca="false">IF(F313="","",F313/1000)</f>
        <v>0.1369</v>
      </c>
      <c r="H313" s="16" t="n">
        <f aca="false">IF(D313="","",MAX(0,MIN($B$8,IFERROR(LOOKUP(2,1/($U$24:U312&lt;&gt;""),$U$24:U312),$B$11))))</f>
        <v>50.7345190840304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7.24488299070941</v>
      </c>
      <c r="J313" s="16" t="n">
        <f aca="false">IF(D313="","",$B$12)</f>
        <v>0.432</v>
      </c>
      <c r="K313" s="16" t="n">
        <f aca="false">IF(J313="","",J313*$B$15)</f>
        <v>1.119744</v>
      </c>
      <c r="L313" s="16" t="n">
        <f aca="false">IF(D313="","",H313+E313-K313-G313*I313)</f>
        <v>50.8098261709853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7.25126680360731</v>
      </c>
      <c r="N313" s="16" t="n">
        <f aca="false">IF(D313="","",(I313+M313)/2)</f>
        <v>7.24807489715836</v>
      </c>
      <c r="O313" s="16" t="n">
        <f aca="false">IF(D313="","",G313*N313)</f>
        <v>0.99226145342098</v>
      </c>
      <c r="P313" s="16" t="n">
        <f aca="false">IF(D313="","",H313+E313-K313-O313)</f>
        <v>50.8093891989924</v>
      </c>
      <c r="Q313" s="16" t="n">
        <f aca="false">IF(D313="","",IF(P313&gt;=0,K313,MAX(0,K313+P313)))</f>
        <v>1.119744</v>
      </c>
      <c r="R313" s="16" t="n">
        <f aca="false">IF(D313="","",Q313/$B$15)</f>
        <v>0.432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50.8093891989924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31.3638204932052</v>
      </c>
      <c r="Z313" s="18" t="n">
        <f aca="false">IF(D313="","",MAX(0,IF(P313&gt;=0,P313,IF(K313+P313&gt;=0,0,P313+K313))))</f>
        <v>50.8093891989924</v>
      </c>
      <c r="AA313" s="18" t="n">
        <f aca="false">IF(D313="","",IF(H313&lt;=$B$16,1,IF(H313&gt;=$B$17,$B$21,MATCH(H313,Aux_CAV!$A$2:$A$121,1))))</f>
        <v>21</v>
      </c>
      <c r="AB313" s="18" t="n">
        <f aca="false">IF(D313="","",IF(L313&lt;=$B$16,1,IF(L313&gt;=$B$17,$B$21,MATCH(L313,Aux_CAV!$A$2:$A$121,1))))</f>
        <v>21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3.95635367819246</v>
      </c>
      <c r="E314" s="16" t="n">
        <f aca="false">IF(D314="","",D314*$B$15)</f>
        <v>10.2548687338749</v>
      </c>
      <c r="F314" s="16" t="n">
        <f aca="false" t="array" ref="F314:F314">IF(D314="","",IFERROR(INDEX(Dados_Evap!$C$2:$N$15,MATCH($B$9,Dados_Evap!$A$2:$A$15,0),C314),0))</f>
        <v>102.9</v>
      </c>
      <c r="G314" s="16" t="n">
        <f aca="false">IF(F314="","",F314/1000)</f>
        <v>0.1029</v>
      </c>
      <c r="H314" s="16" t="n">
        <f aca="false">IF(D314="","",MAX(0,MIN($B$8,IFERROR(LOOKUP(2,1/($U$24:U313&lt;&gt;""),$U$24:U313),$B$11))))</f>
        <v>50.8093891989924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7.2512297613108</v>
      </c>
      <c r="J314" s="16" t="n">
        <f aca="false">IF(D314="","",$B$12)</f>
        <v>0.432</v>
      </c>
      <c r="K314" s="16" t="n">
        <f aca="false">IF(J314="","",J314*$B$15)</f>
        <v>1.119744</v>
      </c>
      <c r="L314" s="16" t="n">
        <f aca="false">IF(D314="","",H314+E314-K314-G314*I314)</f>
        <v>59.1983623904284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7.96236648728335</v>
      </c>
      <c r="N314" s="16" t="n">
        <f aca="false">IF(D314="","",(I314+M314)/2)</f>
        <v>7.60679812429708</v>
      </c>
      <c r="O314" s="16" t="n">
        <f aca="false">IF(D314="","",G314*N314)</f>
        <v>0.782739526990169</v>
      </c>
      <c r="P314" s="16" t="n">
        <f aca="false">IF(D314="","",H314+E314-K314-O314)</f>
        <v>59.1617744058771</v>
      </c>
      <c r="Q314" s="16" t="n">
        <f aca="false">IF(D314="","",IF(P314&gt;=0,K314,MAX(0,K314+P314)))</f>
        <v>1.119744</v>
      </c>
      <c r="R314" s="16" t="n">
        <f aca="false">IF(D314="","",Q314/$B$15)</f>
        <v>0.432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59.1617744058771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36.5196138307883</v>
      </c>
      <c r="Z314" s="18" t="n">
        <f aca="false">IF(D314="","",MAX(0,IF(P314&gt;=0,P314,IF(K314+P314&gt;=0,0,P314+K314))))</f>
        <v>59.1617744058771</v>
      </c>
      <c r="AA314" s="18" t="n">
        <f aca="false">IF(D314="","",IF(H314&lt;=$B$16,1,IF(H314&gt;=$B$17,$B$21,MATCH(H314,Aux_CAV!$A$2:$A$121,1))))</f>
        <v>21</v>
      </c>
      <c r="AB314" s="18" t="n">
        <f aca="false">IF(D314="","",IF(L314&lt;=$B$16,1,IF(L314&gt;=$B$17,$B$21,MATCH(L314,Aux_CAV!$A$2:$A$121,1))))</f>
        <v>21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5.18461162423606</v>
      </c>
      <c r="E315" s="16" t="n">
        <f aca="false">IF(D315="","",D315*$B$15)</f>
        <v>13.4385133300199</v>
      </c>
      <c r="F315" s="16" t="n">
        <f aca="false" t="array" ref="F315:F315">IF(D315="","",IFERROR(INDEX(Dados_Evap!$C$2:$N$15,MATCH($B$9,Dados_Evap!$A$2:$A$15,0),C315),0))</f>
        <v>81.8</v>
      </c>
      <c r="G315" s="16" t="n">
        <f aca="false">IF(F315="","",F315/1000)</f>
        <v>0.0818</v>
      </c>
      <c r="H315" s="16" t="n">
        <f aca="false">IF(D315="","",MAX(0,MIN($B$8,IFERROR(LOOKUP(2,1/($U$24:U314&lt;&gt;""),$U$24:U314),$B$11))))</f>
        <v>59.1617744058771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7.95926490870514</v>
      </c>
      <c r="J315" s="16" t="n">
        <f aca="false">IF(D315="","",$B$12)</f>
        <v>0.432</v>
      </c>
      <c r="K315" s="16" t="n">
        <f aca="false">IF(J315="","",J315*$B$15)</f>
        <v>1.119744</v>
      </c>
      <c r="L315" s="16" t="n">
        <f aca="false">IF(D315="","",H315+E315-K315-G315*I315)</f>
        <v>70.8294758663649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8.9483407856798</v>
      </c>
      <c r="N315" s="16" t="n">
        <f aca="false">IF(D315="","",(I315+M315)/2)</f>
        <v>8.45380284719247</v>
      </c>
      <c r="O315" s="16" t="n">
        <f aca="false">IF(D315="","",G315*N315)</f>
        <v>0.691521072900344</v>
      </c>
      <c r="P315" s="16" t="n">
        <f aca="false">IF(D315="","",H315+E315-K315-O315)</f>
        <v>70.7890226629966</v>
      </c>
      <c r="Q315" s="16" t="n">
        <f aca="false">IF(D315="","",IF(P315&gt;=0,K315,MAX(0,K315+P315)))</f>
        <v>1.119744</v>
      </c>
      <c r="R315" s="16" t="n">
        <f aca="false">IF(D315="","",Q315/$B$15)</f>
        <v>0.432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70.7890226629966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43.696927569751</v>
      </c>
      <c r="Z315" s="18" t="n">
        <f aca="false">IF(D315="","",MAX(0,IF(P315&gt;=0,P315,IF(K315+P315&gt;=0,0,P315+K315))))</f>
        <v>70.7890226629966</v>
      </c>
      <c r="AA315" s="18" t="n">
        <f aca="false">IF(D315="","",IF(H315&lt;=$B$16,1,IF(H315&gt;=$B$17,$B$21,MATCH(H315,Aux_CAV!$A$2:$A$121,1))))</f>
        <v>21</v>
      </c>
      <c r="AB315" s="18" t="n">
        <f aca="false">IF(D315="","",IF(L315&lt;=$B$16,1,IF(L315&gt;=$B$17,$B$21,MATCH(L315,Aux_CAV!$A$2:$A$121,1))))</f>
        <v>21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9.80777050200648</v>
      </c>
      <c r="E316" s="16" t="n">
        <f aca="false">IF(D316="","",D316*$B$15)</f>
        <v>25.4217411412008</v>
      </c>
      <c r="F316" s="16" t="n">
        <f aca="false" t="array" ref="F316:F316">IF(D316="","",IFERROR(INDEX(Dados_Evap!$C$2:$N$15,MATCH($B$9,Dados_Evap!$A$2:$A$15,0),C316),0))</f>
        <v>83.6</v>
      </c>
      <c r="G316" s="16" t="n">
        <f aca="false">IF(F316="","",F316/1000)</f>
        <v>0.0836</v>
      </c>
      <c r="H316" s="16" t="n">
        <f aca="false">IF(D316="","",MAX(0,MIN($B$8,IFERROR(LOOKUP(2,1/($U$24:U315&lt;&gt;""),$U$24:U315),$B$11))))</f>
        <v>70.7890226629966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8.94491155090435</v>
      </c>
      <c r="J316" s="16" t="n">
        <f aca="false">IF(D316="","",$B$12)</f>
        <v>0.432</v>
      </c>
      <c r="K316" s="16" t="n">
        <f aca="false">IF(J316="","",J316*$B$15)</f>
        <v>1.119744</v>
      </c>
      <c r="L316" s="16" t="n">
        <f aca="false">IF(D316="","",H316+E316-K316-G316*I316)</f>
        <v>94.3432251985418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10.8571290658656</v>
      </c>
      <c r="N316" s="16" t="n">
        <f aca="false">IF(D316="","",(I316+M316)/2)</f>
        <v>9.90102030838498</v>
      </c>
      <c r="O316" s="16" t="n">
        <f aca="false">IF(D316="","",G316*N316)</f>
        <v>0.827725297780984</v>
      </c>
      <c r="P316" s="16" t="n">
        <f aca="false">IF(D316="","",H316+E316-K316-O316)</f>
        <v>94.2632945064164</v>
      </c>
      <c r="Q316" s="16" t="n">
        <f aca="false">IF(D316="","",IF(P316&gt;=0,K316,MAX(0,K316+P316)))</f>
        <v>1.119744</v>
      </c>
      <c r="R316" s="16" t="n">
        <f aca="false">IF(D316="","",Q316/$B$15)</f>
        <v>0.432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94.2632945064164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58.1872188311213</v>
      </c>
      <c r="Z316" s="18" t="n">
        <f aca="false">IF(D316="","",MAX(0,IF(P316&gt;=0,P316,IF(K316+P316&gt;=0,0,P316+K316))))</f>
        <v>94.2632945064164</v>
      </c>
      <c r="AA316" s="18" t="n">
        <f aca="false">IF(D316="","",IF(H316&lt;=$B$16,1,IF(H316&gt;=$B$17,$B$21,MATCH(H316,Aux_CAV!$A$2:$A$121,1))))</f>
        <v>21</v>
      </c>
      <c r="AB316" s="18" t="n">
        <f aca="false">IF(D316="","",IF(L316&lt;=$B$16,1,IF(L316&gt;=$B$17,$B$21,MATCH(L316,Aux_CAV!$A$2:$A$121,1))))</f>
        <v>22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2.19850046110374</v>
      </c>
      <c r="E317" s="16" t="n">
        <f aca="false">IF(D317="","",D317*$B$15)</f>
        <v>5.6985131951809</v>
      </c>
      <c r="F317" s="16" t="n">
        <f aca="false" t="array" ref="F317:F317">IF(D317="","",IFERROR(INDEX(Dados_Evap!$C$2:$N$15,MATCH($B$9,Dados_Evap!$A$2:$A$15,0),C317),0))</f>
        <v>108.2</v>
      </c>
      <c r="G317" s="16" t="n">
        <f aca="false">IF(F317="","",F317/1000)</f>
        <v>0.1082</v>
      </c>
      <c r="H317" s="16" t="n">
        <f aca="false">IF(D317="","",MAX(0,MIN($B$8,IFERROR(LOOKUP(2,1/($U$24:U316&lt;&gt;""),$U$24:U316),$B$11))))</f>
        <v>94.2632945064164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10.8513095707117</v>
      </c>
      <c r="J317" s="16" t="n">
        <f aca="false">IF(D317="","",$B$12)</f>
        <v>0.432</v>
      </c>
      <c r="K317" s="16" t="n">
        <f aca="false">IF(J317="","",J317*$B$15)</f>
        <v>1.119744</v>
      </c>
      <c r="L317" s="16" t="n">
        <f aca="false">IF(D317="","",H317+E317-K317-G317*I317)</f>
        <v>97.6679520060463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11.0991916707279</v>
      </c>
      <c r="N317" s="16" t="n">
        <f aca="false">IF(D317="","",(I317+M317)/2)</f>
        <v>10.9752506207198</v>
      </c>
      <c r="O317" s="16" t="n">
        <f aca="false">IF(D317="","",G317*N317)</f>
        <v>1.18752211716188</v>
      </c>
      <c r="P317" s="16" t="n">
        <f aca="false">IF(D317="","",H317+E317-K317-O317)</f>
        <v>97.6545415844354</v>
      </c>
      <c r="Q317" s="16" t="n">
        <f aca="false">IF(D317="","",IF(P317&gt;=0,K317,MAX(0,K317+P317)))</f>
        <v>1.119744</v>
      </c>
      <c r="R317" s="16" t="n">
        <f aca="false">IF(D317="","",Q317/$B$15)</f>
        <v>0.432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97.6545415844354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60.2805812249602</v>
      </c>
      <c r="Z317" s="18" t="n">
        <f aca="false">IF(D317="","",MAX(0,IF(P317&gt;=0,P317,IF(K317+P317&gt;=0,0,P317+K317))))</f>
        <v>97.6545415844354</v>
      </c>
      <c r="AA317" s="18" t="n">
        <f aca="false">IF(D317="","",IF(H317&lt;=$B$16,1,IF(H317&gt;=$B$17,$B$21,MATCH(H317,Aux_CAV!$A$2:$A$121,1))))</f>
        <v>22</v>
      </c>
      <c r="AB317" s="18" t="n">
        <f aca="false">IF(D317="","",IF(L317&lt;=$B$16,1,IF(L317&gt;=$B$17,$B$21,MATCH(L317,Aux_CAV!$A$2:$A$121,1))))</f>
        <v>22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0.272637528724477</v>
      </c>
      <c r="E318" s="16" t="n">
        <f aca="false">IF(D318="","",D318*$B$15)</f>
        <v>0.706676474453844</v>
      </c>
      <c r="F318" s="16" t="n">
        <f aca="false" t="array" ref="F318:F318">IF(D318="","",IFERROR(INDEX(Dados_Evap!$C$2:$N$15,MATCH($B$9,Dados_Evap!$A$2:$A$15,0),C318),0))</f>
        <v>149</v>
      </c>
      <c r="G318" s="16" t="n">
        <f aca="false">IF(F318="","",F318/1000)</f>
        <v>0.149</v>
      </c>
      <c r="H318" s="16" t="n">
        <f aca="false">IF(D318="","",MAX(0,MIN($B$8,IFERROR(LOOKUP(2,1/($U$24:U317&lt;&gt;""),$U$24:U317),$B$11))))</f>
        <v>97.6545415844354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11.0982153013071</v>
      </c>
      <c r="J318" s="16" t="n">
        <f aca="false">IF(D318="","",$B$12)</f>
        <v>0.432</v>
      </c>
      <c r="K318" s="16" t="n">
        <f aca="false">IF(J318="","",J318*$B$15)</f>
        <v>1.119744</v>
      </c>
      <c r="L318" s="16" t="n">
        <f aca="false">IF(D318="","",H318+E318-K318-G318*I318)</f>
        <v>95.5878399789945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10.9477454422628</v>
      </c>
      <c r="N318" s="16" t="n">
        <f aca="false">IF(D318="","",(I318+M318)/2)</f>
        <v>11.0229803717849</v>
      </c>
      <c r="O318" s="16" t="n">
        <f aca="false">IF(D318="","",G318*N318)</f>
        <v>1.64242407539595</v>
      </c>
      <c r="P318" s="16" t="n">
        <f aca="false">IF(D318="","",H318+E318-K318-O318)</f>
        <v>95.5990499834933</v>
      </c>
      <c r="Q318" s="16" t="n">
        <f aca="false">IF(D318="","",IF(P318&gt;=0,K318,MAX(0,K318+P318)))</f>
        <v>1.119744</v>
      </c>
      <c r="R318" s="16" t="n">
        <f aca="false">IF(D318="","",Q318/$B$15)</f>
        <v>0.432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95.5990499834933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59.01175924907</v>
      </c>
      <c r="Z318" s="18" t="n">
        <f aca="false">IF(D318="","",MAX(0,IF(P318&gt;=0,P318,IF(K318+P318&gt;=0,0,P318+K318))))</f>
        <v>95.5990499834933</v>
      </c>
      <c r="AA318" s="18" t="n">
        <f aca="false">IF(D318="","",IF(H318&lt;=$B$16,1,IF(H318&gt;=$B$17,$B$21,MATCH(H318,Aux_CAV!$A$2:$A$121,1))))</f>
        <v>22</v>
      </c>
      <c r="AB318" s="18" t="n">
        <f aca="false">IF(D318="","",IF(L318&lt;=$B$16,1,IF(L318&gt;=$B$17,$B$21,MATCH(L318,Aux_CAV!$A$2:$A$121,1))))</f>
        <v>22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0.337801436426969</v>
      </c>
      <c r="E319" s="16" t="n">
        <f aca="false">IF(D319="","",D319*$B$15)</f>
        <v>0.875581323218704</v>
      </c>
      <c r="F319" s="16" t="n">
        <f aca="false" t="array" ref="F319:F319">IF(D319="","",IFERROR(INDEX(Dados_Evap!$C$2:$N$15,MATCH($B$9,Dados_Evap!$A$2:$A$15,0),C319),0))</f>
        <v>206.8</v>
      </c>
      <c r="G319" s="16" t="n">
        <f aca="false">IF(F319="","",F319/1000)</f>
        <v>0.2068</v>
      </c>
      <c r="H319" s="16" t="n">
        <f aca="false">IF(D319="","",MAX(0,MIN($B$8,IFERROR(LOOKUP(2,1/($U$24:U318&lt;&gt;""),$U$24:U318),$B$11))))</f>
        <v>95.5990499834933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10.948561606431</v>
      </c>
      <c r="J319" s="16" t="n">
        <f aca="false">IF(D319="","",$B$12)</f>
        <v>0.432</v>
      </c>
      <c r="K319" s="16" t="n">
        <f aca="false">IF(J319="","",J319*$B$15)</f>
        <v>1.119744</v>
      </c>
      <c r="L319" s="16" t="n">
        <f aca="false">IF(D319="","",H319+E319-K319-G319*I319)</f>
        <v>93.0907247665021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10.7659385606829</v>
      </c>
      <c r="N319" s="16" t="n">
        <f aca="false">IF(D319="","",(I319+M319)/2)</f>
        <v>10.857250083557</v>
      </c>
      <c r="O319" s="16" t="n">
        <f aca="false">IF(D319="","",G319*N319)</f>
        <v>2.24527931727958</v>
      </c>
      <c r="P319" s="16" t="n">
        <f aca="false">IF(D319="","",H319+E319-K319-O319)</f>
        <v>93.1096079894325</v>
      </c>
      <c r="Q319" s="16" t="n">
        <f aca="false">IF(D319="","",IF(P319&gt;=0,K319,MAX(0,K319+P319)))</f>
        <v>1.119744</v>
      </c>
      <c r="R319" s="16" t="n">
        <f aca="false">IF(D319="","",Q319/$B$15)</f>
        <v>0.432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93.1096079894325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57.4750666601435</v>
      </c>
      <c r="Z319" s="18" t="n">
        <f aca="false">IF(D319="","",MAX(0,IF(P319&gt;=0,P319,IF(K319+P319&gt;=0,0,P319+K319))))</f>
        <v>93.1096079894325</v>
      </c>
      <c r="AA319" s="18" t="n">
        <f aca="false">IF(D319="","",IF(H319&lt;=$B$16,1,IF(H319&gt;=$B$17,$B$21,MATCH(H319,Aux_CAV!$A$2:$A$121,1))))</f>
        <v>22</v>
      </c>
      <c r="AB319" s="18" t="n">
        <f aca="false">IF(D319="","",IF(L319&lt;=$B$16,1,IF(L319&gt;=$B$17,$B$21,MATCH(L319,Aux_CAV!$A$2:$A$121,1))))</f>
        <v>22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0.426218363839705</v>
      </c>
      <c r="E320" s="16" t="n">
        <f aca="false">IF(D320="","",D320*$B$15)</f>
        <v>1.10475799907252</v>
      </c>
      <c r="F320" s="16" t="n">
        <f aca="false" t="array" ref="F320:F320">IF(D320="","",IFERROR(INDEX(Dados_Evap!$C$2:$N$15,MATCH($B$9,Dados_Evap!$A$2:$A$15,0),C320),0))</f>
        <v>245.9</v>
      </c>
      <c r="G320" s="16" t="n">
        <f aca="false">IF(F320="","",F320/1000)</f>
        <v>0.2459</v>
      </c>
      <c r="H320" s="16" t="n">
        <f aca="false">IF(D320="","",MAX(0,MIN($B$8,IFERROR(LOOKUP(2,1/($U$24:U319&lt;&gt;""),$U$24:U319),$B$11))))</f>
        <v>93.1096079894325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10.7673133870658</v>
      </c>
      <c r="J320" s="16" t="n">
        <f aca="false">IF(D320="","",$B$12)</f>
        <v>0.432</v>
      </c>
      <c r="K320" s="16" t="n">
        <f aca="false">IF(J320="","",J320*$B$15)</f>
        <v>1.119744</v>
      </c>
      <c r="L320" s="16" t="n">
        <f aca="false">IF(D320="","",H320+E320-K320-G320*I320)</f>
        <v>90.4469396266255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10.5734531161014</v>
      </c>
      <c r="N320" s="16" t="n">
        <f aca="false">IF(D320="","",(I320+M320)/2)</f>
        <v>10.6703832515836</v>
      </c>
      <c r="O320" s="16" t="n">
        <f aca="false">IF(D320="","",G320*N320)</f>
        <v>2.6238472415644</v>
      </c>
      <c r="P320" s="16" t="n">
        <f aca="false">IF(D320="","",H320+E320-K320-O320)</f>
        <v>90.4707747469406</v>
      </c>
      <c r="Q320" s="16" t="n">
        <f aca="false">IF(D320="","",IF(P320&gt;=0,K320,MAX(0,K320+P320)))</f>
        <v>1.119744</v>
      </c>
      <c r="R320" s="16" t="n">
        <f aca="false">IF(D320="","",Q320/$B$15)</f>
        <v>0.432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90.4707747469406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55.8461572511979</v>
      </c>
      <c r="Z320" s="18" t="n">
        <f aca="false">IF(D320="","",MAX(0,IF(P320&gt;=0,P320,IF(K320+P320&gt;=0,0,P320+K320))))</f>
        <v>90.4707747469406</v>
      </c>
      <c r="AA320" s="18" t="n">
        <f aca="false">IF(D320="","",IF(H320&lt;=$B$16,1,IF(H320&gt;=$B$17,$B$21,MATCH(H320,Aux_CAV!$A$2:$A$121,1))))</f>
        <v>22</v>
      </c>
      <c r="AB320" s="18" t="n">
        <f aca="false">IF(D320="","",IF(L320&lt;=$B$16,1,IF(L320&gt;=$B$17,$B$21,MATCH(L320,Aux_CAV!$A$2:$A$121,1))))</f>
        <v>22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0.314954430858482</v>
      </c>
      <c r="E321" s="16" t="n">
        <f aca="false">IF(D321="","",D321*$B$15)</f>
        <v>0.816361884785186</v>
      </c>
      <c r="F321" s="16" t="n">
        <f aca="false" t="array" ref="F321:F321">IF(D321="","",IFERROR(INDEX(Dados_Evap!$C$2:$N$15,MATCH($B$9,Dados_Evap!$A$2:$A$15,0),C321),0))</f>
        <v>282.3</v>
      </c>
      <c r="G321" s="16" t="n">
        <f aca="false">IF(F321="","",F321/1000)</f>
        <v>0.2823</v>
      </c>
      <c r="H321" s="16" t="n">
        <f aca="false">IF(D321="","",MAX(0,MIN($B$8,IFERROR(LOOKUP(2,1/($U$24:U320&lt;&gt;""),$U$24:U320),$B$11))))</f>
        <v>90.4707747469406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10.5751884741156</v>
      </c>
      <c r="J321" s="16" t="n">
        <f aca="false">IF(D321="","",$B$12)</f>
        <v>0.432</v>
      </c>
      <c r="K321" s="16" t="n">
        <f aca="false">IF(J321="","",J321*$B$15)</f>
        <v>1.119744</v>
      </c>
      <c r="L321" s="16" t="n">
        <f aca="false">IF(D321="","",H321+E321-K321-G321*I321)</f>
        <v>87.1820169254829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10.3345524524407</v>
      </c>
      <c r="N321" s="16" t="n">
        <f aca="false">IF(D321="","",(I321+M321)/2)</f>
        <v>10.4548704632782</v>
      </c>
      <c r="O321" s="16" t="n">
        <f aca="false">IF(D321="","",G321*N321)</f>
        <v>2.95140993178342</v>
      </c>
      <c r="P321" s="16" t="n">
        <f aca="false">IF(D321="","",H321+E321-K321-O321)</f>
        <v>87.2159826999423</v>
      </c>
      <c r="Q321" s="16" t="n">
        <f aca="false">IF(D321="","",IF(P321&gt;=0,K321,MAX(0,K321+P321)))</f>
        <v>1.119744</v>
      </c>
      <c r="R321" s="16" t="n">
        <f aca="false">IF(D321="","",Q321/$B$15)</f>
        <v>0.432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87.2159826999423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53.8370263579891</v>
      </c>
      <c r="Z321" s="18" t="n">
        <f aca="false">IF(D321="","",MAX(0,IF(P321&gt;=0,P321,IF(K321+P321&gt;=0,0,P321+K321))))</f>
        <v>87.2159826999423</v>
      </c>
      <c r="AA321" s="18" t="n">
        <f aca="false">IF(D321="","",IF(H321&lt;=$B$16,1,IF(H321&gt;=$B$17,$B$21,MATCH(H321,Aux_CAV!$A$2:$A$121,1))))</f>
        <v>22</v>
      </c>
      <c r="AB321" s="18" t="n">
        <f aca="false">IF(D321="","",IF(L321&lt;=$B$16,1,IF(L321&gt;=$B$17,$B$21,MATCH(L321,Aux_CAV!$A$2:$A$121,1))))</f>
        <v>21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0.384857195112659</v>
      </c>
      <c r="E322" s="16" t="n">
        <f aca="false">IF(D322="","",D322*$B$15)</f>
        <v>0.997549849732012</v>
      </c>
      <c r="F322" s="16" t="n">
        <f aca="false" t="array" ref="F322:F322">IF(D322="","",IFERROR(INDEX(Dados_Evap!$C$2:$N$15,MATCH($B$9,Dados_Evap!$A$2:$A$15,0),C322),0))</f>
        <v>241.3</v>
      </c>
      <c r="G322" s="16" t="n">
        <f aca="false">IF(F322="","",F322/1000)</f>
        <v>0.2413</v>
      </c>
      <c r="H322" s="16" t="n">
        <f aca="false">IF(D322="","",MAX(0,MIN($B$8,IFERROR(LOOKUP(2,1/($U$24:U321&lt;&gt;""),$U$24:U321),$B$11))))</f>
        <v>87.2159826999423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10.3374317451852</v>
      </c>
      <c r="J322" s="16" t="n">
        <f aca="false">IF(D322="","",$B$12)</f>
        <v>0.432</v>
      </c>
      <c r="K322" s="16" t="n">
        <f aca="false">IF(J322="","",J322*$B$15)</f>
        <v>1.119744</v>
      </c>
      <c r="L322" s="16" t="n">
        <f aca="false">IF(D322="","",H322+E322-K322-G322*I322)</f>
        <v>84.5993662695611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10.1156200885063</v>
      </c>
      <c r="N322" s="16" t="n">
        <f aca="false">IF(D322="","",(I322+M322)/2)</f>
        <v>10.2265259168458</v>
      </c>
      <c r="O322" s="16" t="n">
        <f aca="false">IF(D322="","",G322*N322)</f>
        <v>2.46766070373489</v>
      </c>
      <c r="P322" s="16" t="n">
        <f aca="false">IF(D322="","",H322+E322-K322-O322)</f>
        <v>84.6261278459395</v>
      </c>
      <c r="Q322" s="16" t="n">
        <f aca="false">IF(D322="","",IF(P322&gt;=0,K322,MAX(0,K322+P322)))</f>
        <v>1.119744</v>
      </c>
      <c r="R322" s="16" t="n">
        <f aca="false">IF(D322="","",Q322/$B$15)</f>
        <v>0.432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84.6261278459395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52.2383505221849</v>
      </c>
      <c r="Z322" s="18" t="n">
        <f aca="false">IF(D322="","",MAX(0,IF(P322&gt;=0,P322,IF(K322+P322&gt;=0,0,P322+K322))))</f>
        <v>84.6261278459395</v>
      </c>
      <c r="AA322" s="18" t="n">
        <f aca="false">IF(D322="","",IF(H322&lt;=$B$16,1,IF(H322&gt;=$B$17,$B$21,MATCH(H322,Aux_CAV!$A$2:$A$121,1))))</f>
        <v>21</v>
      </c>
      <c r="AB322" s="18" t="n">
        <f aca="false">IF(D322="","",IF(L322&lt;=$B$16,1,IF(L322&gt;=$B$17,$B$21,MATCH(L322,Aux_CAV!$A$2:$A$121,1))))</f>
        <v>21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0.691830943393972</v>
      </c>
      <c r="E323" s="16" t="n">
        <f aca="false">IF(D323="","",D323*$B$15)</f>
        <v>1.79322580527718</v>
      </c>
      <c r="F323" s="16" t="n">
        <f aca="false" t="array" ref="F323:F323">IF(D323="","",IFERROR(INDEX(Dados_Evap!$C$2:$N$15,MATCH($B$9,Dados_Evap!$A$2:$A$15,0),C323),0))</f>
        <v>241.8</v>
      </c>
      <c r="G323" s="16" t="n">
        <f aca="false">IF(F323="","",F323/1000)</f>
        <v>0.2418</v>
      </c>
      <c r="H323" s="16" t="n">
        <f aca="false">IF(D323="","",MAX(0,MIN($B$8,IFERROR(LOOKUP(2,1/($U$24:U322&lt;&gt;""),$U$24:U322),$B$11))))</f>
        <v>84.6261278459395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10.1178886784009</v>
      </c>
      <c r="J323" s="16" t="n">
        <f aca="false">IF(D323="","",$B$12)</f>
        <v>0.432</v>
      </c>
      <c r="K323" s="16" t="n">
        <f aca="false">IF(J323="","",J323*$B$15)</f>
        <v>1.119744</v>
      </c>
      <c r="L323" s="16" t="n">
        <f aca="false">IF(D323="","",H323+E323-K323-G323*I323)</f>
        <v>82.8531041687793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9.96758872820735</v>
      </c>
      <c r="N323" s="16" t="n">
        <f aca="false">IF(D323="","",(I323+M323)/2)</f>
        <v>10.0427387033041</v>
      </c>
      <c r="O323" s="16" t="n">
        <f aca="false">IF(D323="","",G323*N323)</f>
        <v>2.42833421845893</v>
      </c>
      <c r="P323" s="16" t="n">
        <f aca="false">IF(D323="","",H323+E323-K323-O323)</f>
        <v>82.8712754327577</v>
      </c>
      <c r="Q323" s="16" t="n">
        <f aca="false">IF(D323="","",IF(P323&gt;=0,K323,MAX(0,K323+P323)))</f>
        <v>1.119744</v>
      </c>
      <c r="R323" s="16" t="n">
        <f aca="false">IF(D323="","",Q323/$B$15)</f>
        <v>0.432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82.8712754327577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51.1551082918258</v>
      </c>
      <c r="Z323" s="18" t="n">
        <f aca="false">IF(D323="","",MAX(0,IF(P323&gt;=0,P323,IF(K323+P323&gt;=0,0,P323+K323))))</f>
        <v>82.8712754327577</v>
      </c>
      <c r="AA323" s="18" t="n">
        <f aca="false">IF(D323="","",IF(H323&lt;=$B$16,1,IF(H323&gt;=$B$17,$B$21,MATCH(H323,Aux_CAV!$A$2:$A$121,1))))</f>
        <v>21</v>
      </c>
      <c r="AB323" s="18" t="n">
        <f aca="false">IF(D323="","",IF(L323&lt;=$B$16,1,IF(L323&gt;=$B$17,$B$21,MATCH(L323,Aux_CAV!$A$2:$A$121,1))))</f>
        <v>21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0.661239723790302</v>
      </c>
      <c r="E324" s="16" t="n">
        <f aca="false">IF(D324="","",D324*$B$15)</f>
        <v>1.71393336406446</v>
      </c>
      <c r="F324" s="16" t="n">
        <f aca="false" t="array" ref="F324:F324">IF(D324="","",IFERROR(INDEX(Dados_Evap!$C$2:$N$15,MATCH($B$9,Dados_Evap!$A$2:$A$15,0),C324),0))</f>
        <v>189</v>
      </c>
      <c r="G324" s="16" t="n">
        <f aca="false">IF(F324="","",F324/1000)</f>
        <v>0.189</v>
      </c>
      <c r="H324" s="16" t="n">
        <f aca="false">IF(D324="","",MAX(0,MIN($B$8,IFERROR(LOOKUP(2,1/($U$24:U323&lt;&gt;""),$U$24:U323),$B$11))))</f>
        <v>82.8712754327577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9.96912911376795</v>
      </c>
      <c r="J324" s="16" t="n">
        <f aca="false">IF(D324="","",$B$12)</f>
        <v>0.432</v>
      </c>
      <c r="K324" s="16" t="n">
        <f aca="false">IF(J324="","",J324*$B$15)</f>
        <v>1.119744</v>
      </c>
      <c r="L324" s="16" t="n">
        <f aca="false">IF(D324="","",H324+E324-K324-G324*I324)</f>
        <v>81.58129939432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9.85977731163153</v>
      </c>
      <c r="N324" s="16" t="n">
        <f aca="false">IF(D324="","",(I324+M324)/2)</f>
        <v>9.91445321269974</v>
      </c>
      <c r="O324" s="16" t="n">
        <f aca="false">IF(D324="","",G324*N324)</f>
        <v>1.87383165720025</v>
      </c>
      <c r="P324" s="16" t="n">
        <f aca="false">IF(D324="","",H324+E324-K324-O324)</f>
        <v>81.5916331396219</v>
      </c>
      <c r="Q324" s="16" t="n">
        <f aca="false">IF(D324="","",IF(P324&gt;=0,K324,MAX(0,K324+P324)))</f>
        <v>1.119744</v>
      </c>
      <c r="R324" s="16" t="n">
        <f aca="false">IF(D324="","",Q324/$B$15)</f>
        <v>0.432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81.5916331396219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50.3652056417419</v>
      </c>
      <c r="Z324" s="18" t="n">
        <f aca="false">IF(D324="","",MAX(0,IF(P324&gt;=0,P324,IF(K324+P324&gt;=0,0,P324+K324))))</f>
        <v>81.5916331396219</v>
      </c>
      <c r="AA324" s="18" t="n">
        <f aca="false">IF(D324="","",IF(H324&lt;=$B$16,1,IF(H324&gt;=$B$17,$B$21,MATCH(H324,Aux_CAV!$A$2:$A$121,1))))</f>
        <v>21</v>
      </c>
      <c r="AB324" s="18" t="n">
        <f aca="false">IF(D324="","",IF(L324&lt;=$B$16,1,IF(L324&gt;=$B$17,$B$21,MATCH(L324,Aux_CAV!$A$2:$A$121,1))))</f>
        <v>21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1.94271613910429</v>
      </c>
      <c r="E325" s="16" t="n">
        <f aca="false">IF(D325="","",D325*$B$15)</f>
        <v>5.03552023255832</v>
      </c>
      <c r="F325" s="16" t="n">
        <f aca="false" t="array" ref="F325:F325">IF(D325="","",IFERROR(INDEX(Dados_Evap!$C$2:$N$15,MATCH($B$9,Dados_Evap!$A$2:$A$15,0),C325),0))</f>
        <v>136.9</v>
      </c>
      <c r="G325" s="16" t="n">
        <f aca="false">IF(F325="","",F325/1000)</f>
        <v>0.1369</v>
      </c>
      <c r="H325" s="16" t="n">
        <f aca="false">IF(D325="","",MAX(0,MIN($B$8,IFERROR(LOOKUP(2,1/($U$24:U324&lt;&gt;""),$U$24:U324),$B$11))))</f>
        <v>81.5916331396219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9.8606533074934</v>
      </c>
      <c r="J325" s="16" t="n">
        <f aca="false">IF(D325="","",$B$12)</f>
        <v>0.432</v>
      </c>
      <c r="K325" s="16" t="n">
        <f aca="false">IF(J325="","",J325*$B$15)</f>
        <v>1.119744</v>
      </c>
      <c r="L325" s="16" t="n">
        <f aca="false">IF(D325="","",H325+E325-K325-G325*I325)</f>
        <v>84.1574859343844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10.078161709792</v>
      </c>
      <c r="N325" s="16" t="n">
        <f aca="false">IF(D325="","",(I325+M325)/2)</f>
        <v>9.9694075086427</v>
      </c>
      <c r="O325" s="16" t="n">
        <f aca="false">IF(D325="","",G325*N325)</f>
        <v>1.36481188793319</v>
      </c>
      <c r="P325" s="16" t="n">
        <f aca="false">IF(D325="","",H325+E325-K325-O325)</f>
        <v>84.1425974842471</v>
      </c>
      <c r="Q325" s="16" t="n">
        <f aca="false">IF(D325="","",IF(P325&gt;=0,K325,MAX(0,K325+P325)))</f>
        <v>1.119744</v>
      </c>
      <c r="R325" s="16" t="n">
        <f aca="false">IF(D325="","",Q325/$B$15)</f>
        <v>0.432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84.1425974842471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51.939874990276</v>
      </c>
      <c r="Z325" s="18" t="n">
        <f aca="false">IF(D325="","",MAX(0,IF(P325&gt;=0,P325,IF(K325+P325&gt;=0,0,P325+K325))))</f>
        <v>84.1425974842471</v>
      </c>
      <c r="AA325" s="18" t="n">
        <f aca="false">IF(D325="","",IF(H325&lt;=$B$16,1,IF(H325&gt;=$B$17,$B$21,MATCH(H325,Aux_CAV!$A$2:$A$121,1))))</f>
        <v>21</v>
      </c>
      <c r="AB325" s="18" t="n">
        <f aca="false">IF(D325="","",IF(L325&lt;=$B$16,1,IF(L325&gt;=$B$17,$B$21,MATCH(L325,Aux_CAV!$A$2:$A$121,1))))</f>
        <v>21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4.37277082171156</v>
      </c>
      <c r="E326" s="16" t="n">
        <f aca="false">IF(D326="","",D326*$B$15)</f>
        <v>11.3342219698764</v>
      </c>
      <c r="F326" s="16" t="n">
        <f aca="false" t="array" ref="F326:F326">IF(D326="","",IFERROR(INDEX(Dados_Evap!$C$2:$N$15,MATCH($B$9,Dados_Evap!$A$2:$A$15,0),C326),0))</f>
        <v>102.9</v>
      </c>
      <c r="G326" s="16" t="n">
        <f aca="false">IF(F326="","",F326/1000)</f>
        <v>0.1029</v>
      </c>
      <c r="H326" s="16" t="n">
        <f aca="false">IF(D326="","",MAX(0,MIN($B$8,IFERROR(LOOKUP(2,1/($U$24:U325&lt;&gt;""),$U$24:U325),$B$11))))</f>
        <v>84.1425974842471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10.076899609718</v>
      </c>
      <c r="J326" s="16" t="n">
        <f aca="false">IF(D326="","",$B$12)</f>
        <v>0.432</v>
      </c>
      <c r="K326" s="16" t="n">
        <f aca="false">IF(J326="","",J326*$B$15)</f>
        <v>1.119744</v>
      </c>
      <c r="L326" s="16" t="n">
        <f aca="false">IF(D326="","",H326+E326-K326-G326*I326)</f>
        <v>93.3201624842834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10.782643178787</v>
      </c>
      <c r="N326" s="16" t="n">
        <f aca="false">IF(D326="","",(I326+M326)/2)</f>
        <v>10.4297713942525</v>
      </c>
      <c r="O326" s="16" t="n">
        <f aca="false">IF(D326="","",G326*N326)</f>
        <v>1.07322347646859</v>
      </c>
      <c r="P326" s="16" t="n">
        <f aca="false">IF(D326="","",H326+E326-K326-O326)</f>
        <v>93.2838519776549</v>
      </c>
      <c r="Q326" s="16" t="n">
        <f aca="false">IF(D326="","",IF(P326&gt;=0,K326,MAX(0,K326+P326)))</f>
        <v>1.119744</v>
      </c>
      <c r="R326" s="16" t="n">
        <f aca="false">IF(D326="","",Q326/$B$15)</f>
        <v>0.432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93.2838519776549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57.5826246775647</v>
      </c>
      <c r="Z326" s="18" t="n">
        <f aca="false">IF(D326="","",MAX(0,IF(P326&gt;=0,P326,IF(K326+P326&gt;=0,0,P326+K326))))</f>
        <v>93.2838519776549</v>
      </c>
      <c r="AA326" s="18" t="n">
        <f aca="false">IF(D326="","",IF(H326&lt;=$B$16,1,IF(H326&gt;=$B$17,$B$21,MATCH(H326,Aux_CAV!$A$2:$A$121,1))))</f>
        <v>21</v>
      </c>
      <c r="AB326" s="18" t="n">
        <f aca="false">IF(D326="","",IF(L326&lt;=$B$16,1,IF(L326&gt;=$B$17,$B$21,MATCH(L326,Aux_CAV!$A$2:$A$121,1))))</f>
        <v>22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9.88071552826103</v>
      </c>
      <c r="E327" s="16" t="n">
        <f aca="false">IF(D327="","",D327*$B$15)</f>
        <v>25.6108146492526</v>
      </c>
      <c r="F327" s="16" t="n">
        <f aca="false" t="array" ref="F327:F327">IF(D327="","",IFERROR(INDEX(Dados_Evap!$C$2:$N$15,MATCH($B$9,Dados_Evap!$A$2:$A$15,0),C327),0))</f>
        <v>81.8</v>
      </c>
      <c r="G327" s="16" t="n">
        <f aca="false">IF(F327="","",F327/1000)</f>
        <v>0.0818</v>
      </c>
      <c r="H327" s="16" t="n">
        <f aca="false">IF(D327="","",MAX(0,MIN($B$8,IFERROR(LOOKUP(2,1/($U$24:U326&lt;&gt;""),$U$24:U326),$B$11))))</f>
        <v>93.2838519776549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10.7799995282475</v>
      </c>
      <c r="J327" s="16" t="n">
        <f aca="false">IF(D327="","",$B$12)</f>
        <v>0.432</v>
      </c>
      <c r="K327" s="16" t="n">
        <f aca="false">IF(J327="","",J327*$B$15)</f>
        <v>1.119744</v>
      </c>
      <c r="L327" s="16" t="n">
        <f aca="false">IF(D327="","",H327+E327-K327-G327*I327)</f>
        <v>116.893118665497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12.4989138704571</v>
      </c>
      <c r="N327" s="16" t="n">
        <f aca="false">IF(D327="","",(I327+M327)/2)</f>
        <v>11.6394566993523</v>
      </c>
      <c r="O327" s="16" t="n">
        <f aca="false">IF(D327="","",G327*N327)</f>
        <v>0.952107558007018</v>
      </c>
      <c r="P327" s="16" t="n">
        <f aca="false">IF(D327="","",H327+E327-K327-O327)</f>
        <v>116.8228150689</v>
      </c>
      <c r="Q327" s="16" t="n">
        <f aca="false">IF(D327="","",IF(P327&gt;=0,K327,MAX(0,K327+P327)))</f>
        <v>1.119744</v>
      </c>
      <c r="R327" s="16" t="n">
        <f aca="false">IF(D327="","",Q327/$B$15)</f>
        <v>0.432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116.8228150689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72.1128488079632</v>
      </c>
      <c r="Z327" s="18" t="n">
        <f aca="false">IF(D327="","",MAX(0,IF(P327&gt;=0,P327,IF(K327+P327&gt;=0,0,P327+K327))))</f>
        <v>116.8228150689</v>
      </c>
      <c r="AA327" s="18" t="n">
        <f aca="false">IF(D327="","",IF(H327&lt;=$B$16,1,IF(H327&gt;=$B$17,$B$21,MATCH(H327,Aux_CAV!$A$2:$A$121,1))))</f>
        <v>22</v>
      </c>
      <c r="AB327" s="18" t="n">
        <f aca="false">IF(D327="","",IF(L327&lt;=$B$16,1,IF(L327&gt;=$B$17,$B$21,MATCH(L327,Aux_CAV!$A$2:$A$121,1))))</f>
        <v>22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9.7128567251067</v>
      </c>
      <c r="E328" s="16" t="n">
        <f aca="false">IF(D328="","",D328*$B$15)</f>
        <v>25.1757246314766</v>
      </c>
      <c r="F328" s="16" t="n">
        <f aca="false" t="array" ref="F328:F328">IF(D328="","",IFERROR(INDEX(Dados_Evap!$C$2:$N$15,MATCH($B$9,Dados_Evap!$A$2:$A$15,0),C328),0))</f>
        <v>83.6</v>
      </c>
      <c r="G328" s="16" t="n">
        <f aca="false">IF(F328="","",F328/1000)</f>
        <v>0.0836</v>
      </c>
      <c r="H328" s="16" t="n">
        <f aca="false">IF(D328="","",MAX(0,MIN($B$8,IFERROR(LOOKUP(2,1/($U$24:U327&lt;&gt;""),$U$24:U327),$B$11))))</f>
        <v>116.8228150689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12.4937952929893</v>
      </c>
      <c r="J328" s="16" t="n">
        <f aca="false">IF(D328="","",$B$12)</f>
        <v>0.432</v>
      </c>
      <c r="K328" s="16" t="n">
        <f aca="false">IF(J328="","",J328*$B$15)</f>
        <v>1.119744</v>
      </c>
      <c r="L328" s="16" t="n">
        <f aca="false">IF(D328="","",H328+E328-K328-G328*I328)</f>
        <v>139.834314413883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14.1691881284731</v>
      </c>
      <c r="N328" s="16" t="n">
        <f aca="false">IF(D328="","",(I328+M328)/2)</f>
        <v>13.3314917107312</v>
      </c>
      <c r="O328" s="16" t="n">
        <f aca="false">IF(D328="","",G328*N328)</f>
        <v>1.11451270701713</v>
      </c>
      <c r="P328" s="16" t="n">
        <f aca="false">IF(D328="","",H328+E328-K328-O328)</f>
        <v>139.76428299336</v>
      </c>
      <c r="Q328" s="16" t="n">
        <f aca="false">IF(D328="","",IF(P328&gt;=0,K328,MAX(0,K328+P328)))</f>
        <v>1.119744</v>
      </c>
      <c r="R328" s="16" t="n">
        <f aca="false">IF(D328="","",Q328/$B$15)</f>
        <v>0.432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139.76428299336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86.2742487613333</v>
      </c>
      <c r="Z328" s="18" t="n">
        <f aca="false">IF(D328="","",MAX(0,IF(P328&gt;=0,P328,IF(K328+P328&gt;=0,0,P328+K328))))</f>
        <v>139.76428299336</v>
      </c>
      <c r="AA328" s="18" t="n">
        <f aca="false">IF(D328="","",IF(H328&lt;=$B$16,1,IF(H328&gt;=$B$17,$B$21,MATCH(H328,Aux_CAV!$A$2:$A$121,1))))</f>
        <v>22</v>
      </c>
      <c r="AB328" s="18" t="n">
        <f aca="false">IF(D328="","",IF(L328&lt;=$B$16,1,IF(L328&gt;=$B$17,$B$21,MATCH(L328,Aux_CAV!$A$2:$A$121,1))))</f>
        <v>22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8.29271835933199</v>
      </c>
      <c r="E329" s="16" t="n">
        <f aca="false">IF(D329="","",D329*$B$15)</f>
        <v>21.4947259873885</v>
      </c>
      <c r="F329" s="16" t="n">
        <f aca="false" t="array" ref="F329:F329">IF(D329="","",IFERROR(INDEX(Dados_Evap!$C$2:$N$15,MATCH($B$9,Dados_Evap!$A$2:$A$15,0),C329),0))</f>
        <v>108.2</v>
      </c>
      <c r="G329" s="16" t="n">
        <f aca="false">IF(F329="","",F329/1000)</f>
        <v>0.1082</v>
      </c>
      <c r="H329" s="16" t="n">
        <f aca="false">IF(D329="","",MAX(0,MIN($B$8,IFERROR(LOOKUP(2,1/($U$24:U328&lt;&gt;""),$U$24:U328),$B$11))))</f>
        <v>139.76428299336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14.1640893672649</v>
      </c>
      <c r="J329" s="16" t="n">
        <f aca="false">IF(D329="","",$B$12)</f>
        <v>0.432</v>
      </c>
      <c r="K329" s="16" t="n">
        <f aca="false">IF(J329="","",J329*$B$15)</f>
        <v>1.119744</v>
      </c>
      <c r="L329" s="16" t="n">
        <f aca="false">IF(D329="","",H329+E329-K329-G329*I329)</f>
        <v>158.60671051121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15.5359455680827</v>
      </c>
      <c r="N329" s="16" t="n">
        <f aca="false">IF(D329="","",(I329+M329)/2)</f>
        <v>14.8500174676738</v>
      </c>
      <c r="O329" s="16" t="n">
        <f aca="false">IF(D329="","",G329*N329)</f>
        <v>1.6067718900023</v>
      </c>
      <c r="P329" s="16" t="n">
        <f aca="false">IF(D329="","",H329+E329-K329-O329)</f>
        <v>158.532493090746</v>
      </c>
      <c r="Q329" s="16" t="n">
        <f aca="false">IF(D329="","",IF(P329&gt;=0,K329,MAX(0,K329+P329)))</f>
        <v>1.119744</v>
      </c>
      <c r="R329" s="16" t="n">
        <f aca="false">IF(D329="","",Q329/$B$15)</f>
        <v>0.432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158.532493090746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97.859563636263</v>
      </c>
      <c r="Z329" s="18" t="n">
        <f aca="false">IF(D329="","",MAX(0,IF(P329&gt;=0,P329,IF(K329+P329&gt;=0,0,P329+K329))))</f>
        <v>158.532493090746</v>
      </c>
      <c r="AA329" s="18" t="n">
        <f aca="false">IF(D329="","",IF(H329&lt;=$B$16,1,IF(H329&gt;=$B$17,$B$21,MATCH(H329,Aux_CAV!$A$2:$A$121,1))))</f>
        <v>22</v>
      </c>
      <c r="AB329" s="18" t="n">
        <f aca="false">IF(D329="","",IF(L329&lt;=$B$16,1,IF(L329&gt;=$B$17,$B$21,MATCH(L329,Aux_CAV!$A$2:$A$121,1))))</f>
        <v>22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3.00980119646305</v>
      </c>
      <c r="E330" s="16" t="n">
        <f aca="false">IF(D330="","",D330*$B$15)</f>
        <v>7.80140470123223</v>
      </c>
      <c r="F330" s="16" t="n">
        <f aca="false" t="array" ref="F330:F330">IF(D330="","",IFERROR(INDEX(Dados_Evap!$C$2:$N$15,MATCH($B$9,Dados_Evap!$A$2:$A$15,0),C330),0))</f>
        <v>149</v>
      </c>
      <c r="G330" s="16" t="n">
        <f aca="false">IF(F330="","",F330/1000)</f>
        <v>0.149</v>
      </c>
      <c r="H330" s="16" t="n">
        <f aca="false">IF(D330="","",MAX(0,MIN($B$8,IFERROR(LOOKUP(2,1/($U$24:U329&lt;&gt;""),$U$24:U329),$B$11))))</f>
        <v>158.532493090746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15.5305420377586</v>
      </c>
      <c r="J330" s="16" t="n">
        <f aca="false">IF(D330="","",$B$12)</f>
        <v>0.432</v>
      </c>
      <c r="K330" s="16" t="n">
        <f aca="false">IF(J330="","",J330*$B$15)</f>
        <v>1.119744</v>
      </c>
      <c r="L330" s="16" t="n">
        <f aca="false">IF(D330="","",H330+E330-K330-G330*I330)</f>
        <v>162.900103028352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15.8368347335053</v>
      </c>
      <c r="N330" s="16" t="n">
        <f aca="false">IF(D330="","",(I330+M330)/2)</f>
        <v>15.6836883856319</v>
      </c>
      <c r="O330" s="16" t="n">
        <f aca="false">IF(D330="","",G330*N330)</f>
        <v>2.33686956945915</v>
      </c>
      <c r="P330" s="16" t="n">
        <f aca="false">IF(D330="","",H330+E330-K330-O330)</f>
        <v>162.877284222519</v>
      </c>
      <c r="Q330" s="16" t="n">
        <f aca="false">IF(D330="","",IF(P330&gt;=0,K330,MAX(0,K330+P330)))</f>
        <v>1.119744</v>
      </c>
      <c r="R330" s="16" t="n">
        <f aca="false">IF(D330="","",Q330/$B$15)</f>
        <v>0.432</v>
      </c>
      <c r="S330" s="16" t="n">
        <f aca="false">IF(D330="","",MAX(0,J330-R330))</f>
        <v>0</v>
      </c>
      <c r="T330" s="16" t="n">
        <f aca="false">IF(D330="","",MAX(0,Z330-$B$8))</f>
        <v>0.877284222519137</v>
      </c>
      <c r="U330" s="16" t="n">
        <f aca="false">IF(D330="","",MAX(0,MIN($B$8,Z330)))</f>
        <v>162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100</v>
      </c>
      <c r="Z330" s="18" t="n">
        <f aca="false">IF(D330="","",MAX(0,IF(P330&gt;=0,P330,IF(K330+P330&gt;=0,0,P330+K330))))</f>
        <v>162.877284222519</v>
      </c>
      <c r="AA330" s="18" t="n">
        <f aca="false">IF(D330="","",IF(H330&lt;=$B$16,1,IF(H330&gt;=$B$17,$B$21,MATCH(H330,Aux_CAV!$A$2:$A$121,1))))</f>
        <v>22</v>
      </c>
      <c r="AB330" s="18" t="n">
        <f aca="false">IF(D330="","",IF(L330&lt;=$B$16,1,IF(L330&gt;=$B$17,$B$21,MATCH(L330,Aux_CAV!$A$2:$A$121,1))))</f>
        <v>23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1.00824399119844</v>
      </c>
      <c r="E331" s="16" t="n">
        <f aca="false">IF(D331="","",D331*$B$15)</f>
        <v>2.61336842518636</v>
      </c>
      <c r="F331" s="16" t="n">
        <f aca="false" t="array" ref="F331:F331">IF(D331="","",IFERROR(INDEX(Dados_Evap!$C$2:$N$15,MATCH($B$9,Dados_Evap!$A$2:$A$15,0),C331),0))</f>
        <v>206.8</v>
      </c>
      <c r="G331" s="16" t="n">
        <f aca="false">IF(F331="","",F331/1000)</f>
        <v>0.2068</v>
      </c>
      <c r="H331" s="16" t="n">
        <f aca="false">IF(D331="","",MAX(0,MIN($B$8,IFERROR(LOOKUP(2,1/($U$24:U330&lt;&gt;""),$U$24:U330),$B$11))))</f>
        <v>162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15.783</v>
      </c>
      <c r="J331" s="16" t="n">
        <f aca="false">IF(D331="","",$B$12)</f>
        <v>0.432</v>
      </c>
      <c r="K331" s="16" t="n">
        <f aca="false">IF(J331="","",J331*$B$15)</f>
        <v>1.119744</v>
      </c>
      <c r="L331" s="16" t="n">
        <f aca="false">IF(D331="","",H331+E331-K331-G331*I331)</f>
        <v>160.229700025186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15.654110184956</v>
      </c>
      <c r="N331" s="16" t="n">
        <f aca="false">IF(D331="","",(I331+M331)/2)</f>
        <v>15.718555092478</v>
      </c>
      <c r="O331" s="16" t="n">
        <f aca="false">IF(D331="","",G331*N331)</f>
        <v>3.25059719312445</v>
      </c>
      <c r="P331" s="16" t="n">
        <f aca="false">IF(D331="","",H331+E331-K331-O331)</f>
        <v>160.243027232062</v>
      </c>
      <c r="Q331" s="16" t="n">
        <f aca="false">IF(D331="","",IF(P331&gt;=0,K331,MAX(0,K331+P331)))</f>
        <v>1.119744</v>
      </c>
      <c r="R331" s="16" t="n">
        <f aca="false">IF(D331="","",Q331/$B$15)</f>
        <v>0.432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160.243027232062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98.9154489086802</v>
      </c>
      <c r="Z331" s="18" t="n">
        <f aca="false">IF(D331="","",MAX(0,IF(P331&gt;=0,P331,IF(K331+P331&gt;=0,0,P331+K331))))</f>
        <v>160.243027232062</v>
      </c>
      <c r="AA331" s="18" t="n">
        <f aca="false">IF(D331="","",IF(H331&lt;=$B$16,1,IF(H331&gt;=$B$17,$B$21,MATCH(H331,Aux_CAV!$A$2:$A$121,1))))</f>
        <v>23</v>
      </c>
      <c r="AB331" s="18" t="n">
        <f aca="false">IF(D331="","",IF(L331&lt;=$B$16,1,IF(L331&gt;=$B$17,$B$21,MATCH(L331,Aux_CAV!$A$2:$A$121,1))))</f>
        <v>22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0.59229807166225</v>
      </c>
      <c r="E332" s="16" t="n">
        <f aca="false">IF(D332="","",D332*$B$15)</f>
        <v>1.53523660174855</v>
      </c>
      <c r="F332" s="16" t="n">
        <f aca="false" t="array" ref="F332:F332">IF(D332="","",IFERROR(INDEX(Dados_Evap!$C$2:$N$15,MATCH($B$9,Dados_Evap!$A$2:$A$15,0),C332),0))</f>
        <v>245.9</v>
      </c>
      <c r="G332" s="16" t="n">
        <f aca="false">IF(F332="","",F332/1000)</f>
        <v>0.2459</v>
      </c>
      <c r="H332" s="16" t="n">
        <f aca="false">IF(D332="","",MAX(0,MIN($B$8,IFERROR(LOOKUP(2,1/($U$24:U331&lt;&gt;""),$U$24:U331),$B$11))))</f>
        <v>160.243027232062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15.6550804957811</v>
      </c>
      <c r="J332" s="16" t="n">
        <f aca="false">IF(D332="","",$B$12)</f>
        <v>0.432</v>
      </c>
      <c r="K332" s="16" t="n">
        <f aca="false">IF(J332="","",J332*$B$15)</f>
        <v>1.119744</v>
      </c>
      <c r="L332" s="16" t="n">
        <f aca="false">IF(D332="","",H332+E332-K332-G332*I332)</f>
        <v>156.808935539898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15.4050553874128</v>
      </c>
      <c r="N332" s="16" t="n">
        <f aca="false">IF(D332="","",(I332+M332)/2)</f>
        <v>15.530067941597</v>
      </c>
      <c r="O332" s="16" t="n">
        <f aca="false">IF(D332="","",G332*N332)</f>
        <v>3.81884370683869</v>
      </c>
      <c r="P332" s="16" t="n">
        <f aca="false">IF(D332="","",H332+E332-K332-O332)</f>
        <v>156.839676126972</v>
      </c>
      <c r="Q332" s="16" t="n">
        <f aca="false">IF(D332="","",IF(P332&gt;=0,K332,MAX(0,K332+P332)))</f>
        <v>1.119744</v>
      </c>
      <c r="R332" s="16" t="n">
        <f aca="false">IF(D332="","",Q332/$B$15)</f>
        <v>0.432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156.839676126972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96.8146148931925</v>
      </c>
      <c r="Z332" s="18" t="n">
        <f aca="false">IF(D332="","",MAX(0,IF(P332&gt;=0,P332,IF(K332+P332&gt;=0,0,P332+K332))))</f>
        <v>156.839676126972</v>
      </c>
      <c r="AA332" s="18" t="n">
        <f aca="false">IF(D332="","",IF(H332&lt;=$B$16,1,IF(H332&gt;=$B$17,$B$21,MATCH(H332,Aux_CAV!$A$2:$A$121,1))))</f>
        <v>22</v>
      </c>
      <c r="AB332" s="18" t="n">
        <f aca="false">IF(D332="","",IF(L332&lt;=$B$16,1,IF(L332&gt;=$B$17,$B$21,MATCH(L332,Aux_CAV!$A$2:$A$121,1))))</f>
        <v>22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0.607519658330499</v>
      </c>
      <c r="E333" s="16" t="n">
        <f aca="false">IF(D333="","",D333*$B$15)</f>
        <v>1.57469095439265</v>
      </c>
      <c r="F333" s="16" t="n">
        <f aca="false" t="array" ref="F333:F333">IF(D333="","",IFERROR(INDEX(Dados_Evap!$C$2:$N$15,MATCH($B$9,Dados_Evap!$A$2:$A$15,0),C333),0))</f>
        <v>282.3</v>
      </c>
      <c r="G333" s="16" t="n">
        <f aca="false">IF(F333="","",F333/1000)</f>
        <v>0.2823</v>
      </c>
      <c r="H333" s="16" t="n">
        <f aca="false">IF(D333="","",MAX(0,MIN($B$8,IFERROR(LOOKUP(2,1/($U$24:U332&lt;&gt;""),$U$24:U332),$B$11))))</f>
        <v>156.839676126972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15.4072935101257</v>
      </c>
      <c r="J333" s="16" t="n">
        <f aca="false">IF(D333="","",$B$12)</f>
        <v>0.432</v>
      </c>
      <c r="K333" s="16" t="n">
        <f aca="false">IF(J333="","",J333*$B$15)</f>
        <v>1.119744</v>
      </c>
      <c r="L333" s="16" t="n">
        <f aca="false">IF(D333="","",H333+E333-K333-G333*I333)</f>
        <v>152.945144123456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15.1237452320047</v>
      </c>
      <c r="N333" s="16" t="n">
        <f aca="false">IF(D333="","",(I333+M333)/2)</f>
        <v>15.2655193710652</v>
      </c>
      <c r="O333" s="16" t="n">
        <f aca="false">IF(D333="","",G333*N333)</f>
        <v>4.30945611845171</v>
      </c>
      <c r="P333" s="16" t="n">
        <f aca="false">IF(D333="","",H333+E333-K333-O333)</f>
        <v>152.985166962913</v>
      </c>
      <c r="Q333" s="16" t="n">
        <f aca="false">IF(D333="","",IF(P333&gt;=0,K333,MAX(0,K333+P333)))</f>
        <v>1.119744</v>
      </c>
      <c r="R333" s="16" t="n">
        <f aca="false">IF(D333="","",Q333/$B$15)</f>
        <v>0.432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152.985166962913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94.4352882487115</v>
      </c>
      <c r="Z333" s="18" t="n">
        <f aca="false">IF(D333="","",MAX(0,IF(P333&gt;=0,P333,IF(K333+P333&gt;=0,0,P333+K333))))</f>
        <v>152.985166962913</v>
      </c>
      <c r="AA333" s="18" t="n">
        <f aca="false">IF(D333="","",IF(H333&lt;=$B$16,1,IF(H333&gt;=$B$17,$B$21,MATCH(H333,Aux_CAV!$A$2:$A$121,1))))</f>
        <v>22</v>
      </c>
      <c r="AB333" s="18" t="n">
        <f aca="false">IF(D333="","",IF(L333&lt;=$B$16,1,IF(L333&gt;=$B$17,$B$21,MATCH(L333,Aux_CAV!$A$2:$A$121,1))))</f>
        <v>22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0.472091881736195</v>
      </c>
      <c r="E334" s="16" t="n">
        <f aca="false">IF(D334="","",D334*$B$15)</f>
        <v>1.22366215746022</v>
      </c>
      <c r="F334" s="16" t="n">
        <f aca="false" t="array" ref="F334:F334">IF(D334="","",IFERROR(INDEX(Dados_Evap!$C$2:$N$15,MATCH($B$9,Dados_Evap!$A$2:$A$15,0),C334),0))</f>
        <v>241.3</v>
      </c>
      <c r="G334" s="16" t="n">
        <f aca="false">IF(F334="","",F334/1000)</f>
        <v>0.2413</v>
      </c>
      <c r="H334" s="16" t="n">
        <f aca="false">IF(D334="","",MAX(0,MIN($B$8,IFERROR(LOOKUP(2,1/($U$24:U333&lt;&gt;""),$U$24:U333),$B$11))))</f>
        <v>152.985166962913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15.1266591654897</v>
      </c>
      <c r="J334" s="16" t="n">
        <f aca="false">IF(D334="","",$B$12)</f>
        <v>0.432</v>
      </c>
      <c r="K334" s="16" t="n">
        <f aca="false">IF(J334="","",J334*$B$15)</f>
        <v>1.119744</v>
      </c>
      <c r="L334" s="16" t="n">
        <f aca="false">IF(D334="","",H334+E334-K334-G334*I334)</f>
        <v>149.43902226374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14.8684758401221</v>
      </c>
      <c r="N334" s="16" t="n">
        <f aca="false">IF(D334="","",(I334+M334)/2)</f>
        <v>14.9975675028059</v>
      </c>
      <c r="O334" s="16" t="n">
        <f aca="false">IF(D334="","",G334*N334)</f>
        <v>3.61891303842707</v>
      </c>
      <c r="P334" s="16" t="n">
        <f aca="false">IF(D334="","",H334+E334-K334-O334)</f>
        <v>149.470172081946</v>
      </c>
      <c r="Q334" s="16" t="n">
        <f aca="false">IF(D334="","",IF(P334&gt;=0,K334,MAX(0,K334+P334)))</f>
        <v>1.119744</v>
      </c>
      <c r="R334" s="16" t="n">
        <f aca="false">IF(D334="","",Q334/$B$15)</f>
        <v>0.432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149.470172081946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92.2655383221888</v>
      </c>
      <c r="Z334" s="18" t="n">
        <f aca="false">IF(D334="","",MAX(0,IF(P334&gt;=0,P334,IF(K334+P334&gt;=0,0,P334+K334))))</f>
        <v>149.470172081946</v>
      </c>
      <c r="AA334" s="18" t="n">
        <f aca="false">IF(D334="","",IF(H334&lt;=$B$16,1,IF(H334&gt;=$B$17,$B$21,MATCH(H334,Aux_CAV!$A$2:$A$121,1))))</f>
        <v>22</v>
      </c>
      <c r="AB334" s="18" t="n">
        <f aca="false">IF(D334="","",IF(L334&lt;=$B$16,1,IF(L334&gt;=$B$17,$B$21,MATCH(L334,Aux_CAV!$A$2:$A$121,1))))</f>
        <v>22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0.50109408740707</v>
      </c>
      <c r="E335" s="16" t="n">
        <f aca="false">IF(D335="","",D335*$B$15)</f>
        <v>1.29883587455913</v>
      </c>
      <c r="F335" s="16" t="n">
        <f aca="false" t="array" ref="F335:F335">IF(D335="","",IFERROR(INDEX(Dados_Evap!$C$2:$N$15,MATCH($B$9,Dados_Evap!$A$2:$A$15,0),C335),0))</f>
        <v>241.8</v>
      </c>
      <c r="G335" s="16" t="n">
        <f aca="false">IF(F335="","",F335/1000)</f>
        <v>0.2418</v>
      </c>
      <c r="H335" s="16" t="n">
        <f aca="false">IF(D335="","",MAX(0,MIN($B$8,IFERROR(LOOKUP(2,1/($U$24:U334&lt;&gt;""),$U$24:U334),$B$11))))</f>
        <v>149.470172081946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14.87074375763</v>
      </c>
      <c r="J335" s="16" t="n">
        <f aca="false">IF(D335="","",$B$12)</f>
        <v>0.432</v>
      </c>
      <c r="K335" s="16" t="n">
        <f aca="false">IF(J335="","",J335*$B$15)</f>
        <v>1.119744</v>
      </c>
      <c r="L335" s="16" t="n">
        <f aca="false">IF(D335="","",H335+E335-K335-G335*I335)</f>
        <v>146.05351811591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14.621988233698</v>
      </c>
      <c r="N335" s="16" t="n">
        <f aca="false">IF(D335="","",(I335+M335)/2)</f>
        <v>14.746365995664</v>
      </c>
      <c r="O335" s="16" t="n">
        <f aca="false">IF(D335="","",G335*N335)</f>
        <v>3.56567129775156</v>
      </c>
      <c r="P335" s="16" t="n">
        <f aca="false">IF(D335="","",H335+E335-K335-O335)</f>
        <v>146.083592658753</v>
      </c>
      <c r="Q335" s="16" t="n">
        <f aca="false">IF(D335="","",IF(P335&gt;=0,K335,MAX(0,K335+P335)))</f>
        <v>1.119744</v>
      </c>
      <c r="R335" s="16" t="n">
        <f aca="false">IF(D335="","",Q335/$B$15)</f>
        <v>0.432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146.083592658753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90.1750571967614</v>
      </c>
      <c r="Z335" s="18" t="n">
        <f aca="false">IF(D335="","",MAX(0,IF(P335&gt;=0,P335,IF(K335+P335&gt;=0,0,P335+K335))))</f>
        <v>146.083592658753</v>
      </c>
      <c r="AA335" s="18" t="n">
        <f aca="false">IF(D335="","",IF(H335&lt;=$B$16,1,IF(H335&gt;=$B$17,$B$21,MATCH(H335,Aux_CAV!$A$2:$A$121,1))))</f>
        <v>22</v>
      </c>
      <c r="AB335" s="18" t="n">
        <f aca="false">IF(D335="","",IF(L335&lt;=$B$16,1,IF(L335&gt;=$B$17,$B$21,MATCH(L335,Aux_CAV!$A$2:$A$121,1))))</f>
        <v>22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0.509455849841908</v>
      </c>
      <c r="E336" s="16" t="n">
        <f aca="false">IF(D336="","",D336*$B$15)</f>
        <v>1.32050956279023</v>
      </c>
      <c r="F336" s="16" t="n">
        <f aca="false" t="array" ref="F336:F336">IF(D336="","",IFERROR(INDEX(Dados_Evap!$C$2:$N$15,MATCH($B$9,Dados_Evap!$A$2:$A$15,0),C336),0))</f>
        <v>189</v>
      </c>
      <c r="G336" s="16" t="n">
        <f aca="false">IF(F336="","",F336/1000)</f>
        <v>0.189</v>
      </c>
      <c r="H336" s="16" t="n">
        <f aca="false">IF(D336="","",MAX(0,MIN($B$8,IFERROR(LOOKUP(2,1/($U$24:U335&lt;&gt;""),$U$24:U335),$B$11))))</f>
        <v>146.083592658753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14.6241778638848</v>
      </c>
      <c r="J336" s="16" t="n">
        <f aca="false">IF(D336="","",$B$12)</f>
        <v>0.432</v>
      </c>
      <c r="K336" s="16" t="n">
        <f aca="false">IF(J336="","",J336*$B$15)</f>
        <v>1.119744</v>
      </c>
      <c r="L336" s="16" t="n">
        <f aca="false">IF(D336="","",H336+E336-K336-G336*I336)</f>
        <v>143.520388605269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14.43755926756</v>
      </c>
      <c r="N336" s="16" t="n">
        <f aca="false">IF(D336="","",(I336+M336)/2)</f>
        <v>14.5308685657224</v>
      </c>
      <c r="O336" s="16" t="n">
        <f aca="false">IF(D336="","",G336*N336)</f>
        <v>2.74633415892154</v>
      </c>
      <c r="P336" s="16" t="n">
        <f aca="false">IF(D336="","",H336+E336-K336-O336)</f>
        <v>143.538024062622</v>
      </c>
      <c r="Q336" s="16" t="n">
        <f aca="false">IF(D336="","",IF(P336&gt;=0,K336,MAX(0,K336+P336)))</f>
        <v>1.119744</v>
      </c>
      <c r="R336" s="16" t="n">
        <f aca="false">IF(D336="","",Q336/$B$15)</f>
        <v>0.432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143.538024062622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88.6037185571741</v>
      </c>
      <c r="Z336" s="18" t="n">
        <f aca="false">IF(D336="","",MAX(0,IF(P336&gt;=0,P336,IF(K336+P336&gt;=0,0,P336+K336))))</f>
        <v>143.538024062622</v>
      </c>
      <c r="AA336" s="18" t="n">
        <f aca="false">IF(D336="","",IF(H336&lt;=$B$16,1,IF(H336&gt;=$B$17,$B$21,MATCH(H336,Aux_CAV!$A$2:$A$121,1))))</f>
        <v>22</v>
      </c>
      <c r="AB336" s="18" t="n">
        <f aca="false">IF(D336="","",IF(L336&lt;=$B$16,1,IF(L336&gt;=$B$17,$B$21,MATCH(L336,Aux_CAV!$A$2:$A$121,1))))</f>
        <v>22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1.44286962699517</v>
      </c>
      <c r="E337" s="16" t="n">
        <f aca="false">IF(D337="","",D337*$B$15)</f>
        <v>3.73991807317148</v>
      </c>
      <c r="F337" s="16" t="n">
        <f aca="false" t="array" ref="F337:F337">IF(D337="","",IFERROR(INDEX(Dados_Evap!$C$2:$N$15,MATCH($B$9,Dados_Evap!$A$2:$A$15,0),C337),0))</f>
        <v>136.9</v>
      </c>
      <c r="G337" s="16" t="n">
        <f aca="false">IF(F337="","",F337/1000)</f>
        <v>0.1369</v>
      </c>
      <c r="H337" s="16" t="n">
        <f aca="false">IF(D337="","",MAX(0,MIN($B$8,IFERROR(LOOKUP(2,1/($U$24:U336&lt;&gt;""),$U$24:U336),$B$11))))</f>
        <v>143.538024062622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14.4388432481671</v>
      </c>
      <c r="J337" s="16" t="n">
        <f aca="false">IF(D337="","",$B$12)</f>
        <v>0.432</v>
      </c>
      <c r="K337" s="16" t="n">
        <f aca="false">IF(J337="","",J337*$B$15)</f>
        <v>1.119744</v>
      </c>
      <c r="L337" s="16" t="n">
        <f aca="false">IF(D337="","",H337+E337-K337-G337*I337)</f>
        <v>144.18152049512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14.4856941419964</v>
      </c>
      <c r="N337" s="16" t="n">
        <f aca="false">IF(D337="","",(I337+M337)/2)</f>
        <v>14.4622686950818</v>
      </c>
      <c r="O337" s="16" t="n">
        <f aca="false">IF(D337="","",G337*N337)</f>
        <v>1.97988458435669</v>
      </c>
      <c r="P337" s="16" t="n">
        <f aca="false">IF(D337="","",H337+E337-K337-O337)</f>
        <v>144.178313551437</v>
      </c>
      <c r="Q337" s="16" t="n">
        <f aca="false">IF(D337="","",IF(P337&gt;=0,K337,MAX(0,K337+P337)))</f>
        <v>1.119744</v>
      </c>
      <c r="R337" s="16" t="n">
        <f aca="false">IF(D337="","",Q337/$B$15)</f>
        <v>0.432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144.178313551437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88.9989589823685</v>
      </c>
      <c r="Z337" s="18" t="n">
        <f aca="false">IF(D337="","",MAX(0,IF(P337&gt;=0,P337,IF(K337+P337&gt;=0,0,P337+K337))))</f>
        <v>144.178313551437</v>
      </c>
      <c r="AA337" s="18" t="n">
        <f aca="false">IF(D337="","",IF(H337&lt;=$B$16,1,IF(H337&gt;=$B$17,$B$21,MATCH(H337,Aux_CAV!$A$2:$A$121,1))))</f>
        <v>22</v>
      </c>
      <c r="AB337" s="18" t="n">
        <f aca="false">IF(D337="","",IF(L337&lt;=$B$16,1,IF(L337&gt;=$B$17,$B$21,MATCH(L337,Aux_CAV!$A$2:$A$121,1))))</f>
        <v>22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1.34758554455947</v>
      </c>
      <c r="E338" s="16" t="n">
        <f aca="false">IF(D338="","",D338*$B$15)</f>
        <v>3.49294173149815</v>
      </c>
      <c r="F338" s="16" t="n">
        <f aca="false" t="array" ref="F338:F338">IF(D338="","",IFERROR(INDEX(Dados_Evap!$C$2:$N$15,MATCH($B$9,Dados_Evap!$A$2:$A$15,0),C338),0))</f>
        <v>102.9</v>
      </c>
      <c r="G338" s="16" t="n">
        <f aca="false">IF(F338="","",F338/1000)</f>
        <v>0.1029</v>
      </c>
      <c r="H338" s="16" t="n">
        <f aca="false">IF(D338="","",MAX(0,MIN($B$8,IFERROR(LOOKUP(2,1/($U$24:U337&lt;&gt;""),$U$24:U337),$B$11))))</f>
        <v>144.178313551437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14.4854606547999</v>
      </c>
      <c r="J338" s="16" t="n">
        <f aca="false">IF(D338="","",$B$12)</f>
        <v>0.432</v>
      </c>
      <c r="K338" s="16" t="n">
        <f aca="false">IF(J338="","",J338*$B$15)</f>
        <v>1.119744</v>
      </c>
      <c r="L338" s="16" t="n">
        <f aca="false">IF(D338="","",H338+E338-K338-G338*I338)</f>
        <v>145.060957381556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14.5497230971161</v>
      </c>
      <c r="N338" s="16" t="n">
        <f aca="false">IF(D338="","",(I338+M338)/2)</f>
        <v>14.517591875958</v>
      </c>
      <c r="O338" s="16" t="n">
        <f aca="false">IF(D338="","",G338*N338)</f>
        <v>1.49386020403608</v>
      </c>
      <c r="P338" s="16" t="n">
        <f aca="false">IF(D338="","",H338+E338-K338-O338)</f>
        <v>145.057651078899</v>
      </c>
      <c r="Q338" s="16" t="n">
        <f aca="false">IF(D338="","",IF(P338&gt;=0,K338,MAX(0,K338+P338)))</f>
        <v>1.119744</v>
      </c>
      <c r="R338" s="16" t="n">
        <f aca="false">IF(D338="","",Q338/$B$15)</f>
        <v>0.432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145.057651078899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89.5417599252463</v>
      </c>
      <c r="Z338" s="18" t="n">
        <f aca="false">IF(D338="","",MAX(0,IF(P338&gt;=0,P338,IF(K338+P338&gt;=0,0,P338+K338))))</f>
        <v>145.057651078899</v>
      </c>
      <c r="AA338" s="18" t="n">
        <f aca="false">IF(D338="","",IF(H338&lt;=$B$16,1,IF(H338&gt;=$B$17,$B$21,MATCH(H338,Aux_CAV!$A$2:$A$121,1))))</f>
        <v>22</v>
      </c>
      <c r="AB338" s="18" t="n">
        <f aca="false">IF(D338="","",IF(L338&lt;=$B$16,1,IF(L338&gt;=$B$17,$B$21,MATCH(L338,Aux_CAV!$A$2:$A$121,1))))</f>
        <v>22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1.24415145250322</v>
      </c>
      <c r="E339" s="16" t="n">
        <f aca="false">IF(D339="","",D339*$B$15)</f>
        <v>3.22484056488835</v>
      </c>
      <c r="F339" s="16" t="n">
        <f aca="false" t="array" ref="F339:F339">IF(D339="","",IFERROR(INDEX(Dados_Evap!$C$2:$N$15,MATCH($B$9,Dados_Evap!$A$2:$A$15,0),C339),0))</f>
        <v>81.8</v>
      </c>
      <c r="G339" s="16" t="n">
        <f aca="false">IF(F339="","",F339/1000)</f>
        <v>0.0818</v>
      </c>
      <c r="H339" s="16" t="n">
        <f aca="false">IF(D339="","",MAX(0,MIN($B$8,IFERROR(LOOKUP(2,1/($U$24:U338&lt;&gt;""),$U$24:U338),$B$11))))</f>
        <v>145.057651078899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14.549482375914</v>
      </c>
      <c r="J339" s="16" t="n">
        <f aca="false">IF(D339="","",$B$12)</f>
        <v>0.432</v>
      </c>
      <c r="K339" s="16" t="n">
        <f aca="false">IF(J339="","",J339*$B$15)</f>
        <v>1.119744</v>
      </c>
      <c r="L339" s="16" t="n">
        <f aca="false">IF(D339="","",H339+E339-K339-G339*I339)</f>
        <v>145.972599985438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14.6160968463519</v>
      </c>
      <c r="N339" s="16" t="n">
        <f aca="false">IF(D339="","",(I339+M339)/2)</f>
        <v>14.582789611133</v>
      </c>
      <c r="O339" s="16" t="n">
        <f aca="false">IF(D339="","",G339*N339)</f>
        <v>1.19287219019068</v>
      </c>
      <c r="P339" s="16" t="n">
        <f aca="false">IF(D339="","",H339+E339-K339-O339)</f>
        <v>145.969875453597</v>
      </c>
      <c r="Q339" s="16" t="n">
        <f aca="false">IF(D339="","",IF(P339&gt;=0,K339,MAX(0,K339+P339)))</f>
        <v>1.119744</v>
      </c>
      <c r="R339" s="16" t="n">
        <f aca="false">IF(D339="","",Q339/$B$15)</f>
        <v>0.432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145.969875453597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90.104861391109</v>
      </c>
      <c r="Z339" s="18" t="n">
        <f aca="false">IF(D339="","",MAX(0,IF(P339&gt;=0,P339,IF(K339+P339&gt;=0,0,P339+K339))))</f>
        <v>145.969875453597</v>
      </c>
      <c r="AA339" s="18" t="n">
        <f aca="false">IF(D339="","",IF(H339&lt;=$B$16,1,IF(H339&gt;=$B$17,$B$21,MATCH(H339,Aux_CAV!$A$2:$A$121,1))))</f>
        <v>22</v>
      </c>
      <c r="AB339" s="18" t="n">
        <f aca="false">IF(D339="","",IF(L339&lt;=$B$16,1,IF(L339&gt;=$B$17,$B$21,MATCH(L339,Aux_CAV!$A$2:$A$121,1))))</f>
        <v>22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3.05748745473497</v>
      </c>
      <c r="E340" s="16" t="n">
        <f aca="false">IF(D340="","",D340*$B$15)</f>
        <v>7.92500748267304</v>
      </c>
      <c r="F340" s="16" t="n">
        <f aca="false" t="array" ref="F340:F340">IF(D340="","",IFERROR(INDEX(Dados_Evap!$C$2:$N$15,MATCH($B$9,Dados_Evap!$A$2:$A$15,0),C340),0))</f>
        <v>83.6</v>
      </c>
      <c r="G340" s="16" t="n">
        <f aca="false">IF(F340="","",F340/1000)</f>
        <v>0.0836</v>
      </c>
      <c r="H340" s="16" t="n">
        <f aca="false">IF(D340="","",MAX(0,MIN($B$8,IFERROR(LOOKUP(2,1/($U$24:U339&lt;&gt;""),$U$24:U339),$B$11))))</f>
        <v>145.969875453597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14.6158984820012</v>
      </c>
      <c r="J340" s="16" t="n">
        <f aca="false">IF(D340="","",$B$12)</f>
        <v>0.432</v>
      </c>
      <c r="K340" s="16" t="n">
        <f aca="false">IF(J340="","",J340*$B$15)</f>
        <v>1.119744</v>
      </c>
      <c r="L340" s="16" t="n">
        <f aca="false">IF(D340="","",H340+E340-K340-G340*I340)</f>
        <v>151.553249823174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15.0224059101517</v>
      </c>
      <c r="N340" s="16" t="n">
        <f aca="false">IF(D340="","",(I340+M340)/2)</f>
        <v>14.8191521960765</v>
      </c>
      <c r="O340" s="16" t="n">
        <f aca="false">IF(D340="","",G340*N340)</f>
        <v>1.23888112359199</v>
      </c>
      <c r="P340" s="16" t="n">
        <f aca="false">IF(D340="","",H340+E340-K340-O340)</f>
        <v>151.536257812678</v>
      </c>
      <c r="Q340" s="16" t="n">
        <f aca="false">IF(D340="","",IF(P340&gt;=0,K340,MAX(0,K340+P340)))</f>
        <v>1.119744</v>
      </c>
      <c r="R340" s="16" t="n">
        <f aca="false">IF(D340="","",Q340/$B$15)</f>
        <v>0.432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151.536257812678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93.5408998843689</v>
      </c>
      <c r="Z340" s="18" t="n">
        <f aca="false">IF(D340="","",MAX(0,IF(P340&gt;=0,P340,IF(K340+P340&gt;=0,0,P340+K340))))</f>
        <v>151.536257812678</v>
      </c>
      <c r="AA340" s="18" t="n">
        <f aca="false">IF(D340="","",IF(H340&lt;=$B$16,1,IF(H340&gt;=$B$17,$B$21,MATCH(H340,Aux_CAV!$A$2:$A$121,1))))</f>
        <v>22</v>
      </c>
      <c r="AB340" s="18" t="n">
        <f aca="false">IF(D340="","",IF(L340&lt;=$B$16,1,IF(L340&gt;=$B$17,$B$21,MATCH(L340,Aux_CAV!$A$2:$A$121,1))))</f>
        <v>22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4.24761057428923</v>
      </c>
      <c r="E341" s="16" t="n">
        <f aca="false">IF(D341="","",D341*$B$15)</f>
        <v>11.0098066085577</v>
      </c>
      <c r="F341" s="16" t="n">
        <f aca="false" t="array" ref="F341:F341">IF(D341="","",IFERROR(INDEX(Dados_Evap!$C$2:$N$15,MATCH($B$9,Dados_Evap!$A$2:$A$15,0),C341),0))</f>
        <v>108.2</v>
      </c>
      <c r="G341" s="16" t="n">
        <f aca="false">IF(F341="","",F341/1000)</f>
        <v>0.1082</v>
      </c>
      <c r="H341" s="16" t="n">
        <f aca="false">IF(D341="","",MAX(0,MIN($B$8,IFERROR(LOOKUP(2,1/($U$24:U340&lt;&gt;""),$U$24:U340),$B$11))))</f>
        <v>151.536257812678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15.0211687768289</v>
      </c>
      <c r="J341" s="16" t="n">
        <f aca="false">IF(D341="","",$B$12)</f>
        <v>0.432</v>
      </c>
      <c r="K341" s="16" t="n">
        <f aca="false">IF(J341="","",J341*$B$15)</f>
        <v>1.119744</v>
      </c>
      <c r="L341" s="16" t="n">
        <f aca="false">IF(D341="","",H341+E341-K341-G341*I341)</f>
        <v>159.801029959582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15.6229001040338</v>
      </c>
      <c r="N341" s="16" t="n">
        <f aca="false">IF(D341="","",(I341+M341)/2)</f>
        <v>15.3220344404313</v>
      </c>
      <c r="O341" s="16" t="n">
        <f aca="false">IF(D341="","",G341*N341)</f>
        <v>1.65784412645467</v>
      </c>
      <c r="P341" s="16" t="n">
        <f aca="false">IF(D341="","",H341+E341-K341-O341)</f>
        <v>159.768476294781</v>
      </c>
      <c r="Q341" s="16" t="n">
        <f aca="false">IF(D341="","",IF(P341&gt;=0,K341,MAX(0,K341+P341)))</f>
        <v>1.119744</v>
      </c>
      <c r="R341" s="16" t="n">
        <f aca="false">IF(D341="","",Q341/$B$15)</f>
        <v>0.432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159.768476294781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98.6225162313461</v>
      </c>
      <c r="Z341" s="18" t="n">
        <f aca="false">IF(D341="","",MAX(0,IF(P341&gt;=0,P341,IF(K341+P341&gt;=0,0,P341+K341))))</f>
        <v>159.768476294781</v>
      </c>
      <c r="AA341" s="18" t="n">
        <f aca="false">IF(D341="","",IF(H341&lt;=$B$16,1,IF(H341&gt;=$B$17,$B$21,MATCH(H341,Aux_CAV!$A$2:$A$121,1))))</f>
        <v>22</v>
      </c>
      <c r="AB341" s="18" t="n">
        <f aca="false">IF(D341="","",IF(L341&lt;=$B$16,1,IF(L341&gt;=$B$17,$B$21,MATCH(L341,Aux_CAV!$A$2:$A$121,1))))</f>
        <v>22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0.760551857700133</v>
      </c>
      <c r="E342" s="16" t="n">
        <f aca="false">IF(D342="","",D342*$B$15)</f>
        <v>1.97135041515874</v>
      </c>
      <c r="F342" s="16" t="n">
        <f aca="false" t="array" ref="F342:F342">IF(D342="","",IFERROR(INDEX(Dados_Evap!$C$2:$N$15,MATCH($B$9,Dados_Evap!$A$2:$A$15,0),C342),0))</f>
        <v>149</v>
      </c>
      <c r="G342" s="16" t="n">
        <f aca="false">IF(F342="","",F342/1000)</f>
        <v>0.149</v>
      </c>
      <c r="H342" s="16" t="n">
        <f aca="false">IF(D342="","",MAX(0,MIN($B$8,IFERROR(LOOKUP(2,1/($U$24:U341&lt;&gt;""),$U$24:U341),$B$11))))</f>
        <v>159.768476294781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15.620529976996</v>
      </c>
      <c r="J342" s="16" t="n">
        <f aca="false">IF(D342="","",$B$12)</f>
        <v>0.432</v>
      </c>
      <c r="K342" s="16" t="n">
        <f aca="false">IF(J342="","",J342*$B$15)</f>
        <v>1.119744</v>
      </c>
      <c r="L342" s="16" t="n">
        <f aca="false">IF(D342="","",H342+E342-K342-G342*I342)</f>
        <v>158.292623743367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15.5130779264451</v>
      </c>
      <c r="N342" s="16" t="n">
        <f aca="false">IF(D342="","",(I342+M342)/2)</f>
        <v>15.5668039517205</v>
      </c>
      <c r="O342" s="16" t="n">
        <f aca="false">IF(D342="","",G342*N342)</f>
        <v>2.31945378880636</v>
      </c>
      <c r="P342" s="16" t="n">
        <f aca="false">IF(D342="","",H342+E342-K342-O342)</f>
        <v>158.300628921133</v>
      </c>
      <c r="Q342" s="16" t="n">
        <f aca="false">IF(D342="","",IF(P342&gt;=0,K342,MAX(0,K342+P342)))</f>
        <v>1.119744</v>
      </c>
      <c r="R342" s="16" t="n">
        <f aca="false">IF(D342="","",Q342/$B$15)</f>
        <v>0.432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158.300628921133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97.7164376056377</v>
      </c>
      <c r="Z342" s="18" t="n">
        <f aca="false">IF(D342="","",MAX(0,IF(P342&gt;=0,P342,IF(K342+P342&gt;=0,0,P342+K342))))</f>
        <v>158.300628921133</v>
      </c>
      <c r="AA342" s="18" t="n">
        <f aca="false">IF(D342="","",IF(H342&lt;=$B$16,1,IF(H342&gt;=$B$17,$B$21,MATCH(H342,Aux_CAV!$A$2:$A$121,1))))</f>
        <v>22</v>
      </c>
      <c r="AB342" s="18" t="n">
        <f aca="false">IF(D342="","",IF(L342&lt;=$B$16,1,IF(L342&gt;=$B$17,$B$21,MATCH(L342,Aux_CAV!$A$2:$A$121,1))))</f>
        <v>22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0.29418943470869</v>
      </c>
      <c r="E343" s="16" t="n">
        <f aca="false">IF(D343="","",D343*$B$15)</f>
        <v>0.762539014764925</v>
      </c>
      <c r="F343" s="16" t="n">
        <f aca="false" t="array" ref="F343:F343">IF(D343="","",IFERROR(INDEX(Dados_Evap!$C$2:$N$15,MATCH($B$9,Dados_Evap!$A$2:$A$15,0),C343),0))</f>
        <v>206.8</v>
      </c>
      <c r="G343" s="16" t="n">
        <f aca="false">IF(F343="","",F343/1000)</f>
        <v>0.2068</v>
      </c>
      <c r="H343" s="16" t="n">
        <f aca="false">IF(D343="","",MAX(0,MIN($B$8,IFERROR(LOOKUP(2,1/($U$24:U342&lt;&gt;""),$U$24:U342),$B$11))))</f>
        <v>158.300628921133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15.5136607575451</v>
      </c>
      <c r="J343" s="16" t="n">
        <f aca="false">IF(D343="","",$B$12)</f>
        <v>0.432</v>
      </c>
      <c r="K343" s="16" t="n">
        <f aca="false">IF(J343="","",J343*$B$15)</f>
        <v>1.119744</v>
      </c>
      <c r="L343" s="16" t="n">
        <f aca="false">IF(D343="","",H343+E343-K343-G343*I343)</f>
        <v>154.735198891238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15.2540733296269</v>
      </c>
      <c r="N343" s="16" t="n">
        <f aca="false">IF(D343="","",(I343+M343)/2)</f>
        <v>15.383867043586</v>
      </c>
      <c r="O343" s="16" t="n">
        <f aca="false">IF(D343="","",G343*N343)</f>
        <v>3.18138370461358</v>
      </c>
      <c r="P343" s="16" t="n">
        <f aca="false">IF(D343="","",H343+E343-K343-O343)</f>
        <v>154.762040231284</v>
      </c>
      <c r="Q343" s="16" t="n">
        <f aca="false">IF(D343="","",IF(P343&gt;=0,K343,MAX(0,K343+P343)))</f>
        <v>1.119744</v>
      </c>
      <c r="R343" s="16" t="n">
        <f aca="false">IF(D343="","",Q343/$B$15)</f>
        <v>0.432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154.762040231284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95.5321235995583</v>
      </c>
      <c r="Z343" s="18" t="n">
        <f aca="false">IF(D343="","",MAX(0,IF(P343&gt;=0,P343,IF(K343+P343&gt;=0,0,P343+K343))))</f>
        <v>154.762040231284</v>
      </c>
      <c r="AA343" s="18" t="n">
        <f aca="false">IF(D343="","",IF(H343&lt;=$B$16,1,IF(H343&gt;=$B$17,$B$21,MATCH(H343,Aux_CAV!$A$2:$A$121,1))))</f>
        <v>22</v>
      </c>
      <c r="AB343" s="18" t="n">
        <f aca="false">IF(D343="","",IF(L343&lt;=$B$16,1,IF(L343&gt;=$B$17,$B$21,MATCH(L343,Aux_CAV!$A$2:$A$121,1))))</f>
        <v>22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0.312010072502144</v>
      </c>
      <c r="E344" s="16" t="n">
        <f aca="false">IF(D344="","",D344*$B$15)</f>
        <v>0.808730107925557</v>
      </c>
      <c r="F344" s="16" t="n">
        <f aca="false" t="array" ref="F344:F344">IF(D344="","",IFERROR(INDEX(Dados_Evap!$C$2:$N$15,MATCH($B$9,Dados_Evap!$A$2:$A$15,0),C344),0))</f>
        <v>245.9</v>
      </c>
      <c r="G344" s="16" t="n">
        <f aca="false">IF(F344="","",F344/1000)</f>
        <v>0.2459</v>
      </c>
      <c r="H344" s="16" t="n">
        <f aca="false">IF(D344="","",MAX(0,MIN($B$8,IFERROR(LOOKUP(2,1/($U$24:U343&lt;&gt;""),$U$24:U343),$B$11))))</f>
        <v>154.762040231284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15.256027560776</v>
      </c>
      <c r="J344" s="16" t="n">
        <f aca="false">IF(D344="","",$B$12)</f>
        <v>0.432</v>
      </c>
      <c r="K344" s="16" t="n">
        <f aca="false">IF(J344="","",J344*$B$15)</f>
        <v>1.119744</v>
      </c>
      <c r="L344" s="16" t="n">
        <f aca="false">IF(D344="","",H344+E344-K344-G344*I344)</f>
        <v>150.699569162015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14.9602521824847</v>
      </c>
      <c r="N344" s="16" t="n">
        <f aca="false">IF(D344="","",(I344+M344)/2)</f>
        <v>15.1081398716304</v>
      </c>
      <c r="O344" s="16" t="n">
        <f aca="false">IF(D344="","",G344*N344)</f>
        <v>3.71509159443391</v>
      </c>
      <c r="P344" s="16" t="n">
        <f aca="false">IF(D344="","",H344+E344-K344-O344)</f>
        <v>150.735934744776</v>
      </c>
      <c r="Q344" s="16" t="n">
        <f aca="false">IF(D344="","",IF(P344&gt;=0,K344,MAX(0,K344+P344)))</f>
        <v>1.119744</v>
      </c>
      <c r="R344" s="16" t="n">
        <f aca="false">IF(D344="","",Q344/$B$15)</f>
        <v>0.432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150.735934744776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93.0468732992445</v>
      </c>
      <c r="Z344" s="18" t="n">
        <f aca="false">IF(D344="","",MAX(0,IF(P344&gt;=0,P344,IF(K344+P344&gt;=0,0,P344+K344))))</f>
        <v>150.735934744776</v>
      </c>
      <c r="AA344" s="18" t="n">
        <f aca="false">IF(D344="","",IF(H344&lt;=$B$16,1,IF(H344&gt;=$B$17,$B$21,MATCH(H344,Aux_CAV!$A$2:$A$121,1))))</f>
        <v>22</v>
      </c>
      <c r="AB344" s="18" t="n">
        <f aca="false">IF(D344="","",IF(L344&lt;=$B$16,1,IF(L344&gt;=$B$17,$B$21,MATCH(L344,Aux_CAV!$A$2:$A$121,1))))</f>
        <v>22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0.278891717809323</v>
      </c>
      <c r="E345" s="16" t="n">
        <f aca="false">IF(D345="","",D345*$B$15)</f>
        <v>0.722887332561765</v>
      </c>
      <c r="F345" s="16" t="n">
        <f aca="false" t="array" ref="F345:F345">IF(D345="","",IFERROR(INDEX(Dados_Evap!$C$2:$N$15,MATCH($B$9,Dados_Evap!$A$2:$A$15,0),C345),0))</f>
        <v>282.3</v>
      </c>
      <c r="G345" s="16" t="n">
        <f aca="false">IF(F345="","",F345/1000)</f>
        <v>0.2823</v>
      </c>
      <c r="H345" s="16" t="n">
        <f aca="false">IF(D345="","",MAX(0,MIN($B$8,IFERROR(LOOKUP(2,1/($U$24:U344&lt;&gt;""),$U$24:U344),$B$11))))</f>
        <v>150.735934744776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14.9628998429392</v>
      </c>
      <c r="J345" s="16" t="n">
        <f aca="false">IF(D345="","",$B$12)</f>
        <v>0.432</v>
      </c>
      <c r="K345" s="16" t="n">
        <f aca="false">IF(J345="","",J345*$B$15)</f>
        <v>1.119744</v>
      </c>
      <c r="L345" s="16" t="n">
        <f aca="false">IF(D345="","",H345+E345-K345-G345*I345)</f>
        <v>146.115051451676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14.6264682768425</v>
      </c>
      <c r="N345" s="16" t="n">
        <f aca="false">IF(D345="","",(I345+M345)/2)</f>
        <v>14.7946840598909</v>
      </c>
      <c r="O345" s="16" t="n">
        <f aca="false">IF(D345="","",G345*N345)</f>
        <v>4.17653931010719</v>
      </c>
      <c r="P345" s="16" t="n">
        <f aca="false">IF(D345="","",H345+E345-K345-O345)</f>
        <v>146.162538767231</v>
      </c>
      <c r="Q345" s="16" t="n">
        <f aca="false">IF(D345="","",IF(P345&gt;=0,K345,MAX(0,K345+P345)))</f>
        <v>1.119744</v>
      </c>
      <c r="R345" s="16" t="n">
        <f aca="false">IF(D345="","",Q345/$B$15)</f>
        <v>0.432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146.162538767231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90.2237893624881</v>
      </c>
      <c r="Z345" s="18" t="n">
        <f aca="false">IF(D345="","",MAX(0,IF(P345&gt;=0,P345,IF(K345+P345&gt;=0,0,P345+K345))))</f>
        <v>146.162538767231</v>
      </c>
      <c r="AA345" s="18" t="n">
        <f aca="false">IF(D345="","",IF(H345&lt;=$B$16,1,IF(H345&gt;=$B$17,$B$21,MATCH(H345,Aux_CAV!$A$2:$A$121,1))))</f>
        <v>22</v>
      </c>
      <c r="AB345" s="18" t="n">
        <f aca="false">IF(D345="","",IF(L345&lt;=$B$16,1,IF(L345&gt;=$B$17,$B$21,MATCH(L345,Aux_CAV!$A$2:$A$121,1))))</f>
        <v>22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0.235818325399011</v>
      </c>
      <c r="E346" s="16" t="n">
        <f aca="false">IF(D346="","",D346*$B$15)</f>
        <v>0.611241099434237</v>
      </c>
      <c r="F346" s="16" t="n">
        <f aca="false" t="array" ref="F346:F346">IF(D346="","",IFERROR(INDEX(Dados_Evap!$C$2:$N$15,MATCH($B$9,Dados_Evap!$A$2:$A$15,0),C346),0))</f>
        <v>241.3</v>
      </c>
      <c r="G346" s="16" t="n">
        <f aca="false">IF(F346="","",F346/1000)</f>
        <v>0.2413</v>
      </c>
      <c r="H346" s="16" t="n">
        <f aca="false">IF(D346="","",MAX(0,MIN($B$8,IFERROR(LOOKUP(2,1/($U$24:U345&lt;&gt;""),$U$24:U345),$B$11))))</f>
        <v>146.162538767231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14.629925674688</v>
      </c>
      <c r="J346" s="16" t="n">
        <f aca="false">IF(D346="","",$B$12)</f>
        <v>0.432</v>
      </c>
      <c r="K346" s="16" t="n">
        <f aca="false">IF(J346="","",J346*$B$15)</f>
        <v>1.119744</v>
      </c>
      <c r="L346" s="16" t="n">
        <f aca="false">IF(D346="","",H346+E346-K346-G346*I346)</f>
        <v>142.123834801363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14.3358807023194</v>
      </c>
      <c r="N346" s="16" t="n">
        <f aca="false">IF(D346="","",(I346+M346)/2)</f>
        <v>14.4829031885037</v>
      </c>
      <c r="O346" s="16" t="n">
        <f aca="false">IF(D346="","",G346*N346)</f>
        <v>3.49472453938594</v>
      </c>
      <c r="P346" s="16" t="n">
        <f aca="false">IF(D346="","",H346+E346-K346-O346)</f>
        <v>142.159311327279</v>
      </c>
      <c r="Q346" s="16" t="n">
        <f aca="false">IF(D346="","",IF(P346&gt;=0,K346,MAX(0,K346+P346)))</f>
        <v>1.119744</v>
      </c>
      <c r="R346" s="16" t="n">
        <f aca="false">IF(D346="","",Q346/$B$15)</f>
        <v>0.432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142.159311327279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87.7526613131352</v>
      </c>
      <c r="Z346" s="18" t="n">
        <f aca="false">IF(D346="","",MAX(0,IF(P346&gt;=0,P346,IF(K346+P346&gt;=0,0,P346+K346))))</f>
        <v>142.159311327279</v>
      </c>
      <c r="AA346" s="18" t="n">
        <f aca="false">IF(D346="","",IF(H346&lt;=$B$16,1,IF(H346&gt;=$B$17,$B$21,MATCH(H346,Aux_CAV!$A$2:$A$121,1))))</f>
        <v>22</v>
      </c>
      <c r="AB346" s="18" t="n">
        <f aca="false">IF(D346="","",IF(L346&lt;=$B$16,1,IF(L346&gt;=$B$17,$B$21,MATCH(L346,Aux_CAV!$A$2:$A$121,1))))</f>
        <v>22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0.212465588002907</v>
      </c>
      <c r="E347" s="16" t="n">
        <f aca="false">IF(D347="","",D347*$B$15)</f>
        <v>0.550710804103535</v>
      </c>
      <c r="F347" s="16" t="n">
        <f aca="false" t="array" ref="F347:F347">IF(D347="","",IFERROR(INDEX(Dados_Evap!$C$2:$N$15,MATCH($B$9,Dados_Evap!$A$2:$A$15,0),C347),0))</f>
        <v>241.8</v>
      </c>
      <c r="G347" s="16" t="n">
        <f aca="false">IF(F347="","",F347/1000)</f>
        <v>0.2418</v>
      </c>
      <c r="H347" s="16" t="n">
        <f aca="false">IF(D347="","",MAX(0,MIN($B$8,IFERROR(LOOKUP(2,1/($U$24:U346&lt;&gt;""),$U$24:U346),$B$11))))</f>
        <v>142.159311327279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14.3384636334208</v>
      </c>
      <c r="J347" s="16" t="n">
        <f aca="false">IF(D347="","",$B$12)</f>
        <v>0.432</v>
      </c>
      <c r="K347" s="16" t="n">
        <f aca="false">IF(J347="","",J347*$B$15)</f>
        <v>1.119744</v>
      </c>
      <c r="L347" s="16" t="n">
        <f aca="false">IF(D347="","",H347+E347-K347-G347*I347)</f>
        <v>138.123237624821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14.0446101620234</v>
      </c>
      <c r="N347" s="16" t="n">
        <f aca="false">IF(D347="","",(I347+M347)/2)</f>
        <v>14.1915368977221</v>
      </c>
      <c r="O347" s="16" t="n">
        <f aca="false">IF(D347="","",G347*N347)</f>
        <v>3.4315136218692</v>
      </c>
      <c r="P347" s="16" t="n">
        <f aca="false">IF(D347="","",H347+E347-K347-O347)</f>
        <v>138.158764509513</v>
      </c>
      <c r="Q347" s="16" t="n">
        <f aca="false">IF(D347="","",IF(P347&gt;=0,K347,MAX(0,K347+P347)))</f>
        <v>1.119744</v>
      </c>
      <c r="R347" s="16" t="n">
        <f aca="false">IF(D347="","",Q347/$B$15)</f>
        <v>0.432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138.158764509513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85.2831879688354</v>
      </c>
      <c r="Z347" s="18" t="n">
        <f aca="false">IF(D347="","",MAX(0,IF(P347&gt;=0,P347,IF(K347+P347&gt;=0,0,P347+K347))))</f>
        <v>138.158764509513</v>
      </c>
      <c r="AA347" s="18" t="n">
        <f aca="false">IF(D347="","",IF(H347&lt;=$B$16,1,IF(H347&gt;=$B$17,$B$21,MATCH(H347,Aux_CAV!$A$2:$A$121,1))))</f>
        <v>22</v>
      </c>
      <c r="AB347" s="18" t="n">
        <f aca="false">IF(D347="","",IF(L347&lt;=$B$16,1,IF(L347&gt;=$B$17,$B$21,MATCH(L347,Aux_CAV!$A$2:$A$121,1))))</f>
        <v>22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0.177535409766986</v>
      </c>
      <c r="E348" s="16" t="n">
        <f aca="false">IF(D348="","",D348*$B$15)</f>
        <v>0.460171782116028</v>
      </c>
      <c r="F348" s="16" t="n">
        <f aca="false" t="array" ref="F348:F348">IF(D348="","",IFERROR(INDEX(Dados_Evap!$C$2:$N$15,MATCH($B$9,Dados_Evap!$A$2:$A$15,0),C348),0))</f>
        <v>189</v>
      </c>
      <c r="G348" s="16" t="n">
        <f aca="false">IF(F348="","",F348/1000)</f>
        <v>0.189</v>
      </c>
      <c r="H348" s="16" t="n">
        <f aca="false">IF(D348="","",MAX(0,MIN($B$8,IFERROR(LOOKUP(2,1/($U$24:U347&lt;&gt;""),$U$24:U347),$B$11))))</f>
        <v>138.158764509513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14.0471967595844</v>
      </c>
      <c r="J348" s="16" t="n">
        <f aca="false">IF(D348="","",$B$12)</f>
        <v>0.432</v>
      </c>
      <c r="K348" s="16" t="n">
        <f aca="false">IF(J348="","",J348*$B$15)</f>
        <v>1.119744</v>
      </c>
      <c r="L348" s="16" t="n">
        <f aca="false">IF(D348="","",H348+E348-K348-G348*I348)</f>
        <v>134.844272104068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13.8058792884323</v>
      </c>
      <c r="N348" s="16" t="n">
        <f aca="false">IF(D348="","",(I348+M348)/2)</f>
        <v>13.9265380240083</v>
      </c>
      <c r="O348" s="16" t="n">
        <f aca="false">IF(D348="","",G348*N348)</f>
        <v>2.63211568653758</v>
      </c>
      <c r="P348" s="16" t="n">
        <f aca="false">IF(D348="","",H348+E348-K348-O348)</f>
        <v>134.867076605092</v>
      </c>
      <c r="Q348" s="16" t="n">
        <f aca="false">IF(D348="","",IF(P348&gt;=0,K348,MAX(0,K348+P348)))</f>
        <v>1.119744</v>
      </c>
      <c r="R348" s="16" t="n">
        <f aca="false">IF(D348="","",Q348/$B$15)</f>
        <v>0.432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134.867076605092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83.2512818549949</v>
      </c>
      <c r="Z348" s="18" t="n">
        <f aca="false">IF(D348="","",MAX(0,IF(P348&gt;=0,P348,IF(K348+P348&gt;=0,0,P348+K348))))</f>
        <v>134.867076605092</v>
      </c>
      <c r="AA348" s="18" t="n">
        <f aca="false">IF(D348="","",IF(H348&lt;=$B$16,1,IF(H348&gt;=$B$17,$B$21,MATCH(H348,Aux_CAV!$A$2:$A$121,1))))</f>
        <v>22</v>
      </c>
      <c r="AB348" s="18" t="n">
        <f aca="false">IF(D348="","",IF(L348&lt;=$B$16,1,IF(L348&gt;=$B$17,$B$21,MATCH(L348,Aux_CAV!$A$2:$A$121,1))))</f>
        <v>22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0.707422442588006</v>
      </c>
      <c r="E349" s="16" t="n">
        <f aca="false">IF(D349="","",D349*$B$15)</f>
        <v>1.83363897118811</v>
      </c>
      <c r="F349" s="16" t="n">
        <f aca="false" t="array" ref="F349:F349">IF(D349="","",IFERROR(INDEX(Dados_Evap!$C$2:$N$15,MATCH($B$9,Dados_Evap!$A$2:$A$15,0),C349),0))</f>
        <v>136.9</v>
      </c>
      <c r="G349" s="16" t="n">
        <f aca="false">IF(F349="","",F349/1000)</f>
        <v>0.1369</v>
      </c>
      <c r="H349" s="16" t="n">
        <f aca="false">IF(D349="","",MAX(0,MIN($B$8,IFERROR(LOOKUP(2,1/($U$24:U348&lt;&gt;""),$U$24:U348),$B$11))))</f>
        <v>134.867076605092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13.8075396103896</v>
      </c>
      <c r="J349" s="16" t="n">
        <f aca="false">IF(D349="","",$B$12)</f>
        <v>0.432</v>
      </c>
      <c r="K349" s="16" t="n">
        <f aca="false">IF(J349="","",J349*$B$15)</f>
        <v>1.119744</v>
      </c>
      <c r="L349" s="16" t="n">
        <f aca="false">IF(D349="","",H349+E349-K349-G349*I349)</f>
        <v>133.690719403618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13.7218928475354</v>
      </c>
      <c r="N349" s="16" t="n">
        <f aca="false">IF(D349="","",(I349+M349)/2)</f>
        <v>13.7647162289625</v>
      </c>
      <c r="O349" s="16" t="n">
        <f aca="false">IF(D349="","",G349*N349)</f>
        <v>1.88438965174496</v>
      </c>
      <c r="P349" s="16" t="n">
        <f aca="false">IF(D349="","",H349+E349-K349-O349)</f>
        <v>133.696581924535</v>
      </c>
      <c r="Q349" s="16" t="n">
        <f aca="false">IF(D349="","",IF(P349&gt;=0,K349,MAX(0,K349+P349)))</f>
        <v>1.119744</v>
      </c>
      <c r="R349" s="16" t="n">
        <f aca="false">IF(D349="","",Q349/$B$15)</f>
        <v>0.432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133.696581924535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82.5287542744043</v>
      </c>
      <c r="Z349" s="18" t="n">
        <f aca="false">IF(D349="","",MAX(0,IF(P349&gt;=0,P349,IF(K349+P349&gt;=0,0,P349+K349))))</f>
        <v>133.696581924535</v>
      </c>
      <c r="AA349" s="18" t="n">
        <f aca="false">IF(D349="","",IF(H349&lt;=$B$16,1,IF(H349&gt;=$B$17,$B$21,MATCH(H349,Aux_CAV!$A$2:$A$121,1))))</f>
        <v>22</v>
      </c>
      <c r="AB349" s="18" t="n">
        <f aca="false">IF(D349="","",IF(L349&lt;=$B$16,1,IF(L349&gt;=$B$17,$B$21,MATCH(L349,Aux_CAV!$A$2:$A$121,1))))</f>
        <v>22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0.933869348935334</v>
      </c>
      <c r="E350" s="16" t="n">
        <f aca="false">IF(D350="","",D350*$B$15)</f>
        <v>2.42058935244039</v>
      </c>
      <c r="F350" s="16" t="n">
        <f aca="false" t="array" ref="F350:F350">IF(D350="","",IFERROR(INDEX(Dados_Evap!$C$2:$N$15,MATCH($B$9,Dados_Evap!$A$2:$A$15,0),C350),0))</f>
        <v>102.9</v>
      </c>
      <c r="G350" s="16" t="n">
        <f aca="false">IF(F350="","",F350/1000)</f>
        <v>0.1029</v>
      </c>
      <c r="H350" s="16" t="n">
        <f aca="false">IF(D350="","",MAX(0,MIN($B$8,IFERROR(LOOKUP(2,1/($U$24:U349&lt;&gt;""),$U$24:U349),$B$11))))</f>
        <v>133.696581924535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13.7223196787207</v>
      </c>
      <c r="J350" s="16" t="n">
        <f aca="false">IF(D350="","",$B$12)</f>
        <v>0.432</v>
      </c>
      <c r="K350" s="16" t="n">
        <f aca="false">IF(J350="","",J350*$B$15)</f>
        <v>1.119744</v>
      </c>
      <c r="L350" s="16" t="n">
        <f aca="false">IF(D350="","",H350+E350-K350-G350*I350)</f>
        <v>133.585400582035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13.7142249247948</v>
      </c>
      <c r="N350" s="16" t="n">
        <f aca="false">IF(D350="","",(I350+M350)/2)</f>
        <v>13.7182723017578</v>
      </c>
      <c r="O350" s="16" t="n">
        <f aca="false">IF(D350="","",G350*N350)</f>
        <v>1.41161021985088</v>
      </c>
      <c r="P350" s="16" t="n">
        <f aca="false">IF(D350="","",H350+E350-K350-O350)</f>
        <v>133.585817057124</v>
      </c>
      <c r="Q350" s="16" t="n">
        <f aca="false">IF(D350="","",IF(P350&gt;=0,K350,MAX(0,K350+P350)))</f>
        <v>1.119744</v>
      </c>
      <c r="R350" s="16" t="n">
        <f aca="false">IF(D350="","",Q350/$B$15)</f>
        <v>0.432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133.585817057124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82.4603808994595</v>
      </c>
      <c r="Z350" s="18" t="n">
        <f aca="false">IF(D350="","",MAX(0,IF(P350&gt;=0,P350,IF(K350+P350&gt;=0,0,P350+K350))))</f>
        <v>133.585817057124</v>
      </c>
      <c r="AA350" s="18" t="n">
        <f aca="false">IF(D350="","",IF(H350&lt;=$B$16,1,IF(H350&gt;=$B$17,$B$21,MATCH(H350,Aux_CAV!$A$2:$A$121,1))))</f>
        <v>22</v>
      </c>
      <c r="AB350" s="18" t="n">
        <f aca="false">IF(D350="","",IF(L350&lt;=$B$16,1,IF(L350&gt;=$B$17,$B$21,MATCH(L350,Aux_CAV!$A$2:$A$121,1))))</f>
        <v>22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2.94127102864998</v>
      </c>
      <c r="E351" s="16" t="n">
        <f aca="false">IF(D351="","",D351*$B$15)</f>
        <v>7.62377450626075</v>
      </c>
      <c r="F351" s="16" t="n">
        <f aca="false" t="array" ref="F351:F351">IF(D351="","",IFERROR(INDEX(Dados_Evap!$C$2:$N$15,MATCH($B$9,Dados_Evap!$A$2:$A$15,0),C351),0))</f>
        <v>81.8</v>
      </c>
      <c r="G351" s="16" t="n">
        <f aca="false">IF(F351="","",F351/1000)</f>
        <v>0.0818</v>
      </c>
      <c r="H351" s="16" t="n">
        <f aca="false">IF(D351="","",MAX(0,MIN($B$8,IFERROR(LOOKUP(2,1/($U$24:U350&lt;&gt;""),$U$24:U350),$B$11))))</f>
        <v>133.585817057124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13.714255246999</v>
      </c>
      <c r="J351" s="16" t="n">
        <f aca="false">IF(D351="","",$B$12)</f>
        <v>0.432</v>
      </c>
      <c r="K351" s="16" t="n">
        <f aca="false">IF(J351="","",J351*$B$15)</f>
        <v>1.119744</v>
      </c>
      <c r="L351" s="16" t="n">
        <f aca="false">IF(D351="","",H351+E351-K351-G351*I351)</f>
        <v>138.968021484181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14.1061161423285</v>
      </c>
      <c r="N351" s="16" t="n">
        <f aca="false">IF(D351="","",(I351+M351)/2)</f>
        <v>13.9101856946637</v>
      </c>
      <c r="O351" s="16" t="n">
        <f aca="false">IF(D351="","",G351*N351)</f>
        <v>1.13785318982349</v>
      </c>
      <c r="P351" s="16" t="n">
        <f aca="false">IF(D351="","",H351+E351-K351-O351)</f>
        <v>138.951994373562</v>
      </c>
      <c r="Q351" s="16" t="n">
        <f aca="false">IF(D351="","",IF(P351&gt;=0,K351,MAX(0,K351+P351)))</f>
        <v>1.119744</v>
      </c>
      <c r="R351" s="16" t="n">
        <f aca="false">IF(D351="","",Q351/$B$15)</f>
        <v>0.432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138.951994373562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85.7728360330628</v>
      </c>
      <c r="Z351" s="18" t="n">
        <f aca="false">IF(D351="","",MAX(0,IF(P351&gt;=0,P351,IF(K351+P351&gt;=0,0,P351+K351))))</f>
        <v>138.951994373562</v>
      </c>
      <c r="AA351" s="18" t="n">
        <f aca="false">IF(D351="","",IF(H351&lt;=$B$16,1,IF(H351&gt;=$B$17,$B$21,MATCH(H351,Aux_CAV!$A$2:$A$121,1))))</f>
        <v>22</v>
      </c>
      <c r="AB351" s="18" t="n">
        <f aca="false">IF(D351="","",IF(L351&lt;=$B$16,1,IF(L351&gt;=$B$17,$B$21,MATCH(L351,Aux_CAV!$A$2:$A$121,1))))</f>
        <v>22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4.91397563408239</v>
      </c>
      <c r="E352" s="16" t="n">
        <f aca="false">IF(D352="","",D352*$B$15)</f>
        <v>12.7370248435416</v>
      </c>
      <c r="F352" s="16" t="n">
        <f aca="false" t="array" ref="F352:F352">IF(D352="","",IFERROR(INDEX(Dados_Evap!$C$2:$N$15,MATCH($B$9,Dados_Evap!$A$2:$A$15,0),C352),0))</f>
        <v>83.6</v>
      </c>
      <c r="G352" s="16" t="n">
        <f aca="false">IF(F352="","",F352/1000)</f>
        <v>0.0836</v>
      </c>
      <c r="H352" s="16" t="n">
        <f aca="false">IF(D352="","",MAX(0,MIN($B$8,IFERROR(LOOKUP(2,1/($U$24:U351&lt;&gt;""),$U$24:U351),$B$11))))</f>
        <v>138.951994373562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14.1049492602448</v>
      </c>
      <c r="J352" s="16" t="n">
        <f aca="false">IF(D352="","",$B$12)</f>
        <v>0.432</v>
      </c>
      <c r="K352" s="16" t="n">
        <f aca="false">IF(J352="","",J352*$B$15)</f>
        <v>1.119744</v>
      </c>
      <c r="L352" s="16" t="n">
        <f aca="false">IF(D352="","",H352+E352-K352-G352*I352)</f>
        <v>149.390101458947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14.8649140745618</v>
      </c>
      <c r="N352" s="16" t="n">
        <f aca="false">IF(D352="","",(I352+M352)/2)</f>
        <v>14.4849316674033</v>
      </c>
      <c r="O352" s="16" t="n">
        <f aca="false">IF(D352="","",G352*N352)</f>
        <v>1.21094028739492</v>
      </c>
      <c r="P352" s="16" t="n">
        <f aca="false">IF(D352="","",H352+E352-K352-O352)</f>
        <v>149.358334929708</v>
      </c>
      <c r="Q352" s="16" t="n">
        <f aca="false">IF(D352="","",IF(P352&gt;=0,K352,MAX(0,K352+P352)))</f>
        <v>1.119744</v>
      </c>
      <c r="R352" s="16" t="n">
        <f aca="false">IF(D352="","",Q352/$B$15)</f>
        <v>0.432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149.358334929708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92.1965030430298</v>
      </c>
      <c r="Z352" s="18" t="n">
        <f aca="false">IF(D352="","",MAX(0,IF(P352&gt;=0,P352,IF(K352+P352&gt;=0,0,P352+K352))))</f>
        <v>149.358334929708</v>
      </c>
      <c r="AA352" s="18" t="n">
        <f aca="false">IF(D352="","",IF(H352&lt;=$B$16,1,IF(H352&gt;=$B$17,$B$21,MATCH(H352,Aux_CAV!$A$2:$A$121,1))))</f>
        <v>22</v>
      </c>
      <c r="AB352" s="18" t="n">
        <f aca="false">IF(D352="","",IF(L352&lt;=$B$16,1,IF(L352&gt;=$B$17,$B$21,MATCH(L352,Aux_CAV!$A$2:$A$121,1))))</f>
        <v>22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3.93156612588193</v>
      </c>
      <c r="E353" s="16" t="n">
        <f aca="false">IF(D353="","",D353*$B$15)</f>
        <v>10.190619398286</v>
      </c>
      <c r="F353" s="16" t="n">
        <f aca="false" t="array" ref="F353:F353">IF(D353="","",IFERROR(INDEX(Dados_Evap!$C$2:$N$15,MATCH($B$9,Dados_Evap!$A$2:$A$15,0),C353),0))</f>
        <v>108.2</v>
      </c>
      <c r="G353" s="16" t="n">
        <f aca="false">IF(F353="","",F353/1000)</f>
        <v>0.1082</v>
      </c>
      <c r="H353" s="16" t="n">
        <f aca="false">IF(D353="","",MAX(0,MIN($B$8,IFERROR(LOOKUP(2,1/($U$24:U352&lt;&gt;""),$U$24:U352),$B$11))))</f>
        <v>149.358334929708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14.8626012563184</v>
      </c>
      <c r="J353" s="16" t="n">
        <f aca="false">IF(D353="","",$B$12)</f>
        <v>0.432</v>
      </c>
      <c r="K353" s="16" t="n">
        <f aca="false">IF(J353="","",J353*$B$15)</f>
        <v>1.119744</v>
      </c>
      <c r="L353" s="16" t="n">
        <f aca="false">IF(D353="","",H353+E353-K353-G353*I353)</f>
        <v>156.821076872061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15.4059393585359</v>
      </c>
      <c r="N353" s="16" t="n">
        <f aca="false">IF(D353="","",(I353+M353)/2)</f>
        <v>15.1342703074271</v>
      </c>
      <c r="O353" s="16" t="n">
        <f aca="false">IF(D353="","",G353*N353)</f>
        <v>1.63752804726361</v>
      </c>
      <c r="P353" s="16" t="n">
        <f aca="false">IF(D353="","",H353+E353-K353-O353)</f>
        <v>156.791682280731</v>
      </c>
      <c r="Q353" s="16" t="n">
        <f aca="false">IF(D353="","",IF(P353&gt;=0,K353,MAX(0,K353+P353)))</f>
        <v>1.119744</v>
      </c>
      <c r="R353" s="16" t="n">
        <f aca="false">IF(D353="","",Q353/$B$15)</f>
        <v>0.432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156.791682280731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96.7849890621794</v>
      </c>
      <c r="Z353" s="18" t="n">
        <f aca="false">IF(D353="","",MAX(0,IF(P353&gt;=0,P353,IF(K353+P353&gt;=0,0,P353+K353))))</f>
        <v>156.791682280731</v>
      </c>
      <c r="AA353" s="18" t="n">
        <f aca="false">IF(D353="","",IF(H353&lt;=$B$16,1,IF(H353&gt;=$B$17,$B$21,MATCH(H353,Aux_CAV!$A$2:$A$121,1))))</f>
        <v>22</v>
      </c>
      <c r="AB353" s="18" t="n">
        <f aca="false">IF(D353="","",IF(L353&lt;=$B$16,1,IF(L353&gt;=$B$17,$B$21,MATCH(L353,Aux_CAV!$A$2:$A$121,1))))</f>
        <v>22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1.57208449357011</v>
      </c>
      <c r="E354" s="16" t="n">
        <f aca="false">IF(D354="","",D354*$B$15)</f>
        <v>4.07484300733373</v>
      </c>
      <c r="F354" s="16" t="n">
        <f aca="false" t="array" ref="F354:F354">IF(D354="","",IFERROR(INDEX(Dados_Evap!$C$2:$N$15,MATCH($B$9,Dados_Evap!$A$2:$A$15,0),C354),0))</f>
        <v>149</v>
      </c>
      <c r="G354" s="16" t="n">
        <f aca="false">IF(F354="","",F354/1000)</f>
        <v>0.149</v>
      </c>
      <c r="H354" s="16" t="n">
        <f aca="false">IF(D354="","",MAX(0,MIN($B$8,IFERROR(LOOKUP(2,1/($U$24:U353&lt;&gt;""),$U$24:U353),$B$11))))</f>
        <v>156.791682280731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15.4037992334194</v>
      </c>
      <c r="J354" s="16" t="n">
        <f aca="false">IF(D354="","",$B$12)</f>
        <v>0.432</v>
      </c>
      <c r="K354" s="16" t="n">
        <f aca="false">IF(J354="","",J354*$B$15)</f>
        <v>1.119744</v>
      </c>
      <c r="L354" s="16" t="n">
        <f aca="false">IF(D354="","",H354+E354-K354-G354*I354)</f>
        <v>157.451615202285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15.4518468148523</v>
      </c>
      <c r="N354" s="16" t="n">
        <f aca="false">IF(D354="","",(I354+M354)/2)</f>
        <v>15.4278230241358</v>
      </c>
      <c r="O354" s="16" t="n">
        <f aca="false">IF(D354="","",G354*N354)</f>
        <v>2.29874563059624</v>
      </c>
      <c r="P354" s="16" t="n">
        <f aca="false">IF(D354="","",H354+E354-K354-O354)</f>
        <v>157.448035657468</v>
      </c>
      <c r="Q354" s="16" t="n">
        <f aca="false">IF(D354="","",IF(P354&gt;=0,K354,MAX(0,K354+P354)))</f>
        <v>1.119744</v>
      </c>
      <c r="R354" s="16" t="n">
        <f aca="false">IF(D354="","",Q354/$B$15)</f>
        <v>0.432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157.448035657468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97.1901454675729</v>
      </c>
      <c r="Z354" s="18" t="n">
        <f aca="false">IF(D354="","",MAX(0,IF(P354&gt;=0,P354,IF(K354+P354&gt;=0,0,P354+K354))))</f>
        <v>157.448035657468</v>
      </c>
      <c r="AA354" s="18" t="n">
        <f aca="false">IF(D354="","",IF(H354&lt;=$B$16,1,IF(H354&gt;=$B$17,$B$21,MATCH(H354,Aux_CAV!$A$2:$A$121,1))))</f>
        <v>22</v>
      </c>
      <c r="AB354" s="18" t="n">
        <f aca="false">IF(D354="","",IF(L354&lt;=$B$16,1,IF(L354&gt;=$B$17,$B$21,MATCH(L354,Aux_CAV!$A$2:$A$121,1))))</f>
        <v>22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0.613776807251191</v>
      </c>
      <c r="E355" s="16" t="n">
        <f aca="false">IF(D355="","",D355*$B$15)</f>
        <v>1.59090948439509</v>
      </c>
      <c r="F355" s="16" t="n">
        <f aca="false" t="array" ref="F355:F355">IF(D355="","",IFERROR(INDEX(Dados_Evap!$C$2:$N$15,MATCH($B$9,Dados_Evap!$A$2:$A$15,0),C355),0))</f>
        <v>206.8</v>
      </c>
      <c r="G355" s="16" t="n">
        <f aca="false">IF(F355="","",F355/1000)</f>
        <v>0.2068</v>
      </c>
      <c r="H355" s="16" t="n">
        <f aca="false">IF(D355="","",MAX(0,MIN($B$8,IFERROR(LOOKUP(2,1/($U$24:U354&lt;&gt;""),$U$24:U354),$B$11))))</f>
        <v>157.448035657468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15.4515861997724</v>
      </c>
      <c r="J355" s="16" t="n">
        <f aca="false">IF(D355="","",$B$12)</f>
        <v>0.432</v>
      </c>
      <c r="K355" s="16" t="n">
        <f aca="false">IF(J355="","",J355*$B$15)</f>
        <v>1.119744</v>
      </c>
      <c r="L355" s="16" t="n">
        <f aca="false">IF(D355="","",H355+E355-K355-G355*I355)</f>
        <v>154.72381311575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15.2532443681415</v>
      </c>
      <c r="N355" s="16" t="n">
        <f aca="false">IF(D355="","",(I355+M355)/2)</f>
        <v>15.3524152839569</v>
      </c>
      <c r="O355" s="16" t="n">
        <f aca="false">IF(D355="","",G355*N355)</f>
        <v>3.1748794807223</v>
      </c>
      <c r="P355" s="16" t="n">
        <f aca="false">IF(D355="","",H355+E355-K355-O355)</f>
        <v>154.744321661141</v>
      </c>
      <c r="Q355" s="16" t="n">
        <f aca="false">IF(D355="","",IF(P355&gt;=0,K355,MAX(0,K355+P355)))</f>
        <v>1.119744</v>
      </c>
      <c r="R355" s="16" t="n">
        <f aca="false">IF(D355="","",Q355/$B$15)</f>
        <v>0.432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154.744321661141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95.5211862105808</v>
      </c>
      <c r="Z355" s="18" t="n">
        <f aca="false">IF(D355="","",MAX(0,IF(P355&gt;=0,P355,IF(K355+P355&gt;=0,0,P355+K355))))</f>
        <v>154.744321661141</v>
      </c>
      <c r="AA355" s="18" t="n">
        <f aca="false">IF(D355="","",IF(H355&lt;=$B$16,1,IF(H355&gt;=$B$17,$B$21,MATCH(H355,Aux_CAV!$A$2:$A$121,1))))</f>
        <v>22</v>
      </c>
      <c r="AB355" s="18" t="n">
        <f aca="false">IF(D355="","",IF(L355&lt;=$B$16,1,IF(L355&gt;=$B$17,$B$21,MATCH(L355,Aux_CAV!$A$2:$A$121,1))))</f>
        <v>22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0.54532136443355</v>
      </c>
      <c r="E356" s="16" t="n">
        <f aca="false">IF(D356="","",D356*$B$15)</f>
        <v>1.41347297661176</v>
      </c>
      <c r="F356" s="16" t="n">
        <f aca="false" t="array" ref="F356:F356">IF(D356="","",IFERROR(INDEX(Dados_Evap!$C$2:$N$15,MATCH($B$9,Dados_Evap!$A$2:$A$15,0),C356),0))</f>
        <v>245.9</v>
      </c>
      <c r="G356" s="16" t="n">
        <f aca="false">IF(F356="","",F356/1000)</f>
        <v>0.2459</v>
      </c>
      <c r="H356" s="16" t="n">
        <f aca="false">IF(D356="","",MAX(0,MIN($B$8,IFERROR(LOOKUP(2,1/($U$24:U355&lt;&gt;""),$U$24:U355),$B$11))))</f>
        <v>154.744321661141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15.2547375289955</v>
      </c>
      <c r="J356" s="16" t="n">
        <f aca="false">IF(D356="","",$B$12)</f>
        <v>0.432</v>
      </c>
      <c r="K356" s="16" t="n">
        <f aca="false">IF(J356="","",J356*$B$15)</f>
        <v>1.119744</v>
      </c>
      <c r="L356" s="16" t="n">
        <f aca="false">IF(D356="","",H356+E356-K356-G356*I356)</f>
        <v>151.286910679373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15.0030146185785</v>
      </c>
      <c r="N356" s="16" t="n">
        <f aca="false">IF(D356="","",(I356+M356)/2)</f>
        <v>15.128876073787</v>
      </c>
      <c r="O356" s="16" t="n">
        <f aca="false">IF(D356="","",G356*N356)</f>
        <v>3.72019062654422</v>
      </c>
      <c r="P356" s="16" t="n">
        <f aca="false">IF(D356="","",H356+E356-K356-O356)</f>
        <v>151.317860011209</v>
      </c>
      <c r="Q356" s="16" t="n">
        <f aca="false">IF(D356="","",IF(P356&gt;=0,K356,MAX(0,K356+P356)))</f>
        <v>1.119744</v>
      </c>
      <c r="R356" s="16" t="n">
        <f aca="false">IF(D356="","",Q356/$B$15)</f>
        <v>0.432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151.317860011209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93.4060864266719</v>
      </c>
      <c r="Z356" s="18" t="n">
        <f aca="false">IF(D356="","",MAX(0,IF(P356&gt;=0,P356,IF(K356+P356&gt;=0,0,P356+K356))))</f>
        <v>151.317860011209</v>
      </c>
      <c r="AA356" s="18" t="n">
        <f aca="false">IF(D356="","",IF(H356&lt;=$B$16,1,IF(H356&gt;=$B$17,$B$21,MATCH(H356,Aux_CAV!$A$2:$A$121,1))))</f>
        <v>22</v>
      </c>
      <c r="AB356" s="18" t="n">
        <f aca="false">IF(D356="","",IF(L356&lt;=$B$16,1,IF(L356&gt;=$B$17,$B$21,MATCH(L356,Aux_CAV!$A$2:$A$121,1))))</f>
        <v>22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0.465152442914253</v>
      </c>
      <c r="E357" s="16" t="n">
        <f aca="false">IF(D357="","",D357*$B$15)</f>
        <v>1.20567513203374</v>
      </c>
      <c r="F357" s="16" t="n">
        <f aca="false" t="array" ref="F357:F357">IF(D357="","",IFERROR(INDEX(Dados_Evap!$C$2:$N$15,MATCH($B$9,Dados_Evap!$A$2:$A$15,0),C357),0))</f>
        <v>282.3</v>
      </c>
      <c r="G357" s="16" t="n">
        <f aca="false">IF(F357="","",F357/1000)</f>
        <v>0.2823</v>
      </c>
      <c r="H357" s="16" t="n">
        <f aca="false">IF(D357="","",MAX(0,MIN($B$8,IFERROR(LOOKUP(2,1/($U$24:U356&lt;&gt;""),$U$24:U356),$B$11))))</f>
        <v>151.317860011209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15.0052679393223</v>
      </c>
      <c r="J357" s="16" t="n">
        <f aca="false">IF(D357="","",$B$12)</f>
        <v>0.432</v>
      </c>
      <c r="K357" s="16" t="n">
        <f aca="false">IF(J357="","",J357*$B$15)</f>
        <v>1.119744</v>
      </c>
      <c r="L357" s="16" t="n">
        <f aca="false">IF(D357="","",H357+E357-K357-G357*I357)</f>
        <v>147.167804003972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14.7031157849953</v>
      </c>
      <c r="N357" s="16" t="n">
        <f aca="false">IF(D357="","",(I357+M357)/2)</f>
        <v>14.8541918621588</v>
      </c>
      <c r="O357" s="16" t="n">
        <f aca="false">IF(D357="","",G357*N357)</f>
        <v>4.19333836268744</v>
      </c>
      <c r="P357" s="16" t="n">
        <f aca="false">IF(D357="","",H357+E357-K357-O357)</f>
        <v>147.210452780555</v>
      </c>
      <c r="Q357" s="16" t="n">
        <f aca="false">IF(D357="","",IF(P357&gt;=0,K357,MAX(0,K357+P357)))</f>
        <v>1.119744</v>
      </c>
      <c r="R357" s="16" t="n">
        <f aca="false">IF(D357="","",Q357/$B$15)</f>
        <v>0.432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147.210452780555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90.87064986454</v>
      </c>
      <c r="Z357" s="18" t="n">
        <f aca="false">IF(D357="","",MAX(0,IF(P357&gt;=0,P357,IF(K357+P357&gt;=0,0,P357+K357))))</f>
        <v>147.210452780555</v>
      </c>
      <c r="AA357" s="18" t="n">
        <f aca="false">IF(D357="","",IF(H357&lt;=$B$16,1,IF(H357&gt;=$B$17,$B$21,MATCH(H357,Aux_CAV!$A$2:$A$121,1))))</f>
        <v>22</v>
      </c>
      <c r="AB357" s="18" t="n">
        <f aca="false">IF(D357="","",IF(L357&lt;=$B$16,1,IF(L357&gt;=$B$17,$B$21,MATCH(L357,Aux_CAV!$A$2:$A$121,1))))</f>
        <v>22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0.352535950687198</v>
      </c>
      <c r="E358" s="16" t="n">
        <f aca="false">IF(D358="","",D358*$B$15)</f>
        <v>0.913773184181217</v>
      </c>
      <c r="F358" s="16" t="n">
        <f aca="false" t="array" ref="F358:F358">IF(D358="","",IFERROR(INDEX(Dados_Evap!$C$2:$N$15,MATCH($B$9,Dados_Evap!$A$2:$A$15,0),C358),0))</f>
        <v>241.3</v>
      </c>
      <c r="G358" s="16" t="n">
        <f aca="false">IF(F358="","",F358/1000)</f>
        <v>0.2413</v>
      </c>
      <c r="H358" s="16" t="n">
        <f aca="false">IF(D358="","",MAX(0,MIN($B$8,IFERROR(LOOKUP(2,1/($U$24:U357&lt;&gt;""),$U$24:U357),$B$11))))</f>
        <v>147.210452780555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14.7062209044688</v>
      </c>
      <c r="J358" s="16" t="n">
        <f aca="false">IF(D358="","",$B$12)</f>
        <v>0.432</v>
      </c>
      <c r="K358" s="16" t="n">
        <f aca="false">IF(J358="","",J358*$B$15)</f>
        <v>1.119744</v>
      </c>
      <c r="L358" s="16" t="n">
        <f aca="false">IF(D358="","",H358+E358-K358-G358*I358)</f>
        <v>143.455870860488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14.4328619392483</v>
      </c>
      <c r="N358" s="16" t="n">
        <f aca="false">IF(D358="","",(I358+M358)/2)</f>
        <v>14.5695414218585</v>
      </c>
      <c r="O358" s="16" t="n">
        <f aca="false">IF(D358="","",G358*N358)</f>
        <v>3.51563034509446</v>
      </c>
      <c r="P358" s="16" t="n">
        <f aca="false">IF(D358="","",H358+E358-K358-O358)</f>
        <v>143.488851619642</v>
      </c>
      <c r="Q358" s="16" t="n">
        <f aca="false">IF(D358="","",IF(P358&gt;=0,K358,MAX(0,K358+P358)))</f>
        <v>1.119744</v>
      </c>
      <c r="R358" s="16" t="n">
        <f aca="false">IF(D358="","",Q358/$B$15)</f>
        <v>0.432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143.488851619642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88.5733651973096</v>
      </c>
      <c r="Z358" s="18" t="n">
        <f aca="false">IF(D358="","",MAX(0,IF(P358&gt;=0,P358,IF(K358+P358&gt;=0,0,P358+K358))))</f>
        <v>143.488851619642</v>
      </c>
      <c r="AA358" s="18" t="n">
        <f aca="false">IF(D358="","",IF(H358&lt;=$B$16,1,IF(H358&gt;=$B$17,$B$21,MATCH(H358,Aux_CAV!$A$2:$A$121,1))))</f>
        <v>22</v>
      </c>
      <c r="AB358" s="18" t="n">
        <f aca="false">IF(D358="","",IF(L358&lt;=$B$16,1,IF(L358&gt;=$B$17,$B$21,MATCH(L358,Aux_CAV!$A$2:$A$121,1))))</f>
        <v>22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0.285809758137795</v>
      </c>
      <c r="E359" s="16" t="n">
        <f aca="false">IF(D359="","",D359*$B$15)</f>
        <v>0.740818893093165</v>
      </c>
      <c r="F359" s="16" t="n">
        <f aca="false" t="array" ref="F359:F359">IF(D359="","",IFERROR(INDEX(Dados_Evap!$C$2:$N$15,MATCH($B$9,Dados_Evap!$A$2:$A$15,0),C359),0))</f>
        <v>241.8</v>
      </c>
      <c r="G359" s="16" t="n">
        <f aca="false">IF(F359="","",F359/1000)</f>
        <v>0.2418</v>
      </c>
      <c r="H359" s="16" t="n">
        <f aca="false">IF(D359="","",MAX(0,MIN($B$8,IFERROR(LOOKUP(2,1/($U$24:U358&lt;&gt;""),$U$24:U358),$B$11))))</f>
        <v>143.488851619642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14.4352631616444</v>
      </c>
      <c r="J359" s="16" t="n">
        <f aca="false">IF(D359="","",$B$12)</f>
        <v>0.432</v>
      </c>
      <c r="K359" s="16" t="n">
        <f aca="false">IF(J359="","",J359*$B$15)</f>
        <v>1.119744</v>
      </c>
      <c r="L359" s="16" t="n">
        <f aca="false">IF(D359="","",H359+E359-K359-G359*I359)</f>
        <v>139.619479880249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14.1535467209721</v>
      </c>
      <c r="N359" s="16" t="n">
        <f aca="false">IF(D359="","",(I359+M359)/2)</f>
        <v>14.2944049413082</v>
      </c>
      <c r="O359" s="16" t="n">
        <f aca="false">IF(D359="","",G359*N359)</f>
        <v>3.45638711480833</v>
      </c>
      <c r="P359" s="16" t="n">
        <f aca="false">IF(D359="","",H359+E359-K359-O359)</f>
        <v>139.653539397926</v>
      </c>
      <c r="Q359" s="16" t="n">
        <f aca="false">IF(D359="","",IF(P359&gt;=0,K359,MAX(0,K359+P359)))</f>
        <v>1.119744</v>
      </c>
      <c r="R359" s="16" t="n">
        <f aca="false">IF(D359="","",Q359/$B$15)</f>
        <v>0.432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139.653539397926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86.2058885172385</v>
      </c>
      <c r="Z359" s="18" t="n">
        <f aca="false">IF(D359="","",MAX(0,IF(P359&gt;=0,P359,IF(K359+P359&gt;=0,0,P359+K359))))</f>
        <v>139.653539397926</v>
      </c>
      <c r="AA359" s="18" t="n">
        <f aca="false">IF(D359="","",IF(H359&lt;=$B$16,1,IF(H359&gt;=$B$17,$B$21,MATCH(H359,Aux_CAV!$A$2:$A$121,1))))</f>
        <v>22</v>
      </c>
      <c r="AB359" s="18" t="n">
        <f aca="false">IF(D359="","",IF(L359&lt;=$B$16,1,IF(L359&gt;=$B$17,$B$21,MATCH(L359,Aux_CAV!$A$2:$A$121,1))))</f>
        <v>22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0.605373999362797</v>
      </c>
      <c r="E360" s="16" t="n">
        <f aca="false">IF(D360="","",D360*$B$15)</f>
        <v>1.56912940634837</v>
      </c>
      <c r="F360" s="16" t="n">
        <f aca="false" t="array" ref="F360:F360">IF(D360="","",IFERROR(INDEX(Dados_Evap!$C$2:$N$15,MATCH($B$9,Dados_Evap!$A$2:$A$15,0),C360),0))</f>
        <v>189</v>
      </c>
      <c r="G360" s="16" t="n">
        <f aca="false">IF(F360="","",F360/1000)</f>
        <v>0.189</v>
      </c>
      <c r="H360" s="16" t="n">
        <f aca="false">IF(D360="","",MAX(0,MIN($B$8,IFERROR(LOOKUP(2,1/($U$24:U359&lt;&gt;""),$U$24:U359),$B$11))))</f>
        <v>139.653539397926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14.156026484287</v>
      </c>
      <c r="J360" s="16" t="n">
        <f aca="false">IF(D360="","",$B$12)</f>
        <v>0.432</v>
      </c>
      <c r="K360" s="16" t="n">
        <f aca="false">IF(J360="","",J360*$B$15)</f>
        <v>1.119744</v>
      </c>
      <c r="L360" s="16" t="n">
        <f aca="false">IF(D360="","",H360+E360-K360-G360*I360)</f>
        <v>137.427435798745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13.9939510816719</v>
      </c>
      <c r="N360" s="16" t="n">
        <f aca="false">IF(D360="","",(I360+M360)/2)</f>
        <v>14.0749887829794</v>
      </c>
      <c r="O360" s="16" t="n">
        <f aca="false">IF(D360="","",G360*N360)</f>
        <v>2.66017287998311</v>
      </c>
      <c r="P360" s="16" t="n">
        <f aca="false">IF(D360="","",H360+E360-K360-O360)</f>
        <v>137.442751924292</v>
      </c>
      <c r="Q360" s="16" t="n">
        <f aca="false">IF(D360="","",IF(P360&gt;=0,K360,MAX(0,K360+P360)))</f>
        <v>1.119744</v>
      </c>
      <c r="R360" s="16" t="n">
        <f aca="false">IF(D360="","",Q360/$B$15)</f>
        <v>0.432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137.442751924292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84.8412048915381</v>
      </c>
      <c r="Z360" s="18" t="n">
        <f aca="false">IF(D360="","",MAX(0,IF(P360&gt;=0,P360,IF(K360+P360&gt;=0,0,P360+K360))))</f>
        <v>137.442751924292</v>
      </c>
      <c r="AA360" s="18" t="n">
        <f aca="false">IF(D360="","",IF(H360&lt;=$B$16,1,IF(H360&gt;=$B$17,$B$21,MATCH(H360,Aux_CAV!$A$2:$A$121,1))))</f>
        <v>22</v>
      </c>
      <c r="AB360" s="18" t="n">
        <f aca="false">IF(D360="","",IF(L360&lt;=$B$16,1,IF(L360&gt;=$B$17,$B$21,MATCH(L360,Aux_CAV!$A$2:$A$121,1))))</f>
        <v>22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0.49309638088251</v>
      </c>
      <c r="E361" s="16" t="n">
        <f aca="false">IF(D361="","",D361*$B$15)</f>
        <v>1.27810581924747</v>
      </c>
      <c r="F361" s="16" t="n">
        <f aca="false" t="array" ref="F361:F361">IF(D361="","",IFERROR(INDEX(Dados_Evap!$C$2:$N$15,MATCH($B$9,Dados_Evap!$A$2:$A$15,0),C361),0))</f>
        <v>136.9</v>
      </c>
      <c r="G361" s="16" t="n">
        <f aca="false">IF(F361="","",F361/1000)</f>
        <v>0.1369</v>
      </c>
      <c r="H361" s="16" t="n">
        <f aca="false">IF(D361="","",MAX(0,MIN($B$8,IFERROR(LOOKUP(2,1/($U$24:U360&lt;&gt;""),$U$24:U360),$B$11))))</f>
        <v>137.442751924292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13.9950661992322</v>
      </c>
      <c r="J361" s="16" t="n">
        <f aca="false">IF(D361="","",$B$12)</f>
        <v>0.432</v>
      </c>
      <c r="K361" s="16" t="n">
        <f aca="false">IF(J361="","",J361*$B$15)</f>
        <v>1.119744</v>
      </c>
      <c r="L361" s="16" t="n">
        <f aca="false">IF(D361="","",H361+E361-K361-G361*I361)</f>
        <v>135.685189180864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13.8671037408063</v>
      </c>
      <c r="N361" s="16" t="n">
        <f aca="false">IF(D361="","",(I361+M361)/2)</f>
        <v>13.9310849700193</v>
      </c>
      <c r="O361" s="16" t="n">
        <f aca="false">IF(D361="","",G361*N361)</f>
        <v>1.90716553239564</v>
      </c>
      <c r="P361" s="16" t="n">
        <f aca="false">IF(D361="","",H361+E361-K361-O361)</f>
        <v>135.693948211144</v>
      </c>
      <c r="Q361" s="16" t="n">
        <f aca="false">IF(D361="","",IF(P361&gt;=0,K361,MAX(0,K361+P361)))</f>
        <v>1.119744</v>
      </c>
      <c r="R361" s="16" t="n">
        <f aca="false">IF(D361="","",Q361/$B$15)</f>
        <v>0.432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135.693948211144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83.7616964266318</v>
      </c>
      <c r="Z361" s="18" t="n">
        <f aca="false">IF(D361="","",MAX(0,IF(P361&gt;=0,P361,IF(K361+P361&gt;=0,0,P361+K361))))</f>
        <v>135.693948211144</v>
      </c>
      <c r="AA361" s="18" t="n">
        <f aca="false">IF(D361="","",IF(H361&lt;=$B$16,1,IF(H361&gt;=$B$17,$B$21,MATCH(H361,Aux_CAV!$A$2:$A$121,1))))</f>
        <v>22</v>
      </c>
      <c r="AB361" s="18" t="n">
        <f aca="false">IF(D361="","",IF(L361&lt;=$B$16,1,IF(L361&gt;=$B$17,$B$21,MATCH(L361,Aux_CAV!$A$2:$A$121,1))))</f>
        <v>22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3.92282699824609</v>
      </c>
      <c r="E362" s="16" t="n">
        <f aca="false">IF(D362="","",D362*$B$15)</f>
        <v>10.1679675794539</v>
      </c>
      <c r="F362" s="16" t="n">
        <f aca="false" t="array" ref="F362:F362">IF(D362="","",IFERROR(INDEX(Dados_Evap!$C$2:$N$15,MATCH($B$9,Dados_Evap!$A$2:$A$15,0),C362),0))</f>
        <v>102.9</v>
      </c>
      <c r="G362" s="16" t="n">
        <f aca="false">IF(F362="","",F362/1000)</f>
        <v>0.1029</v>
      </c>
      <c r="H362" s="16" t="n">
        <f aca="false">IF(D362="","",MAX(0,MIN($B$8,IFERROR(LOOKUP(2,1/($U$24:U361&lt;&gt;""),$U$24:U361),$B$11))))</f>
        <v>135.693948211144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13.8677414574694</v>
      </c>
      <c r="J362" s="16" t="n">
        <f aca="false">IF(D362="","",$B$12)</f>
        <v>0.432</v>
      </c>
      <c r="K362" s="16" t="n">
        <f aca="false">IF(J362="","",J362*$B$15)</f>
        <v>1.119744</v>
      </c>
      <c r="L362" s="16" t="n">
        <f aca="false">IF(D362="","",H362+E362-K362-G362*I362)</f>
        <v>143.315181194624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14.4226187797443</v>
      </c>
      <c r="N362" s="16" t="n">
        <f aca="false">IF(D362="","",(I362+M362)/2)</f>
        <v>14.1451801186069</v>
      </c>
      <c r="O362" s="16" t="n">
        <f aca="false">IF(D362="","",G362*N362)</f>
        <v>1.45553903420465</v>
      </c>
      <c r="P362" s="16" t="n">
        <f aca="false">IF(D362="","",H362+E362-K362-O362)</f>
        <v>143.286632756393</v>
      </c>
      <c r="Q362" s="16" t="n">
        <f aca="false">IF(D362="","",IF(P362&gt;=0,K362,MAX(0,K362+P362)))</f>
        <v>1.119744</v>
      </c>
      <c r="R362" s="16" t="n">
        <f aca="false">IF(D362="","",Q362/$B$15)</f>
        <v>0.432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143.286632756393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88.448538738514</v>
      </c>
      <c r="Z362" s="18" t="n">
        <f aca="false">IF(D362="","",MAX(0,IF(P362&gt;=0,P362,IF(K362+P362&gt;=0,0,P362+K362))))</f>
        <v>143.286632756393</v>
      </c>
      <c r="AA362" s="18" t="n">
        <f aca="false">IF(D362="","",IF(H362&lt;=$B$16,1,IF(H362&gt;=$B$17,$B$21,MATCH(H362,Aux_CAV!$A$2:$A$121,1))))</f>
        <v>22</v>
      </c>
      <c r="AB362" s="18" t="n">
        <f aca="false">IF(D362="","",IF(L362&lt;=$B$16,1,IF(L362&gt;=$B$17,$B$21,MATCH(L362,Aux_CAV!$A$2:$A$121,1))))</f>
        <v>22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9.69794646932938</v>
      </c>
      <c r="E363" s="16" t="n">
        <f aca="false">IF(D363="","",D363*$B$15)</f>
        <v>25.1370772485018</v>
      </c>
      <c r="F363" s="16" t="n">
        <f aca="false" t="array" ref="F363:F363">IF(D363="","",IFERROR(INDEX(Dados_Evap!$C$2:$N$15,MATCH($B$9,Dados_Evap!$A$2:$A$15,0),C363),0))</f>
        <v>81.8</v>
      </c>
      <c r="G363" s="16" t="n">
        <f aca="false">IF(F363="","",F363/1000)</f>
        <v>0.0818</v>
      </c>
      <c r="H363" s="16" t="n">
        <f aca="false">IF(D363="","",MAX(0,MIN($B$8,IFERROR(LOOKUP(2,1/($U$24:U362&lt;&gt;""),$U$24:U362),$B$11))))</f>
        <v>143.286632756393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14.4205402602981</v>
      </c>
      <c r="J363" s="16" t="n">
        <f aca="false">IF(D363="","",$B$12)</f>
        <v>0.432</v>
      </c>
      <c r="K363" s="16" t="n">
        <f aca="false">IF(J363="","",J363*$B$15)</f>
        <v>1.119744</v>
      </c>
      <c r="L363" s="16" t="n">
        <f aca="false">IF(D363="","",H363+E363-K363-G363*I363)</f>
        <v>166.124365811602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16.0296763552082</v>
      </c>
      <c r="N363" s="16" t="n">
        <f aca="false">IF(D363="","",(I363+M363)/2)</f>
        <v>15.2251083077531</v>
      </c>
      <c r="O363" s="16" t="n">
        <f aca="false">IF(D363="","",G363*N363)</f>
        <v>1.24541385957421</v>
      </c>
      <c r="P363" s="16" t="n">
        <f aca="false">IF(D363="","",H363+E363-K363-O363)</f>
        <v>166.05855214532</v>
      </c>
      <c r="Q363" s="16" t="n">
        <f aca="false">IF(D363="","",IF(P363&gt;=0,K363,MAX(0,K363+P363)))</f>
        <v>1.119744</v>
      </c>
      <c r="R363" s="16" t="n">
        <f aca="false">IF(D363="","",Q363/$B$15)</f>
        <v>0.432</v>
      </c>
      <c r="S363" s="16" t="n">
        <f aca="false">IF(D363="","",MAX(0,J363-R363))</f>
        <v>0</v>
      </c>
      <c r="T363" s="16" t="n">
        <f aca="false">IF(D363="","",MAX(0,Z363-$B$8))</f>
        <v>4.05855214532031</v>
      </c>
      <c r="U363" s="16" t="n">
        <f aca="false">IF(D363="","",MAX(0,MIN($B$8,Z363)))</f>
        <v>162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100</v>
      </c>
      <c r="Z363" s="18" t="n">
        <f aca="false">IF(D363="","",MAX(0,IF(P363&gt;=0,P363,IF(K363+P363&gt;=0,0,P363+K363))))</f>
        <v>166.05855214532</v>
      </c>
      <c r="AA363" s="18" t="n">
        <f aca="false">IF(D363="","",IF(H363&lt;=$B$16,1,IF(H363&gt;=$B$17,$B$21,MATCH(H363,Aux_CAV!$A$2:$A$121,1))))</f>
        <v>22</v>
      </c>
      <c r="AB363" s="18" t="n">
        <f aca="false">IF(D363="","",IF(L363&lt;=$B$16,1,IF(L363&gt;=$B$17,$B$21,MATCH(L363,Aux_CAV!$A$2:$A$121,1))))</f>
        <v>23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8.03547493377952</v>
      </c>
      <c r="E364" s="16" t="n">
        <f aca="false">IF(D364="","",D364*$B$15)</f>
        <v>20.8279510283565</v>
      </c>
      <c r="F364" s="16" t="n">
        <f aca="false" t="array" ref="F364:F364">IF(D364="","",IFERROR(INDEX(Dados_Evap!$C$2:$N$15,MATCH($B$9,Dados_Evap!$A$2:$A$15,0),C364),0))</f>
        <v>83.6</v>
      </c>
      <c r="G364" s="16" t="n">
        <f aca="false">IF(F364="","",F364/1000)</f>
        <v>0.0836</v>
      </c>
      <c r="H364" s="16" t="n">
        <f aca="false">IF(D364="","",MAX(0,MIN($B$8,IFERROR(LOOKUP(2,1/($U$24:U363&lt;&gt;""),$U$24:U363),$B$11))))</f>
        <v>162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15.783</v>
      </c>
      <c r="J364" s="16" t="n">
        <f aca="false">IF(D364="","",$B$12)</f>
        <v>0.432</v>
      </c>
      <c r="K364" s="16" t="n">
        <f aca="false">IF(J364="","",J364*$B$15)</f>
        <v>1.119744</v>
      </c>
      <c r="L364" s="16" t="n">
        <f aca="false">IF(D364="","",H364+E364-K364-G364*I364)</f>
        <v>180.388748228357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16.8828222749912</v>
      </c>
      <c r="N364" s="16" t="n">
        <f aca="false">IF(D364="","",(I364+M364)/2)</f>
        <v>16.3329111374956</v>
      </c>
      <c r="O364" s="16" t="n">
        <f aca="false">IF(D364="","",G364*N364)</f>
        <v>1.36543137109463</v>
      </c>
      <c r="P364" s="16" t="n">
        <f aca="false">IF(D364="","",H364+E364-K364-O364)</f>
        <v>180.342775657262</v>
      </c>
      <c r="Q364" s="16" t="n">
        <f aca="false">IF(D364="","",IF(P364&gt;=0,K364,MAX(0,K364+P364)))</f>
        <v>1.119744</v>
      </c>
      <c r="R364" s="16" t="n">
        <f aca="false">IF(D364="","",Q364/$B$15)</f>
        <v>0.432</v>
      </c>
      <c r="S364" s="16" t="n">
        <f aca="false">IF(D364="","",MAX(0,J364-R364))</f>
        <v>0</v>
      </c>
      <c r="T364" s="16" t="n">
        <f aca="false">IF(D364="","",MAX(0,Z364-$B$8))</f>
        <v>18.3427756572619</v>
      </c>
      <c r="U364" s="16" t="n">
        <f aca="false">IF(D364="","",MAX(0,MIN($B$8,Z364)))</f>
        <v>162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100</v>
      </c>
      <c r="Z364" s="18" t="n">
        <f aca="false">IF(D364="","",MAX(0,IF(P364&gt;=0,P364,IF(K364+P364&gt;=0,0,P364+K364))))</f>
        <v>180.342775657262</v>
      </c>
      <c r="AA364" s="18" t="n">
        <f aca="false">IF(D364="","",IF(H364&lt;=$B$16,1,IF(H364&gt;=$B$17,$B$21,MATCH(H364,Aux_CAV!$A$2:$A$121,1))))</f>
        <v>23</v>
      </c>
      <c r="AB364" s="18" t="n">
        <f aca="false">IF(D364="","",IF(L364&lt;=$B$16,1,IF(L364&gt;=$B$17,$B$21,MATCH(L364,Aux_CAV!$A$2:$A$121,1))))</f>
        <v>23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2.19535215847888</v>
      </c>
      <c r="E365" s="16" t="n">
        <f aca="false">IF(D365="","",D365*$B$15)</f>
        <v>5.69035279477726</v>
      </c>
      <c r="F365" s="16" t="n">
        <f aca="false" t="array" ref="F365:F365">IF(D365="","",IFERROR(INDEX(Dados_Evap!$C$2:$N$15,MATCH($B$9,Dados_Evap!$A$2:$A$15,0),C365),0))</f>
        <v>108.2</v>
      </c>
      <c r="G365" s="16" t="n">
        <f aca="false">IF(F365="","",F365/1000)</f>
        <v>0.1082</v>
      </c>
      <c r="H365" s="16" t="n">
        <f aca="false">IF(D365="","",MAX(0,MIN($B$8,IFERROR(LOOKUP(2,1/($U$24:U364&lt;&gt;""),$U$24:U364),$B$11))))</f>
        <v>162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15.783</v>
      </c>
      <c r="J365" s="16" t="n">
        <f aca="false">IF(D365="","",$B$12)</f>
        <v>0.432</v>
      </c>
      <c r="K365" s="16" t="n">
        <f aca="false">IF(J365="","",J365*$B$15)</f>
        <v>1.119744</v>
      </c>
      <c r="L365" s="16" t="n">
        <f aca="false">IF(D365="","",H365+E365-K365-G365*I365)</f>
        <v>164.862888194777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15.9542279796495</v>
      </c>
      <c r="N365" s="16" t="n">
        <f aca="false">IF(D365="","",(I365+M365)/2)</f>
        <v>15.8686139898248</v>
      </c>
      <c r="O365" s="16" t="n">
        <f aca="false">IF(D365="","",G365*N365)</f>
        <v>1.71698403369904</v>
      </c>
      <c r="P365" s="16" t="n">
        <f aca="false">IF(D365="","",H365+E365-K365-O365)</f>
        <v>164.853624761078</v>
      </c>
      <c r="Q365" s="16" t="n">
        <f aca="false">IF(D365="","",IF(P365&gt;=0,K365,MAX(0,K365+P365)))</f>
        <v>1.119744</v>
      </c>
      <c r="R365" s="16" t="n">
        <f aca="false">IF(D365="","",Q365/$B$15)</f>
        <v>0.432</v>
      </c>
      <c r="S365" s="16" t="n">
        <f aca="false">IF(D365="","",MAX(0,J365-R365))</f>
        <v>0</v>
      </c>
      <c r="T365" s="16" t="n">
        <f aca="false">IF(D365="","",MAX(0,Z365-$B$8))</f>
        <v>2.85362476107821</v>
      </c>
      <c r="U365" s="16" t="n">
        <f aca="false">IF(D365="","",MAX(0,MIN($B$8,Z365)))</f>
        <v>162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100</v>
      </c>
      <c r="Z365" s="18" t="n">
        <f aca="false">IF(D365="","",MAX(0,IF(P365&gt;=0,P365,IF(K365+P365&gt;=0,0,P365+K365))))</f>
        <v>164.853624761078</v>
      </c>
      <c r="AA365" s="18" t="n">
        <f aca="false">IF(D365="","",IF(H365&lt;=$B$16,1,IF(H365&gt;=$B$17,$B$21,MATCH(H365,Aux_CAV!$A$2:$A$121,1))))</f>
        <v>23</v>
      </c>
      <c r="AB365" s="18" t="n">
        <f aca="false">IF(D365="","",IF(L365&lt;=$B$16,1,IF(L365&gt;=$B$17,$B$21,MATCH(L365,Aux_CAV!$A$2:$A$121,1))))</f>
        <v>23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0.74489687398969</v>
      </c>
      <c r="E366" s="16" t="n">
        <f aca="false">IF(D366="","",D366*$B$15)</f>
        <v>1.93077269738128</v>
      </c>
      <c r="F366" s="16" t="n">
        <f aca="false" t="array" ref="F366:F366">IF(D366="","",IFERROR(INDEX(Dados_Evap!$C$2:$N$15,MATCH($B$9,Dados_Evap!$A$2:$A$15,0),C366),0))</f>
        <v>149</v>
      </c>
      <c r="G366" s="16" t="n">
        <f aca="false">IF(F366="","",F366/1000)</f>
        <v>0.149</v>
      </c>
      <c r="H366" s="16" t="n">
        <f aca="false">IF(D366="","",MAX(0,MIN($B$8,IFERROR(LOOKUP(2,1/($U$24:U365&lt;&gt;""),$U$24:U365),$B$11))))</f>
        <v>162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15.783</v>
      </c>
      <c r="J366" s="16" t="n">
        <f aca="false">IF(D366="","",$B$12)</f>
        <v>0.432</v>
      </c>
      <c r="K366" s="16" t="n">
        <f aca="false">IF(J366="","",J366*$B$15)</f>
        <v>1.119744</v>
      </c>
      <c r="L366" s="16" t="n">
        <f aca="false">IF(D366="","",H366+E366-K366-G366*I366)</f>
        <v>160.459361697381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15.6708311084566</v>
      </c>
      <c r="N366" s="16" t="n">
        <f aca="false">IF(D366="","",(I366+M366)/2)</f>
        <v>15.7269155542283</v>
      </c>
      <c r="O366" s="16" t="n">
        <f aca="false">IF(D366="","",G366*N366)</f>
        <v>2.34331041758001</v>
      </c>
      <c r="P366" s="16" t="n">
        <f aca="false">IF(D366="","",H366+E366-K366-O366)</f>
        <v>160.467718279801</v>
      </c>
      <c r="Q366" s="16" t="n">
        <f aca="false">IF(D366="","",IF(P366&gt;=0,K366,MAX(0,K366+P366)))</f>
        <v>1.119744</v>
      </c>
      <c r="R366" s="16" t="n">
        <f aca="false">IF(D366="","",Q366/$B$15)</f>
        <v>0.432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160.467718279801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99.0541470862971</v>
      </c>
      <c r="Z366" s="18" t="n">
        <f aca="false">IF(D366="","",MAX(0,IF(P366&gt;=0,P366,IF(K366+P366&gt;=0,0,P366+K366))))</f>
        <v>160.467718279801</v>
      </c>
      <c r="AA366" s="18" t="n">
        <f aca="false">IF(D366="","",IF(H366&lt;=$B$16,1,IF(H366&gt;=$B$17,$B$21,MATCH(H366,Aux_CAV!$A$2:$A$121,1))))</f>
        <v>23</v>
      </c>
      <c r="AB366" s="18" t="n">
        <f aca="false">IF(D366="","",IF(L366&lt;=$B$16,1,IF(L366&gt;=$B$17,$B$21,MATCH(L366,Aux_CAV!$A$2:$A$121,1))))</f>
        <v>22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0.944969370212604</v>
      </c>
      <c r="E367" s="16" t="n">
        <f aca="false">IF(D367="","",D367*$B$15)</f>
        <v>2.44936060759107</v>
      </c>
      <c r="F367" s="16" t="n">
        <f aca="false" t="array" ref="F367:F367">IF(D367="","",IFERROR(INDEX(Dados_Evap!$C$2:$N$15,MATCH($B$9,Dados_Evap!$A$2:$A$15,0),C367),0))</f>
        <v>206.8</v>
      </c>
      <c r="G367" s="16" t="n">
        <f aca="false">IF(F367="","",F367/1000)</f>
        <v>0.2068</v>
      </c>
      <c r="H367" s="16" t="n">
        <f aca="false">IF(D367="","",MAX(0,MIN($B$8,IFERROR(LOOKUP(2,1/($U$24:U366&lt;&gt;""),$U$24:U366),$B$11))))</f>
        <v>160.467718279801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15.6714395241928</v>
      </c>
      <c r="J367" s="16" t="n">
        <f aca="false">IF(D367="","",$B$12)</f>
        <v>0.432</v>
      </c>
      <c r="K367" s="16" t="n">
        <f aca="false">IF(J367="","",J367*$B$15)</f>
        <v>1.119744</v>
      </c>
      <c r="L367" s="16" t="n">
        <f aca="false">IF(D367="","",H367+E367-K367-G367*I367)</f>
        <v>158.556481193789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15.5322885339504</v>
      </c>
      <c r="N367" s="16" t="n">
        <f aca="false">IF(D367="","",(I367+M367)/2)</f>
        <v>15.6018640290716</v>
      </c>
      <c r="O367" s="16" t="n">
        <f aca="false">IF(D367="","",G367*N367)</f>
        <v>3.22646548121201</v>
      </c>
      <c r="P367" s="16" t="n">
        <f aca="false">IF(D367="","",H367+E367-K367-O367)</f>
        <v>158.57086940618</v>
      </c>
      <c r="Q367" s="16" t="n">
        <f aca="false">IF(D367="","",IF(P367&gt;=0,K367,MAX(0,K367+P367)))</f>
        <v>1.119744</v>
      </c>
      <c r="R367" s="16" t="n">
        <f aca="false">IF(D367="","",Q367/$B$15)</f>
        <v>0.432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158.57086940618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97.8832527198644</v>
      </c>
      <c r="Z367" s="18" t="n">
        <f aca="false">IF(D367="","",MAX(0,IF(P367&gt;=0,P367,IF(K367+P367&gt;=0,0,P367+K367))))</f>
        <v>158.57086940618</v>
      </c>
      <c r="AA367" s="18" t="n">
        <f aca="false">IF(D367="","",IF(H367&lt;=$B$16,1,IF(H367&gt;=$B$17,$B$21,MATCH(H367,Aux_CAV!$A$2:$A$121,1))))</f>
        <v>22</v>
      </c>
      <c r="AB367" s="18" t="n">
        <f aca="false">IF(D367="","",IF(L367&lt;=$B$16,1,IF(L367&gt;=$B$17,$B$21,MATCH(L367,Aux_CAV!$A$2:$A$121,1))))</f>
        <v>22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0.48913905290353</v>
      </c>
      <c r="E368" s="16" t="n">
        <f aca="false">IF(D368="","",D368*$B$15)</f>
        <v>1.26784842512595</v>
      </c>
      <c r="F368" s="16" t="n">
        <f aca="false" t="array" ref="F368:F368">IF(D368="","",IFERROR(INDEX(Dados_Evap!$C$2:$N$15,MATCH($B$9,Dados_Evap!$A$2:$A$15,0),C368),0))</f>
        <v>245.9</v>
      </c>
      <c r="G368" s="16" t="n">
        <f aca="false">IF(F368="","",F368/1000)</f>
        <v>0.2459</v>
      </c>
      <c r="H368" s="16" t="n">
        <f aca="false">IF(D368="","",MAX(0,MIN($B$8,IFERROR(LOOKUP(2,1/($U$24:U367&lt;&gt;""),$U$24:U367),$B$11))))</f>
        <v>158.57086940618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15.5333360931553</v>
      </c>
      <c r="J368" s="16" t="n">
        <f aca="false">IF(D368="","",$B$12)</f>
        <v>0.432</v>
      </c>
      <c r="K368" s="16" t="n">
        <f aca="false">IF(J368="","",J368*$B$15)</f>
        <v>1.119744</v>
      </c>
      <c r="L368" s="16" t="n">
        <f aca="false">IF(D368="","",H368+E368-K368-G368*I368)</f>
        <v>154.899326485999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15.2660229289227</v>
      </c>
      <c r="N368" s="16" t="n">
        <f aca="false">IF(D368="","",(I368+M368)/2)</f>
        <v>15.399679511039</v>
      </c>
      <c r="O368" s="16" t="n">
        <f aca="false">IF(D368="","",G368*N368)</f>
        <v>3.78678119176449</v>
      </c>
      <c r="P368" s="16" t="n">
        <f aca="false">IF(D368="","",H368+E368-K368-O368)</f>
        <v>154.932192639542</v>
      </c>
      <c r="Q368" s="16" t="n">
        <f aca="false">IF(D368="","",IF(P368&gt;=0,K368,MAX(0,K368+P368)))</f>
        <v>1.119744</v>
      </c>
      <c r="R368" s="16" t="n">
        <f aca="false">IF(D368="","",Q368/$B$15)</f>
        <v>0.432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154.932192639542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95.6371559503345</v>
      </c>
      <c r="Z368" s="18" t="n">
        <f aca="false">IF(D368="","",MAX(0,IF(P368&gt;=0,P368,IF(K368+P368&gt;=0,0,P368+K368))))</f>
        <v>154.932192639542</v>
      </c>
      <c r="AA368" s="18" t="n">
        <f aca="false">IF(D368="","",IF(H368&lt;=$B$16,1,IF(H368&gt;=$B$17,$B$21,MATCH(H368,Aux_CAV!$A$2:$A$121,1))))</f>
        <v>22</v>
      </c>
      <c r="AB368" s="18" t="n">
        <f aca="false">IF(D368="","",IF(L368&lt;=$B$16,1,IF(L368&gt;=$B$17,$B$21,MATCH(L368,Aux_CAV!$A$2:$A$121,1))))</f>
        <v>22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0.497065997134983</v>
      </c>
      <c r="E369" s="16" t="n">
        <f aca="false">IF(D369="","",D369*$B$15)</f>
        <v>1.28839506457388</v>
      </c>
      <c r="F369" s="16" t="n">
        <f aca="false" t="array" ref="F369:F369">IF(D369="","",IFERROR(INDEX(Dados_Evap!$C$2:$N$15,MATCH($B$9,Dados_Evap!$A$2:$A$15,0),C369),0))</f>
        <v>282.3</v>
      </c>
      <c r="G369" s="16" t="n">
        <f aca="false">IF(F369="","",F369/1000)</f>
        <v>0.2823</v>
      </c>
      <c r="H369" s="16" t="n">
        <f aca="false">IF(D369="","",MAX(0,MIN($B$8,IFERROR(LOOKUP(2,1/($U$24:U368&lt;&gt;""),$U$24:U368),$B$11))))</f>
        <v>154.932192639542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15.2684158072549</v>
      </c>
      <c r="J369" s="16" t="n">
        <f aca="false">IF(D369="","",$B$12)</f>
        <v>0.432</v>
      </c>
      <c r="K369" s="16" t="n">
        <f aca="false">IF(J369="","",J369*$B$15)</f>
        <v>1.119744</v>
      </c>
      <c r="L369" s="16" t="n">
        <f aca="false">IF(D369="","",H369+E369-K369-G369*I369)</f>
        <v>150.790569921728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14.9668776534529</v>
      </c>
      <c r="N369" s="16" t="n">
        <f aca="false">IF(D369="","",(I369+M369)/2)</f>
        <v>15.1176467303539</v>
      </c>
      <c r="O369" s="16" t="n">
        <f aca="false">IF(D369="","",G369*N369)</f>
        <v>4.26771167197891</v>
      </c>
      <c r="P369" s="16" t="n">
        <f aca="false">IF(D369="","",H369+E369-K369-O369)</f>
        <v>150.833132032137</v>
      </c>
      <c r="Q369" s="16" t="n">
        <f aca="false">IF(D369="","",IF(P369&gt;=0,K369,MAX(0,K369+P369)))</f>
        <v>1.119744</v>
      </c>
      <c r="R369" s="16" t="n">
        <f aca="false">IF(D369="","",Q369/$B$15)</f>
        <v>0.432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150.833132032137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93.1068716247758</v>
      </c>
      <c r="Z369" s="18" t="n">
        <f aca="false">IF(D369="","",MAX(0,IF(P369&gt;=0,P369,IF(K369+P369&gt;=0,0,P369+K369))))</f>
        <v>150.833132032137</v>
      </c>
      <c r="AA369" s="18" t="n">
        <f aca="false">IF(D369="","",IF(H369&lt;=$B$16,1,IF(H369&gt;=$B$17,$B$21,MATCH(H369,Aux_CAV!$A$2:$A$121,1))))</f>
        <v>22</v>
      </c>
      <c r="AB369" s="18" t="n">
        <f aca="false">IF(D369="","",IF(L369&lt;=$B$16,1,IF(L369&gt;=$B$17,$B$21,MATCH(L369,Aux_CAV!$A$2:$A$121,1))))</f>
        <v>22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0.424876949001094</v>
      </c>
      <c r="E370" s="16" t="n">
        <f aca="false">IF(D370="","",D370*$B$15)</f>
        <v>1.10128105181084</v>
      </c>
      <c r="F370" s="16" t="n">
        <f aca="false" t="array" ref="F370:F370">IF(D370="","",IFERROR(INDEX(Dados_Evap!$C$2:$N$15,MATCH($B$9,Dados_Evap!$A$2:$A$15,0),C370),0))</f>
        <v>241.3</v>
      </c>
      <c r="G370" s="16" t="n">
        <f aca="false">IF(F370="","",F370/1000)</f>
        <v>0.2413</v>
      </c>
      <c r="H370" s="16" t="n">
        <f aca="false">IF(D370="","",MAX(0,MIN($B$8,IFERROR(LOOKUP(2,1/($U$24:U369&lt;&gt;""),$U$24:U369),$B$11))))</f>
        <v>150.833132032137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14.9699764630426</v>
      </c>
      <c r="J370" s="16" t="n">
        <f aca="false">IF(D370="","",$B$12)</f>
        <v>0.432</v>
      </c>
      <c r="K370" s="16" t="n">
        <f aca="false">IF(J370="","",J370*$B$15)</f>
        <v>1.119744</v>
      </c>
      <c r="L370" s="16" t="n">
        <f aca="false">IF(D370="","",H370+E370-K370-G370*I370)</f>
        <v>147.202413763415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14.7056356096335</v>
      </c>
      <c r="N370" s="16" t="n">
        <f aca="false">IF(D370="","",(I370+M370)/2)</f>
        <v>14.837806036338</v>
      </c>
      <c r="O370" s="16" t="n">
        <f aca="false">IF(D370="","",G370*N370)</f>
        <v>3.58036259656836</v>
      </c>
      <c r="P370" s="16" t="n">
        <f aca="false">IF(D370="","",H370+E370-K370-O370)</f>
        <v>147.234306487379</v>
      </c>
      <c r="Q370" s="16" t="n">
        <f aca="false">IF(D370="","",IF(P370&gt;=0,K370,MAX(0,K370+P370)))</f>
        <v>1.119744</v>
      </c>
      <c r="R370" s="16" t="n">
        <f aca="false">IF(D370="","",Q370/$B$15)</f>
        <v>0.432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147.234306487379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90.8853743749255</v>
      </c>
      <c r="Z370" s="18" t="n">
        <f aca="false">IF(D370="","",MAX(0,IF(P370&gt;=0,P370,IF(K370+P370&gt;=0,0,P370+K370))))</f>
        <v>147.234306487379</v>
      </c>
      <c r="AA370" s="18" t="n">
        <f aca="false">IF(D370="","",IF(H370&lt;=$B$16,1,IF(H370&gt;=$B$17,$B$21,MATCH(H370,Aux_CAV!$A$2:$A$121,1))))</f>
        <v>22</v>
      </c>
      <c r="AB370" s="18" t="n">
        <f aca="false">IF(D370="","",IF(L370&lt;=$B$16,1,IF(L370&gt;=$B$17,$B$21,MATCH(L370,Aux_CAV!$A$2:$A$121,1))))</f>
        <v>22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0.436046989003434</v>
      </c>
      <c r="E371" s="16" t="n">
        <f aca="false">IF(D371="","",D371*$B$15)</f>
        <v>1.1302337954969</v>
      </c>
      <c r="F371" s="16" t="n">
        <f aca="false" t="array" ref="F371:F371">IF(D371="","",IFERROR(INDEX(Dados_Evap!$C$2:$N$15,MATCH($B$9,Dados_Evap!$A$2:$A$15,0),C371),0))</f>
        <v>241.8</v>
      </c>
      <c r="G371" s="16" t="n">
        <f aca="false">IF(F371="","",F371/1000)</f>
        <v>0.2418</v>
      </c>
      <c r="H371" s="16" t="n">
        <f aca="false">IF(D371="","",MAX(0,MIN($B$8,IFERROR(LOOKUP(2,1/($U$24:U370&lt;&gt;""),$U$24:U370),$B$11))))</f>
        <v>147.234306487379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14.7079576157067</v>
      </c>
      <c r="J371" s="16" t="n">
        <f aca="false">IF(D371="","",$B$12)</f>
        <v>0.432</v>
      </c>
      <c r="K371" s="16" t="n">
        <f aca="false">IF(J371="","",J371*$B$15)</f>
        <v>1.119744</v>
      </c>
      <c r="L371" s="16" t="n">
        <f aca="false">IF(D371="","",H371+E371-K371-G371*I371)</f>
        <v>143.688412131398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14.4497925170171</v>
      </c>
      <c r="N371" s="16" t="n">
        <f aca="false">IF(D371="","",(I371+M371)/2)</f>
        <v>14.5788750663619</v>
      </c>
      <c r="O371" s="16" t="n">
        <f aca="false">IF(D371="","",G371*N371)</f>
        <v>3.52517199104631</v>
      </c>
      <c r="P371" s="16" t="n">
        <f aca="false">IF(D371="","",H371+E371-K371-O371)</f>
        <v>143.71962429183</v>
      </c>
      <c r="Q371" s="16" t="n">
        <f aca="false">IF(D371="","",IF(P371&gt;=0,K371,MAX(0,K371+P371)))</f>
        <v>1.119744</v>
      </c>
      <c r="R371" s="16" t="n">
        <f aca="false">IF(D371="","",Q371/$B$15)</f>
        <v>0.432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143.71962429183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88.7158174640925</v>
      </c>
      <c r="Z371" s="18" t="n">
        <f aca="false">IF(D371="","",MAX(0,IF(P371&gt;=0,P371,IF(K371+P371&gt;=0,0,P371+K371))))</f>
        <v>143.71962429183</v>
      </c>
      <c r="AA371" s="18" t="n">
        <f aca="false">IF(D371="","",IF(H371&lt;=$B$16,1,IF(H371&gt;=$B$17,$B$21,MATCH(H371,Aux_CAV!$A$2:$A$121,1))))</f>
        <v>22</v>
      </c>
      <c r="AB371" s="18" t="n">
        <f aca="false">IF(D371="","",IF(L371&lt;=$B$16,1,IF(L371&gt;=$B$17,$B$21,MATCH(L371,Aux_CAV!$A$2:$A$121,1))))</f>
        <v>22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0.584643332140945</v>
      </c>
      <c r="E372" s="16" t="n">
        <f aca="false">IF(D372="","",D372*$B$15)</f>
        <v>1.51539551690933</v>
      </c>
      <c r="F372" s="16" t="n">
        <f aca="false" t="array" ref="F372:F372">IF(D372="","",IFERROR(INDEX(Dados_Evap!$C$2:$N$15,MATCH($B$9,Dados_Evap!$A$2:$A$15,0),C372),0))</f>
        <v>189</v>
      </c>
      <c r="G372" s="16" t="n">
        <f aca="false">IF(F372="","",F372/1000)</f>
        <v>0.189</v>
      </c>
      <c r="H372" s="16" t="n">
        <f aca="false">IF(D372="","",MAX(0,MIN($B$8,IFERROR(LOOKUP(2,1/($U$24:U371&lt;&gt;""),$U$24:U371),$B$11))))</f>
        <v>143.71962429183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14.4520649734609</v>
      </c>
      <c r="J372" s="16" t="n">
        <f aca="false">IF(D372="","",$B$12)</f>
        <v>0.432</v>
      </c>
      <c r="K372" s="16" t="n">
        <f aca="false">IF(J372="","",J372*$B$15)</f>
        <v>1.119744</v>
      </c>
      <c r="L372" s="16" t="n">
        <f aca="false">IF(D372="","",H372+E372-K372-G372*I372)</f>
        <v>141.383835528755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14.2820037488448</v>
      </c>
      <c r="N372" s="16" t="n">
        <f aca="false">IF(D372="","",(I372+M372)/2)</f>
        <v>14.3670343611528</v>
      </c>
      <c r="O372" s="16" t="n">
        <f aca="false">IF(D372="","",G372*N372)</f>
        <v>2.71536949425789</v>
      </c>
      <c r="P372" s="16" t="n">
        <f aca="false">IF(D372="","",H372+E372-K372-O372)</f>
        <v>141.399906314481</v>
      </c>
      <c r="Q372" s="16" t="n">
        <f aca="false">IF(D372="","",IF(P372&gt;=0,K372,MAX(0,K372+P372)))</f>
        <v>1.119744</v>
      </c>
      <c r="R372" s="16" t="n">
        <f aca="false">IF(D372="","",Q372/$B$15)</f>
        <v>0.432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141.399906314481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87.2838927867169</v>
      </c>
      <c r="Z372" s="18" t="n">
        <f aca="false">IF(D372="","",MAX(0,IF(P372&gt;=0,P372,IF(K372+P372&gt;=0,0,P372+K372))))</f>
        <v>141.399906314481</v>
      </c>
      <c r="AA372" s="18" t="n">
        <f aca="false">IF(D372="","",IF(H372&lt;=$B$16,1,IF(H372&gt;=$B$17,$B$21,MATCH(H372,Aux_CAV!$A$2:$A$121,1))))</f>
        <v>22</v>
      </c>
      <c r="AB372" s="18" t="n">
        <f aca="false">IF(D372="","",IF(L372&lt;=$B$16,1,IF(L372&gt;=$B$17,$B$21,MATCH(L372,Aux_CAV!$A$2:$A$121,1))))</f>
        <v>22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3.72264810855158</v>
      </c>
      <c r="E373" s="16" t="n">
        <f aca="false">IF(D373="","",D373*$B$15)</f>
        <v>9.6491038973657</v>
      </c>
      <c r="F373" s="16" t="n">
        <f aca="false" t="array" ref="F373:F373">IF(D373="","",IFERROR(INDEX(Dados_Evap!$C$2:$N$15,MATCH($B$9,Dados_Evap!$A$2:$A$15,0),C373),0))</f>
        <v>136.9</v>
      </c>
      <c r="G373" s="16" t="n">
        <f aca="false">IF(F373="","",F373/1000)</f>
        <v>0.1369</v>
      </c>
      <c r="H373" s="16" t="n">
        <f aca="false">IF(D373="","",MAX(0,MIN($B$8,IFERROR(LOOKUP(2,1/($U$24:U372&lt;&gt;""),$U$24:U372),$B$11))))</f>
        <v>141.399906314481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14.2831738107718</v>
      </c>
      <c r="J373" s="16" t="n">
        <f aca="false">IF(D373="","",$B$12)</f>
        <v>0.432</v>
      </c>
      <c r="K373" s="16" t="n">
        <f aca="false">IF(J373="","",J373*$B$15)</f>
        <v>1.119744</v>
      </c>
      <c r="L373" s="16" t="n">
        <f aca="false">IF(D373="","",H373+E373-K373-G373*I373)</f>
        <v>147.973899717152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14.7618050065159</v>
      </c>
      <c r="N373" s="16" t="n">
        <f aca="false">IF(D373="","",(I373+M373)/2)</f>
        <v>14.5224894086438</v>
      </c>
      <c r="O373" s="16" t="n">
        <f aca="false">IF(D373="","",G373*N373)</f>
        <v>1.98812880004334</v>
      </c>
      <c r="P373" s="16" t="n">
        <f aca="false">IF(D373="","",H373+E373-K373-O373)</f>
        <v>147.941137411804</v>
      </c>
      <c r="Q373" s="16" t="n">
        <f aca="false">IF(D373="","",IF(P373&gt;=0,K373,MAX(0,K373+P373)))</f>
        <v>1.119744</v>
      </c>
      <c r="R373" s="16" t="n">
        <f aca="false">IF(D373="","",Q373/$B$15)</f>
        <v>0.432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147.941137411804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91.3216897603726</v>
      </c>
      <c r="Z373" s="18" t="n">
        <f aca="false">IF(D373="","",MAX(0,IF(P373&gt;=0,P373,IF(K373+P373&gt;=0,0,P373+K373))))</f>
        <v>147.941137411804</v>
      </c>
      <c r="AA373" s="18" t="n">
        <f aca="false">IF(D373="","",IF(H373&lt;=$B$16,1,IF(H373&gt;=$B$17,$B$21,MATCH(H373,Aux_CAV!$A$2:$A$121,1))))</f>
        <v>22</v>
      </c>
      <c r="AB373" s="18" t="n">
        <f aca="false">IF(D373="","",IF(L373&lt;=$B$16,1,IF(L373&gt;=$B$17,$B$21,MATCH(L373,Aux_CAV!$A$2:$A$121,1))))</f>
        <v>22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7.62190315097837</v>
      </c>
      <c r="E374" s="16" t="n">
        <f aca="false">IF(D374="","",D374*$B$15)</f>
        <v>19.7559729673359</v>
      </c>
      <c r="F374" s="16" t="n">
        <f aca="false" t="array" ref="F374:F374">IF(D374="","",IFERROR(INDEX(Dados_Evap!$C$2:$N$15,MATCH($B$9,Dados_Evap!$A$2:$A$15,0),C374),0))</f>
        <v>102.9</v>
      </c>
      <c r="G374" s="16" t="n">
        <f aca="false">IF(F374="","",F374/1000)</f>
        <v>0.1029</v>
      </c>
      <c r="H374" s="16" t="n">
        <f aca="false">IF(D374="","",MAX(0,MIN($B$8,IFERROR(LOOKUP(2,1/($U$24:U373&lt;&gt;""),$U$24:U373),$B$11))))</f>
        <v>147.941137411804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14.7594196890347</v>
      </c>
      <c r="J374" s="16" t="n">
        <f aca="false">IF(D374="","",$B$12)</f>
        <v>0.432</v>
      </c>
      <c r="K374" s="16" t="n">
        <f aca="false">IF(J374="","",J374*$B$15)</f>
        <v>1.119744</v>
      </c>
      <c r="L374" s="16" t="n">
        <f aca="false">IF(D374="","",H374+E374-K374-G374*I374)</f>
        <v>165.058622093138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15.9659347309039</v>
      </c>
      <c r="N374" s="16" t="n">
        <f aca="false">IF(D374="","",(I374+M374)/2)</f>
        <v>15.3626772099693</v>
      </c>
      <c r="O374" s="16" t="n">
        <f aca="false">IF(D374="","",G374*N374)</f>
        <v>1.58081948490584</v>
      </c>
      <c r="P374" s="16" t="n">
        <f aca="false">IF(D374="","",H374+E374-K374-O374)</f>
        <v>164.996546894234</v>
      </c>
      <c r="Q374" s="16" t="n">
        <f aca="false">IF(D374="","",IF(P374&gt;=0,K374,MAX(0,K374+P374)))</f>
        <v>1.119744</v>
      </c>
      <c r="R374" s="16" t="n">
        <f aca="false">IF(D374="","",Q374/$B$15)</f>
        <v>0.432</v>
      </c>
      <c r="S374" s="16" t="n">
        <f aca="false">IF(D374="","",MAX(0,J374-R374))</f>
        <v>0</v>
      </c>
      <c r="T374" s="16" t="n">
        <f aca="false">IF(D374="","",MAX(0,Z374-$B$8))</f>
        <v>2.99654689423377</v>
      </c>
      <c r="U374" s="16" t="n">
        <f aca="false">IF(D374="","",MAX(0,MIN($B$8,Z374)))</f>
        <v>162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100</v>
      </c>
      <c r="Z374" s="18" t="n">
        <f aca="false">IF(D374="","",MAX(0,IF(P374&gt;=0,P374,IF(K374+P374&gt;=0,0,P374+K374))))</f>
        <v>164.996546894234</v>
      </c>
      <c r="AA374" s="18" t="n">
        <f aca="false">IF(D374="","",IF(H374&lt;=$B$16,1,IF(H374&gt;=$B$17,$B$21,MATCH(H374,Aux_CAV!$A$2:$A$121,1))))</f>
        <v>22</v>
      </c>
      <c r="AB374" s="18" t="n">
        <f aca="false">IF(D374="","",IF(L374&lt;=$B$16,1,IF(L374&gt;=$B$17,$B$21,MATCH(L374,Aux_CAV!$A$2:$A$121,1))))</f>
        <v>23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5.4778777773345</v>
      </c>
      <c r="E375" s="16" t="n">
        <f aca="false">IF(D375="","",D375*$B$15)</f>
        <v>14.198659198851</v>
      </c>
      <c r="F375" s="16" t="n">
        <f aca="false" t="array" ref="F375:F375">IF(D375="","",IFERROR(INDEX(Dados_Evap!$C$2:$N$15,MATCH($B$9,Dados_Evap!$A$2:$A$15,0),C375),0))</f>
        <v>81.8</v>
      </c>
      <c r="G375" s="16" t="n">
        <f aca="false">IF(F375="","",F375/1000)</f>
        <v>0.0818</v>
      </c>
      <c r="H375" s="16" t="n">
        <f aca="false">IF(D375="","",MAX(0,MIN($B$8,IFERROR(LOOKUP(2,1/($U$24:U374&lt;&gt;""),$U$24:U374),$B$11))))</f>
        <v>162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15.783</v>
      </c>
      <c r="J375" s="16" t="n">
        <f aca="false">IF(D375="","",$B$12)</f>
        <v>0.432</v>
      </c>
      <c r="K375" s="16" t="n">
        <f aca="false">IF(J375="","",J375*$B$15)</f>
        <v>1.119744</v>
      </c>
      <c r="L375" s="16" t="n">
        <f aca="false">IF(D375="","",H375+E375-K375-G375*I375)</f>
        <v>173.787865798851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16.4880266401599</v>
      </c>
      <c r="N375" s="16" t="n">
        <f aca="false">IF(D375="","",(I375+M375)/2)</f>
        <v>16.1355133200799</v>
      </c>
      <c r="O375" s="16" t="n">
        <f aca="false">IF(D375="","",G375*N375)</f>
        <v>1.31988498958254</v>
      </c>
      <c r="P375" s="16" t="n">
        <f aca="false">IF(D375="","",H375+E375-K375-O375)</f>
        <v>173.759030209269</v>
      </c>
      <c r="Q375" s="16" t="n">
        <f aca="false">IF(D375="","",IF(P375&gt;=0,K375,MAX(0,K375+P375)))</f>
        <v>1.119744</v>
      </c>
      <c r="R375" s="16" t="n">
        <f aca="false">IF(D375="","",Q375/$B$15)</f>
        <v>0.432</v>
      </c>
      <c r="S375" s="16" t="n">
        <f aca="false">IF(D375="","",MAX(0,J375-R375))</f>
        <v>0</v>
      </c>
      <c r="T375" s="16" t="n">
        <f aca="false">IF(D375="","",MAX(0,Z375-$B$8))</f>
        <v>11.7590302092685</v>
      </c>
      <c r="U375" s="16" t="n">
        <f aca="false">IF(D375="","",MAX(0,MIN($B$8,Z375)))</f>
        <v>162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100</v>
      </c>
      <c r="Z375" s="18" t="n">
        <f aca="false">IF(D375="","",MAX(0,IF(P375&gt;=0,P375,IF(K375+P375&gt;=0,0,P375+K375))))</f>
        <v>173.759030209269</v>
      </c>
      <c r="AA375" s="18" t="n">
        <f aca="false">IF(D375="","",IF(H375&lt;=$B$16,1,IF(H375&gt;=$B$17,$B$21,MATCH(H375,Aux_CAV!$A$2:$A$121,1))))</f>
        <v>23</v>
      </c>
      <c r="AB375" s="18" t="n">
        <f aca="false">IF(D375="","",IF(L375&lt;=$B$16,1,IF(L375&gt;=$B$17,$B$21,MATCH(L375,Aux_CAV!$A$2:$A$121,1))))</f>
        <v>23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3.63084536052257</v>
      </c>
      <c r="E376" s="16" t="n">
        <f aca="false">IF(D376="","",D376*$B$15)</f>
        <v>9.4111511744745</v>
      </c>
      <c r="F376" s="16" t="n">
        <f aca="false" t="array" ref="F376:F376">IF(D376="","",IFERROR(INDEX(Dados_Evap!$C$2:$N$15,MATCH($B$9,Dados_Evap!$A$2:$A$15,0),C376),0))</f>
        <v>83.6</v>
      </c>
      <c r="G376" s="16" t="n">
        <f aca="false">IF(F376="","",F376/1000)</f>
        <v>0.0836</v>
      </c>
      <c r="H376" s="16" t="n">
        <f aca="false">IF(D376="","",MAX(0,MIN($B$8,IFERROR(LOOKUP(2,1/($U$24:U375&lt;&gt;""),$U$24:U375),$B$11))))</f>
        <v>162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15.783</v>
      </c>
      <c r="J376" s="16" t="n">
        <f aca="false">IF(D376="","",$B$12)</f>
        <v>0.432</v>
      </c>
      <c r="K376" s="16" t="n">
        <f aca="false">IF(J376="","",J376*$B$15)</f>
        <v>1.119744</v>
      </c>
      <c r="L376" s="16" t="n">
        <f aca="false">IF(D376="","",H376+E376-K376-G376*I376)</f>
        <v>168.971948374475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16.1999889123019</v>
      </c>
      <c r="N376" s="16" t="n">
        <f aca="false">IF(D376="","",(I376+M376)/2)</f>
        <v>15.991494456151</v>
      </c>
      <c r="O376" s="16" t="n">
        <f aca="false">IF(D376="","",G376*N376)</f>
        <v>1.33688893653422</v>
      </c>
      <c r="P376" s="16" t="n">
        <f aca="false">IF(D376="","",H376+E376-K376-O376)</f>
        <v>168.95451823794</v>
      </c>
      <c r="Q376" s="16" t="n">
        <f aca="false">IF(D376="","",IF(P376&gt;=0,K376,MAX(0,K376+P376)))</f>
        <v>1.119744</v>
      </c>
      <c r="R376" s="16" t="n">
        <f aca="false">IF(D376="","",Q376/$B$15)</f>
        <v>0.432</v>
      </c>
      <c r="S376" s="16" t="n">
        <f aca="false">IF(D376="","",MAX(0,J376-R376))</f>
        <v>0</v>
      </c>
      <c r="T376" s="16" t="n">
        <f aca="false">IF(D376="","",MAX(0,Z376-$B$8))</f>
        <v>6.95451823794028</v>
      </c>
      <c r="U376" s="16" t="n">
        <f aca="false">IF(D376="","",MAX(0,MIN($B$8,Z376)))</f>
        <v>162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100</v>
      </c>
      <c r="Z376" s="18" t="n">
        <f aca="false">IF(D376="","",MAX(0,IF(P376&gt;=0,P376,IF(K376+P376&gt;=0,0,P376+K376))))</f>
        <v>168.95451823794</v>
      </c>
      <c r="AA376" s="18" t="n">
        <f aca="false">IF(D376="","",IF(H376&lt;=$B$16,1,IF(H376&gt;=$B$17,$B$21,MATCH(H376,Aux_CAV!$A$2:$A$121,1))))</f>
        <v>23</v>
      </c>
      <c r="AB376" s="18" t="n">
        <f aca="false">IF(D376="","",IF(L376&lt;=$B$16,1,IF(L376&gt;=$B$17,$B$21,MATCH(L376,Aux_CAV!$A$2:$A$121,1))))</f>
        <v>23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2.1500956988171</v>
      </c>
      <c r="E377" s="16" t="n">
        <f aca="false">IF(D377="","",D377*$B$15)</f>
        <v>5.57304805133392</v>
      </c>
      <c r="F377" s="16" t="n">
        <f aca="false" t="array" ref="F377:F377">IF(D377="","",IFERROR(INDEX(Dados_Evap!$C$2:$N$15,MATCH($B$9,Dados_Evap!$A$2:$A$15,0),C377),0))</f>
        <v>108.2</v>
      </c>
      <c r="G377" s="16" t="n">
        <f aca="false">IF(F377="","",F377/1000)</f>
        <v>0.1082</v>
      </c>
      <c r="H377" s="16" t="n">
        <f aca="false">IF(D377="","",MAX(0,MIN($B$8,IFERROR(LOOKUP(2,1/($U$24:U376&lt;&gt;""),$U$24:U376),$B$11))))</f>
        <v>162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15.783</v>
      </c>
      <c r="J377" s="16" t="n">
        <f aca="false">IF(D377="","",$B$12)</f>
        <v>0.432</v>
      </c>
      <c r="K377" s="16" t="n">
        <f aca="false">IF(J377="","",J377*$B$15)</f>
        <v>1.119744</v>
      </c>
      <c r="L377" s="16" t="n">
        <f aca="false">IF(D377="","",H377+E377-K377-G377*I377)</f>
        <v>164.745583451334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15.9472120388036</v>
      </c>
      <c r="N377" s="16" t="n">
        <f aca="false">IF(D377="","",(I377+M377)/2)</f>
        <v>15.8651060194018</v>
      </c>
      <c r="O377" s="16" t="n">
        <f aca="false">IF(D377="","",G377*N377)</f>
        <v>1.71660447129927</v>
      </c>
      <c r="P377" s="16" t="n">
        <f aca="false">IF(D377="","",H377+E377-K377-O377)</f>
        <v>164.736699580035</v>
      </c>
      <c r="Q377" s="16" t="n">
        <f aca="false">IF(D377="","",IF(P377&gt;=0,K377,MAX(0,K377+P377)))</f>
        <v>1.119744</v>
      </c>
      <c r="R377" s="16" t="n">
        <f aca="false">IF(D377="","",Q377/$B$15)</f>
        <v>0.432</v>
      </c>
      <c r="S377" s="16" t="n">
        <f aca="false">IF(D377="","",MAX(0,J377-R377))</f>
        <v>0</v>
      </c>
      <c r="T377" s="16" t="n">
        <f aca="false">IF(D377="","",MAX(0,Z377-$B$8))</f>
        <v>2.73669958003467</v>
      </c>
      <c r="U377" s="16" t="n">
        <f aca="false">IF(D377="","",MAX(0,MIN($B$8,Z377)))</f>
        <v>162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100</v>
      </c>
      <c r="Z377" s="18" t="n">
        <f aca="false">IF(D377="","",MAX(0,IF(P377&gt;=0,P377,IF(K377+P377&gt;=0,0,P377+K377))))</f>
        <v>164.736699580035</v>
      </c>
      <c r="AA377" s="18" t="n">
        <f aca="false">IF(D377="","",IF(H377&lt;=$B$16,1,IF(H377&gt;=$B$17,$B$21,MATCH(H377,Aux_CAV!$A$2:$A$121,1))))</f>
        <v>23</v>
      </c>
      <c r="AB377" s="18" t="n">
        <f aca="false">IF(D377="","",IF(L377&lt;=$B$16,1,IF(L377&gt;=$B$17,$B$21,MATCH(L377,Aux_CAV!$A$2:$A$121,1))))</f>
        <v>23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2.01229142707939</v>
      </c>
      <c r="E378" s="16" t="n">
        <f aca="false">IF(D378="","",D378*$B$15)</f>
        <v>5.21585937898978</v>
      </c>
      <c r="F378" s="16" t="n">
        <f aca="false" t="array" ref="F378:F378">IF(D378="","",IFERROR(INDEX(Dados_Evap!$C$2:$N$15,MATCH($B$9,Dados_Evap!$A$2:$A$15,0),C378),0))</f>
        <v>149</v>
      </c>
      <c r="G378" s="16" t="n">
        <f aca="false">IF(F378="","",F378/1000)</f>
        <v>0.149</v>
      </c>
      <c r="H378" s="16" t="n">
        <f aca="false">IF(D378="","",MAX(0,MIN($B$8,IFERROR(LOOKUP(2,1/($U$24:U377&lt;&gt;""),$U$24:U377),$B$11))))</f>
        <v>162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15.783</v>
      </c>
      <c r="J378" s="16" t="n">
        <f aca="false">IF(D378="","",$B$12)</f>
        <v>0.432</v>
      </c>
      <c r="K378" s="16" t="n">
        <f aca="false">IF(J378="","",J378*$B$15)</f>
        <v>1.119744</v>
      </c>
      <c r="L378" s="16" t="n">
        <f aca="false">IF(D378="","",H378+E378-K378-G378*I378)</f>
        <v>163.74444837899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15.8873346268577</v>
      </c>
      <c r="N378" s="16" t="n">
        <f aca="false">IF(D378="","",(I378+M378)/2)</f>
        <v>15.8351673134288</v>
      </c>
      <c r="O378" s="16" t="n">
        <f aca="false">IF(D378="","",G378*N378)</f>
        <v>2.3594399297009</v>
      </c>
      <c r="P378" s="16" t="n">
        <f aca="false">IF(D378="","",H378+E378-K378-O378)</f>
        <v>163.736675449289</v>
      </c>
      <c r="Q378" s="16" t="n">
        <f aca="false">IF(D378="","",IF(P378&gt;=0,K378,MAX(0,K378+P378)))</f>
        <v>1.119744</v>
      </c>
      <c r="R378" s="16" t="n">
        <f aca="false">IF(D378="","",Q378/$B$15)</f>
        <v>0.432</v>
      </c>
      <c r="S378" s="16" t="n">
        <f aca="false">IF(D378="","",MAX(0,J378-R378))</f>
        <v>0</v>
      </c>
      <c r="T378" s="16" t="n">
        <f aca="false">IF(D378="","",MAX(0,Z378-$B$8))</f>
        <v>1.7366754492889</v>
      </c>
      <c r="U378" s="16" t="n">
        <f aca="false">IF(D378="","",MAX(0,MIN($B$8,Z378)))</f>
        <v>162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100</v>
      </c>
      <c r="Z378" s="18" t="n">
        <f aca="false">IF(D378="","",MAX(0,IF(P378&gt;=0,P378,IF(K378+P378&gt;=0,0,P378+K378))))</f>
        <v>163.736675449289</v>
      </c>
      <c r="AA378" s="18" t="n">
        <f aca="false">IF(D378="","",IF(H378&lt;=$B$16,1,IF(H378&gt;=$B$17,$B$21,MATCH(H378,Aux_CAV!$A$2:$A$121,1))))</f>
        <v>23</v>
      </c>
      <c r="AB378" s="18" t="n">
        <f aca="false">IF(D378="","",IF(L378&lt;=$B$16,1,IF(L378&gt;=$B$17,$B$21,MATCH(L378,Aux_CAV!$A$2:$A$121,1))))</f>
        <v>23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1.45665006129653</v>
      </c>
      <c r="E379" s="16" t="n">
        <f aca="false">IF(D379="","",D379*$B$15)</f>
        <v>3.77563695888061</v>
      </c>
      <c r="F379" s="16" t="n">
        <f aca="false" t="array" ref="F379:F379">IF(D379="","",IFERROR(INDEX(Dados_Evap!$C$2:$N$15,MATCH($B$9,Dados_Evap!$A$2:$A$15,0),C379),0))</f>
        <v>206.8</v>
      </c>
      <c r="G379" s="16" t="n">
        <f aca="false">IF(F379="","",F379/1000)</f>
        <v>0.2068</v>
      </c>
      <c r="H379" s="16" t="n">
        <f aca="false">IF(D379="","",MAX(0,MIN($B$8,IFERROR(LOOKUP(2,1/($U$24:U378&lt;&gt;""),$U$24:U378),$B$11))))</f>
        <v>162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15.783</v>
      </c>
      <c r="J379" s="16" t="n">
        <f aca="false">IF(D379="","",$B$12)</f>
        <v>0.432</v>
      </c>
      <c r="K379" s="16" t="n">
        <f aca="false">IF(J379="","",J379*$B$15)</f>
        <v>1.119744</v>
      </c>
      <c r="L379" s="16" t="n">
        <f aca="false">IF(D379="","",H379+E379-K379-G379*I379)</f>
        <v>161.391968558881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15.7387311974796</v>
      </c>
      <c r="N379" s="16" t="n">
        <f aca="false">IF(D379="","",(I379+M379)/2)</f>
        <v>15.7608655987398</v>
      </c>
      <c r="O379" s="16" t="n">
        <f aca="false">IF(D379="","",G379*N379)</f>
        <v>3.2593470058194</v>
      </c>
      <c r="P379" s="16" t="n">
        <f aca="false">IF(D379="","",H379+E379-K379-O379)</f>
        <v>161.396545953061</v>
      </c>
      <c r="Q379" s="16" t="n">
        <f aca="false">IF(D379="","",IF(P379&gt;=0,K379,MAX(0,K379+P379)))</f>
        <v>1.119744</v>
      </c>
      <c r="R379" s="16" t="n">
        <f aca="false">IF(D379="","",Q379/$B$15)</f>
        <v>0.432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161.396545953061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99.6274975018896</v>
      </c>
      <c r="Z379" s="18" t="n">
        <f aca="false">IF(D379="","",MAX(0,IF(P379&gt;=0,P379,IF(K379+P379&gt;=0,0,P379+K379))))</f>
        <v>161.396545953061</v>
      </c>
      <c r="AA379" s="18" t="n">
        <f aca="false">IF(D379="","",IF(H379&lt;=$B$16,1,IF(H379&gt;=$B$17,$B$21,MATCH(H379,Aux_CAV!$A$2:$A$121,1))))</f>
        <v>23</v>
      </c>
      <c r="AB379" s="18" t="n">
        <f aca="false">IF(D379="","",IF(L379&lt;=$B$16,1,IF(L379&gt;=$B$17,$B$21,MATCH(L379,Aux_CAV!$A$2:$A$121,1))))</f>
        <v>22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0.971200974384374</v>
      </c>
      <c r="E380" s="16" t="n">
        <f aca="false">IF(D380="","",D380*$B$15)</f>
        <v>2.5173529256043</v>
      </c>
      <c r="F380" s="16" t="n">
        <f aca="false" t="array" ref="F380:F380">IF(D380="","",IFERROR(INDEX(Dados_Evap!$C$2:$N$15,MATCH($B$9,Dados_Evap!$A$2:$A$15,0),C380),0))</f>
        <v>245.9</v>
      </c>
      <c r="G380" s="16" t="n">
        <f aca="false">IF(F380="","",F380/1000)</f>
        <v>0.2459</v>
      </c>
      <c r="H380" s="16" t="n">
        <f aca="false">IF(D380="","",MAX(0,MIN($B$8,IFERROR(LOOKUP(2,1/($U$24:U379&lt;&gt;""),$U$24:U379),$B$11))))</f>
        <v>161.396545953061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15.7390644627441</v>
      </c>
      <c r="J380" s="16" t="n">
        <f aca="false">IF(D380="","",$B$12)</f>
        <v>0.432</v>
      </c>
      <c r="K380" s="16" t="n">
        <f aca="false">IF(J380="","",J380*$B$15)</f>
        <v>1.119744</v>
      </c>
      <c r="L380" s="16" t="n">
        <f aca="false">IF(D380="","",H380+E380-K380-G380*I380)</f>
        <v>158.923918927277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15.5590404868303</v>
      </c>
      <c r="N380" s="16" t="n">
        <f aca="false">IF(D380="","",(I380+M380)/2)</f>
        <v>15.6490524747872</v>
      </c>
      <c r="O380" s="16" t="n">
        <f aca="false">IF(D380="","",G380*N380)</f>
        <v>3.84810200355017</v>
      </c>
      <c r="P380" s="16" t="n">
        <f aca="false">IF(D380="","",H380+E380-K380-O380)</f>
        <v>158.946052875115</v>
      </c>
      <c r="Q380" s="16" t="n">
        <f aca="false">IF(D380="","",IF(P380&gt;=0,K380,MAX(0,K380+P380)))</f>
        <v>1.119744</v>
      </c>
      <c r="R380" s="16" t="n">
        <f aca="false">IF(D380="","",Q380/$B$15)</f>
        <v>0.432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158.946052875115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98.1148474537749</v>
      </c>
      <c r="Z380" s="18" t="n">
        <f aca="false">IF(D380="","",MAX(0,IF(P380&gt;=0,P380,IF(K380+P380&gt;=0,0,P380+K380))))</f>
        <v>158.946052875115</v>
      </c>
      <c r="AA380" s="18" t="n">
        <f aca="false">IF(D380="","",IF(H380&lt;=$B$16,1,IF(H380&gt;=$B$17,$B$21,MATCH(H380,Aux_CAV!$A$2:$A$121,1))))</f>
        <v>22</v>
      </c>
      <c r="AB380" s="18" t="n">
        <f aca="false">IF(D380="","",IF(L380&lt;=$B$16,1,IF(L380&gt;=$B$17,$B$21,MATCH(L380,Aux_CAV!$A$2:$A$121,1))))</f>
        <v>22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1.65963042296046</v>
      </c>
      <c r="E381" s="16" t="n">
        <f aca="false">IF(D381="","",D381*$B$15)</f>
        <v>4.30176205631351</v>
      </c>
      <c r="F381" s="16" t="n">
        <f aca="false" t="array" ref="F381:F381">IF(D381="","",IFERROR(INDEX(Dados_Evap!$C$2:$N$15,MATCH($B$9,Dados_Evap!$A$2:$A$15,0),C381),0))</f>
        <v>282.3</v>
      </c>
      <c r="G381" s="16" t="n">
        <f aca="false">IF(F381="","",F381/1000)</f>
        <v>0.2823</v>
      </c>
      <c r="H381" s="16" t="n">
        <f aca="false">IF(D381="","",MAX(0,MIN($B$8,IFERROR(LOOKUP(2,1/($U$24:U380&lt;&gt;""),$U$24:U380),$B$11))))</f>
        <v>158.946052875115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15.5606519879791</v>
      </c>
      <c r="J381" s="16" t="n">
        <f aca="false">IF(D381="","",$B$12)</f>
        <v>0.432</v>
      </c>
      <c r="K381" s="16" t="n">
        <f aca="false">IF(J381="","",J381*$B$15)</f>
        <v>1.119744</v>
      </c>
      <c r="L381" s="16" t="n">
        <f aca="false">IF(D381="","",H381+E381-K381-G381*I381)</f>
        <v>157.735298875222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15.4725009054901</v>
      </c>
      <c r="N381" s="16" t="n">
        <f aca="false">IF(D381="","",(I381+M381)/2)</f>
        <v>15.5165764467346</v>
      </c>
      <c r="O381" s="16" t="n">
        <f aca="false">IF(D381="","",G381*N381)</f>
        <v>4.38032953091317</v>
      </c>
      <c r="P381" s="16" t="n">
        <f aca="false">IF(D381="","",H381+E381-K381-O381)</f>
        <v>157.747741400516</v>
      </c>
      <c r="Q381" s="16" t="n">
        <f aca="false">IF(D381="","",IF(P381&gt;=0,K381,MAX(0,K381+P381)))</f>
        <v>1.119744</v>
      </c>
      <c r="R381" s="16" t="n">
        <f aca="false">IF(D381="","",Q381/$B$15)</f>
        <v>0.432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157.747741400516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97.375149012664</v>
      </c>
      <c r="Z381" s="18" t="n">
        <f aca="false">IF(D381="","",MAX(0,IF(P381&gt;=0,P381,IF(K381+P381&gt;=0,0,P381+K381))))</f>
        <v>157.747741400516</v>
      </c>
      <c r="AA381" s="18" t="n">
        <f aca="false">IF(D381="","",IF(H381&lt;=$B$16,1,IF(H381&gt;=$B$17,$B$21,MATCH(H381,Aux_CAV!$A$2:$A$121,1))))</f>
        <v>22</v>
      </c>
      <c r="AB381" s="18" t="n">
        <f aca="false">IF(D381="","",IF(L381&lt;=$B$16,1,IF(L381&gt;=$B$17,$B$21,MATCH(L381,Aux_CAV!$A$2:$A$121,1))))</f>
        <v>22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0.754309766495894</v>
      </c>
      <c r="E382" s="16" t="n">
        <f aca="false">IF(D382="","",D382*$B$15)</f>
        <v>1.95517091475736</v>
      </c>
      <c r="F382" s="16" t="n">
        <f aca="false" t="array" ref="F382:F382">IF(D382="","",IFERROR(INDEX(Dados_Evap!$C$2:$N$15,MATCH($B$9,Dados_Evap!$A$2:$A$15,0),C382),0))</f>
        <v>241.3</v>
      </c>
      <c r="G382" s="16" t="n">
        <f aca="false">IF(F382="","",F382/1000)</f>
        <v>0.2413</v>
      </c>
      <c r="H382" s="16" t="n">
        <f aca="false">IF(D382="","",MAX(0,MIN($B$8,IFERROR(LOOKUP(2,1/($U$24:U381&lt;&gt;""),$U$24:U381),$B$11))))</f>
        <v>157.747741400516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15.4734068055108</v>
      </c>
      <c r="J382" s="16" t="n">
        <f aca="false">IF(D382="","",$B$12)</f>
        <v>0.432</v>
      </c>
      <c r="K382" s="16" t="n">
        <f aca="false">IF(J382="","",J382*$B$15)</f>
        <v>1.119744</v>
      </c>
      <c r="L382" s="16" t="n">
        <f aca="false">IF(D382="","",H382+E382-K382-G382*I382)</f>
        <v>154.849435253103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15.2623905096312</v>
      </c>
      <c r="N382" s="16" t="n">
        <f aca="false">IF(D382="","",(I382+M382)/2)</f>
        <v>15.367898657571</v>
      </c>
      <c r="O382" s="16" t="n">
        <f aca="false">IF(D382="","",G382*N382)</f>
        <v>3.70827394607188</v>
      </c>
      <c r="P382" s="16" t="n">
        <f aca="false">IF(D382="","",H382+E382-K382-O382)</f>
        <v>154.874894369201</v>
      </c>
      <c r="Q382" s="16" t="n">
        <f aca="false">IF(D382="","",IF(P382&gt;=0,K382,MAX(0,K382+P382)))</f>
        <v>1.119744</v>
      </c>
      <c r="R382" s="16" t="n">
        <f aca="false">IF(D382="","",Q382/$B$15)</f>
        <v>0.432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154.874894369201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95.6017866476551</v>
      </c>
      <c r="Z382" s="18" t="n">
        <f aca="false">IF(D382="","",MAX(0,IF(P382&gt;=0,P382,IF(K382+P382&gt;=0,0,P382+K382))))</f>
        <v>154.874894369201</v>
      </c>
      <c r="AA382" s="18" t="n">
        <f aca="false">IF(D382="","",IF(H382&lt;=$B$16,1,IF(H382&gt;=$B$17,$B$21,MATCH(H382,Aux_CAV!$A$2:$A$121,1))))</f>
        <v>22</v>
      </c>
      <c r="AB382" s="18" t="n">
        <f aca="false">IF(D382="","",IF(L382&lt;=$B$16,1,IF(L382&gt;=$B$17,$B$21,MATCH(L382,Aux_CAV!$A$2:$A$121,1))))</f>
        <v>22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0.509419104702824</v>
      </c>
      <c r="E383" s="16" t="n">
        <f aca="false">IF(D383="","",D383*$B$15)</f>
        <v>1.32041431938972</v>
      </c>
      <c r="F383" s="16" t="n">
        <f aca="false" t="array" ref="F383:F383">IF(D383="","",IFERROR(INDEX(Dados_Evap!$C$2:$N$15,MATCH($B$9,Dados_Evap!$A$2:$A$15,0),C383),0))</f>
        <v>241.8</v>
      </c>
      <c r="G383" s="16" t="n">
        <f aca="false">IF(F383="","",F383/1000)</f>
        <v>0.2418</v>
      </c>
      <c r="H383" s="16" t="n">
        <f aca="false">IF(D383="","",MAX(0,MIN($B$8,IFERROR(LOOKUP(2,1/($U$24:U382&lt;&gt;""),$U$24:U382),$B$11))))</f>
        <v>154.874894369201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15.2642441055255</v>
      </c>
      <c r="J383" s="16" t="n">
        <f aca="false">IF(D383="","",$B$12)</f>
        <v>0.432</v>
      </c>
      <c r="K383" s="16" t="n">
        <f aca="false">IF(J383="","",J383*$B$15)</f>
        <v>1.119744</v>
      </c>
      <c r="L383" s="16" t="n">
        <f aca="false">IF(D383="","",H383+E383-K383-G383*I383)</f>
        <v>151.384670463875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15.0101321922793</v>
      </c>
      <c r="N383" s="16" t="n">
        <f aca="false">IF(D383="","",(I383+M383)/2)</f>
        <v>15.1371881489024</v>
      </c>
      <c r="O383" s="16" t="n">
        <f aca="false">IF(D383="","",G383*N383)</f>
        <v>3.6601720944046</v>
      </c>
      <c r="P383" s="16" t="n">
        <f aca="false">IF(D383="","",H383+E383-K383-O383)</f>
        <v>151.415392594186</v>
      </c>
      <c r="Q383" s="16" t="n">
        <f aca="false">IF(D383="","",IF(P383&gt;=0,K383,MAX(0,K383+P383)))</f>
        <v>1.119744</v>
      </c>
      <c r="R383" s="16" t="n">
        <f aca="false">IF(D383="","",Q383/$B$15)</f>
        <v>0.432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151.415392594186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93.4662917248064</v>
      </c>
      <c r="Z383" s="18" t="n">
        <f aca="false">IF(D383="","",MAX(0,IF(P383&gt;=0,P383,IF(K383+P383&gt;=0,0,P383+K383))))</f>
        <v>151.415392594186</v>
      </c>
      <c r="AA383" s="18" t="n">
        <f aca="false">IF(D383="","",IF(H383&lt;=$B$16,1,IF(H383&gt;=$B$17,$B$21,MATCH(H383,Aux_CAV!$A$2:$A$121,1))))</f>
        <v>22</v>
      </c>
      <c r="AB383" s="18" t="n">
        <f aca="false">IF(D383="","",IF(L383&lt;=$B$16,1,IF(L383&gt;=$B$17,$B$21,MATCH(L383,Aux_CAV!$A$2:$A$121,1))))</f>
        <v>22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1.66865556430572</v>
      </c>
      <c r="E384" s="16" t="n">
        <f aca="false">IF(D384="","",D384*$B$15)</f>
        <v>4.32515522268043</v>
      </c>
      <c r="F384" s="16" t="n">
        <f aca="false" t="array" ref="F384:F384">IF(D384="","",IFERROR(INDEX(Dados_Evap!$C$2:$N$15,MATCH($B$9,Dados_Evap!$A$2:$A$15,0),C384),0))</f>
        <v>189</v>
      </c>
      <c r="G384" s="16" t="n">
        <f aca="false">IF(F384="","",F384/1000)</f>
        <v>0.189</v>
      </c>
      <c r="H384" s="16" t="n">
        <f aca="false">IF(D384="","",MAX(0,MIN($B$8,IFERROR(LOOKUP(2,1/($U$24:U383&lt;&gt;""),$U$24:U383),$B$11))))</f>
        <v>151.415392594186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15.012368971215</v>
      </c>
      <c r="J384" s="16" t="n">
        <f aca="false">IF(D384="","",$B$12)</f>
        <v>0.432</v>
      </c>
      <c r="K384" s="16" t="n">
        <f aca="false">IF(J384="","",J384*$B$15)</f>
        <v>1.119744</v>
      </c>
      <c r="L384" s="16" t="n">
        <f aca="false">IF(D384="","",H384+E384-K384-G384*I384)</f>
        <v>151.783466081307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15.0391672112605</v>
      </c>
      <c r="N384" s="16" t="n">
        <f aca="false">IF(D384="","",(I384+M384)/2)</f>
        <v>15.0257680912378</v>
      </c>
      <c r="O384" s="16" t="n">
        <f aca="false">IF(D384="","",G384*N384)</f>
        <v>2.83987016924394</v>
      </c>
      <c r="P384" s="16" t="n">
        <f aca="false">IF(D384="","",H384+E384-K384-O384)</f>
        <v>151.780933647623</v>
      </c>
      <c r="Q384" s="16" t="n">
        <f aca="false">IF(D384="","",IF(P384&gt;=0,K384,MAX(0,K384+P384)))</f>
        <v>1.119744</v>
      </c>
      <c r="R384" s="16" t="n">
        <f aca="false">IF(D384="","",Q384/$B$15)</f>
        <v>0.432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151.780933647623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93.6919343503844</v>
      </c>
      <c r="Z384" s="18" t="n">
        <f aca="false">IF(D384="","",MAX(0,IF(P384&gt;=0,P384,IF(K384+P384&gt;=0,0,P384+K384))))</f>
        <v>151.780933647623</v>
      </c>
      <c r="AA384" s="18" t="n">
        <f aca="false">IF(D384="","",IF(H384&lt;=$B$16,1,IF(H384&gt;=$B$17,$B$21,MATCH(H384,Aux_CAV!$A$2:$A$121,1))))</f>
        <v>22</v>
      </c>
      <c r="AB384" s="18" t="n">
        <f aca="false">IF(D384="","",IF(L384&lt;=$B$16,1,IF(L384&gt;=$B$17,$B$21,MATCH(L384,Aux_CAV!$A$2:$A$121,1))))</f>
        <v>22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1.7431806291335</v>
      </c>
      <c r="E385" s="16" t="n">
        <f aca="false">IF(D385="","",D385*$B$15)</f>
        <v>4.51832419071403</v>
      </c>
      <c r="F385" s="16" t="n">
        <f aca="false" t="array" ref="F385:F385">IF(D385="","",IFERROR(INDEX(Dados_Evap!$C$2:$N$15,MATCH($B$9,Dados_Evap!$A$2:$A$15,0),C385),0))</f>
        <v>136.9</v>
      </c>
      <c r="G385" s="16" t="n">
        <f aca="false">IF(F385="","",F385/1000)</f>
        <v>0.1369</v>
      </c>
      <c r="H385" s="16" t="n">
        <f aca="false">IF(D385="","",MAX(0,MIN($B$8,IFERROR(LOOKUP(2,1/($U$24:U384&lt;&gt;""),$U$24:U384),$B$11))))</f>
        <v>151.780933647623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15.0389828329552</v>
      </c>
      <c r="J385" s="16" t="n">
        <f aca="false">IF(D385="","",$B$12)</f>
        <v>0.432</v>
      </c>
      <c r="K385" s="16" t="n">
        <f aca="false">IF(J385="","",J385*$B$15)</f>
        <v>1.119744</v>
      </c>
      <c r="L385" s="16" t="n">
        <f aca="false">IF(D385="","",H385+E385-K385-G385*I385)</f>
        <v>153.120677088505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15.13652521942</v>
      </c>
      <c r="N385" s="16" t="n">
        <f aca="false">IF(D385="","",(I385+M385)/2)</f>
        <v>15.0877540261876</v>
      </c>
      <c r="O385" s="16" t="n">
        <f aca="false">IF(D385="","",G385*N385)</f>
        <v>2.06551352618508</v>
      </c>
      <c r="P385" s="16" t="n">
        <f aca="false">IF(D385="","",H385+E385-K385-O385)</f>
        <v>153.114000312152</v>
      </c>
      <c r="Q385" s="16" t="n">
        <f aca="false">IF(D385="","",IF(P385&gt;=0,K385,MAX(0,K385+P385)))</f>
        <v>1.119744</v>
      </c>
      <c r="R385" s="16" t="n">
        <f aca="false">IF(D385="","",Q385/$B$15)</f>
        <v>0.432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153.114000312152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94.5148150075011</v>
      </c>
      <c r="Z385" s="18" t="n">
        <f aca="false">IF(D385="","",MAX(0,IF(P385&gt;=0,P385,IF(K385+P385&gt;=0,0,P385+K385))))</f>
        <v>153.114000312152</v>
      </c>
      <c r="AA385" s="18" t="n">
        <f aca="false">IF(D385="","",IF(H385&lt;=$B$16,1,IF(H385&gt;=$B$17,$B$21,MATCH(H385,Aux_CAV!$A$2:$A$121,1))))</f>
        <v>22</v>
      </c>
      <c r="AB385" s="18" t="n">
        <f aca="false">IF(D385="","",IF(L385&lt;=$B$16,1,IF(L385&gt;=$B$17,$B$21,MATCH(L385,Aux_CAV!$A$2:$A$121,1))))</f>
        <v>22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6.37199330839303</v>
      </c>
      <c r="E386" s="16" t="n">
        <f aca="false">IF(D386="","",D386*$B$15)</f>
        <v>16.5162066553547</v>
      </c>
      <c r="F386" s="16" t="n">
        <f aca="false" t="array" ref="F386:F386">IF(D386="","",IFERROR(INDEX(Dados_Evap!$C$2:$N$15,MATCH($B$9,Dados_Evap!$A$2:$A$15,0),C386),0))</f>
        <v>102.9</v>
      </c>
      <c r="G386" s="16" t="n">
        <f aca="false">IF(F386="","",F386/1000)</f>
        <v>0.1029</v>
      </c>
      <c r="H386" s="16" t="n">
        <f aca="false">IF(D386="","",MAX(0,MIN($B$8,IFERROR(LOOKUP(2,1/($U$24:U385&lt;&gt;""),$U$24:U385),$B$11))))</f>
        <v>153.114000312152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15.13603910493</v>
      </c>
      <c r="J386" s="16" t="n">
        <f aca="false">IF(D386="","",$B$12)</f>
        <v>0.432</v>
      </c>
      <c r="K386" s="16" t="n">
        <f aca="false">IF(J386="","",J386*$B$15)</f>
        <v>1.119744</v>
      </c>
      <c r="L386" s="16" t="n">
        <f aca="false">IF(D386="","",H386+E386-K386-G386*I386)</f>
        <v>166.952964543609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16.0792344507987</v>
      </c>
      <c r="N386" s="16" t="n">
        <f aca="false">IF(D386="","",(I386+M386)/2)</f>
        <v>15.6076367778644</v>
      </c>
      <c r="O386" s="16" t="n">
        <f aca="false">IF(D386="","",G386*N386)</f>
        <v>1.60602582444224</v>
      </c>
      <c r="P386" s="16" t="n">
        <f aca="false">IF(D386="","",H386+E386-K386-O386)</f>
        <v>166.904437143064</v>
      </c>
      <c r="Q386" s="16" t="n">
        <f aca="false">IF(D386="","",IF(P386&gt;=0,K386,MAX(0,K386+P386)))</f>
        <v>1.119744</v>
      </c>
      <c r="R386" s="16" t="n">
        <f aca="false">IF(D386="","",Q386/$B$15)</f>
        <v>0.432</v>
      </c>
      <c r="S386" s="16" t="n">
        <f aca="false">IF(D386="","",MAX(0,J386-R386))</f>
        <v>0</v>
      </c>
      <c r="T386" s="16" t="n">
        <f aca="false">IF(D386="","",MAX(0,Z386-$B$8))</f>
        <v>4.90443714306423</v>
      </c>
      <c r="U386" s="16" t="n">
        <f aca="false">IF(D386="","",MAX(0,MIN($B$8,Z386)))</f>
        <v>162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100</v>
      </c>
      <c r="Z386" s="18" t="n">
        <f aca="false">IF(D386="","",MAX(0,IF(P386&gt;=0,P386,IF(K386+P386&gt;=0,0,P386+K386))))</f>
        <v>166.904437143064</v>
      </c>
      <c r="AA386" s="18" t="n">
        <f aca="false">IF(D386="","",IF(H386&lt;=$B$16,1,IF(H386&gt;=$B$17,$B$21,MATCH(H386,Aux_CAV!$A$2:$A$121,1))))</f>
        <v>22</v>
      </c>
      <c r="AB386" s="18" t="n">
        <f aca="false">IF(D386="","",IF(L386&lt;=$B$16,1,IF(L386&gt;=$B$17,$B$21,MATCH(L386,Aux_CAV!$A$2:$A$121,1))))</f>
        <v>23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23.025578997351</v>
      </c>
      <c r="E387" s="16" t="n">
        <f aca="false">IF(D387="","",D387*$B$15)</f>
        <v>59.6823007611338</v>
      </c>
      <c r="F387" s="16" t="n">
        <f aca="false" t="array" ref="F387:F387">IF(D387="","",IFERROR(INDEX(Dados_Evap!$C$2:$N$15,MATCH($B$9,Dados_Evap!$A$2:$A$15,0),C387),0))</f>
        <v>81.8</v>
      </c>
      <c r="G387" s="16" t="n">
        <f aca="false">IF(F387="","",F387/1000)</f>
        <v>0.0818</v>
      </c>
      <c r="H387" s="16" t="n">
        <f aca="false">IF(D387="","",MAX(0,MIN($B$8,IFERROR(LOOKUP(2,1/($U$24:U386&lt;&gt;""),$U$24:U386),$B$11))))</f>
        <v>162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15.783</v>
      </c>
      <c r="J387" s="16" t="n">
        <f aca="false">IF(D387="","",$B$12)</f>
        <v>0.432</v>
      </c>
      <c r="K387" s="16" t="n">
        <f aca="false">IF(J387="","",J387*$B$15)</f>
        <v>1.119744</v>
      </c>
      <c r="L387" s="16" t="n">
        <f aca="false">IF(D387="","",H387+E387-K387-G387*I387)</f>
        <v>219.271507361134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19.2083815831231</v>
      </c>
      <c r="N387" s="16" t="n">
        <f aca="false">IF(D387="","",(I387+M387)/2)</f>
        <v>17.4956907915615</v>
      </c>
      <c r="O387" s="16" t="n">
        <f aca="false">IF(D387="","",G387*N387)</f>
        <v>1.43114750674973</v>
      </c>
      <c r="P387" s="16" t="n">
        <f aca="false">IF(D387="","",H387+E387-K387-O387)</f>
        <v>219.131409254384</v>
      </c>
      <c r="Q387" s="16" t="n">
        <f aca="false">IF(D387="","",IF(P387&gt;=0,K387,MAX(0,K387+P387)))</f>
        <v>1.119744</v>
      </c>
      <c r="R387" s="16" t="n">
        <f aca="false">IF(D387="","",Q387/$B$15)</f>
        <v>0.432</v>
      </c>
      <c r="S387" s="16" t="n">
        <f aca="false">IF(D387="","",MAX(0,J387-R387))</f>
        <v>0</v>
      </c>
      <c r="T387" s="16" t="n">
        <f aca="false">IF(D387="","",MAX(0,Z387-$B$8))</f>
        <v>57.1314092543841</v>
      </c>
      <c r="U387" s="16" t="n">
        <f aca="false">IF(D387="","",MAX(0,MIN($B$8,Z387)))</f>
        <v>162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219.131409254384</v>
      </c>
      <c r="AA387" s="18" t="n">
        <f aca="false">IF(D387="","",IF(H387&lt;=$B$16,1,IF(H387&gt;=$B$17,$B$21,MATCH(H387,Aux_CAV!$A$2:$A$121,1))))</f>
        <v>23</v>
      </c>
      <c r="AB387" s="18" t="n">
        <f aca="false">IF(D387="","",IF(L387&lt;=$B$16,1,IF(L387&gt;=$B$17,$B$21,MATCH(L387,Aux_CAV!$A$2:$A$121,1))))</f>
        <v>23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30.7372047157561</v>
      </c>
      <c r="E388" s="16" t="n">
        <f aca="false">IF(D388="","",D388*$B$15)</f>
        <v>79.6708346232398</v>
      </c>
      <c r="F388" s="16" t="n">
        <f aca="false" t="array" ref="F388:F388">IF(D388="","",IFERROR(INDEX(Dados_Evap!$C$2:$N$15,MATCH($B$9,Dados_Evap!$A$2:$A$15,0),C388),0))</f>
        <v>83.6</v>
      </c>
      <c r="G388" s="16" t="n">
        <f aca="false">IF(F388="","",F388/1000)</f>
        <v>0.0836</v>
      </c>
      <c r="H388" s="16" t="n">
        <f aca="false">IF(D388="","",MAX(0,MIN($B$8,IFERROR(LOOKUP(2,1/($U$24:U387&lt;&gt;""),$U$24:U387),$B$11))))</f>
        <v>162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15.783</v>
      </c>
      <c r="J388" s="16" t="n">
        <f aca="false">IF(D388="","",$B$12)</f>
        <v>0.432</v>
      </c>
      <c r="K388" s="16" t="n">
        <f aca="false">IF(J388="","",J388*$B$15)</f>
        <v>1.119744</v>
      </c>
      <c r="L388" s="16" t="n">
        <f aca="false">IF(D388="","",H388+E388-K388-G388*I388)</f>
        <v>239.23163182324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20.4021871223804</v>
      </c>
      <c r="N388" s="16" t="n">
        <f aca="false">IF(D388="","",(I388+M388)/2)</f>
        <v>18.0925935611902</v>
      </c>
      <c r="O388" s="16" t="n">
        <f aca="false">IF(D388="","",G388*N388)</f>
        <v>1.5125408217155</v>
      </c>
      <c r="P388" s="16" t="n">
        <f aca="false">IF(D388="","",H388+E388-K388-O388)</f>
        <v>239.038549801524</v>
      </c>
      <c r="Q388" s="16" t="n">
        <f aca="false">IF(D388="","",IF(P388&gt;=0,K388,MAX(0,K388+P388)))</f>
        <v>1.119744</v>
      </c>
      <c r="R388" s="16" t="n">
        <f aca="false">IF(D388="","",Q388/$B$15)</f>
        <v>0.432</v>
      </c>
      <c r="S388" s="16" t="n">
        <f aca="false">IF(D388="","",MAX(0,J388-R388))</f>
        <v>0</v>
      </c>
      <c r="T388" s="16" t="n">
        <f aca="false">IF(D388="","",MAX(0,Z388-$B$8))</f>
        <v>77.0385498015243</v>
      </c>
      <c r="U388" s="16" t="n">
        <f aca="false">IF(D388="","",MAX(0,MIN($B$8,Z388)))</f>
        <v>162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239.038549801524</v>
      </c>
      <c r="AA388" s="18" t="n">
        <f aca="false">IF(D388="","",IF(H388&lt;=$B$16,1,IF(H388&gt;=$B$17,$B$21,MATCH(H388,Aux_CAV!$A$2:$A$121,1))))</f>
        <v>23</v>
      </c>
      <c r="AB388" s="18" t="n">
        <f aca="false">IF(D388="","",IF(L388&lt;=$B$16,1,IF(L388&gt;=$B$17,$B$21,MATCH(L388,Aux_CAV!$A$2:$A$121,1))))</f>
        <v>23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18.9229943305973</v>
      </c>
      <c r="E389" s="16" t="n">
        <f aca="false">IF(D389="","",D389*$B$15)</f>
        <v>49.0484013049082</v>
      </c>
      <c r="F389" s="16" t="n">
        <f aca="false" t="array" ref="F389:F389">IF(D389="","",IFERROR(INDEX(Dados_Evap!$C$2:$N$15,MATCH($B$9,Dados_Evap!$A$2:$A$15,0),C389),0))</f>
        <v>108.2</v>
      </c>
      <c r="G389" s="16" t="n">
        <f aca="false">IF(F389="","",F389/1000)</f>
        <v>0.1082</v>
      </c>
      <c r="H389" s="16" t="n">
        <f aca="false">IF(D389="","",MAX(0,MIN($B$8,IFERROR(LOOKUP(2,1/($U$24:U388&lt;&gt;""),$U$24:U388),$B$11))))</f>
        <v>162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15.783</v>
      </c>
      <c r="J389" s="16" t="n">
        <f aca="false">IF(D389="","",$B$12)</f>
        <v>0.432</v>
      </c>
      <c r="K389" s="16" t="n">
        <f aca="false">IF(J389="","",J389*$B$15)</f>
        <v>1.119744</v>
      </c>
      <c r="L389" s="16" t="n">
        <f aca="false">IF(D389="","",H389+E389-K389-G389*I389)</f>
        <v>208.220936704908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18.5474522143507</v>
      </c>
      <c r="N389" s="16" t="n">
        <f aca="false">IF(D389="","",(I389+M389)/2)</f>
        <v>17.1652261071754</v>
      </c>
      <c r="O389" s="16" t="n">
        <f aca="false">IF(D389="","",G389*N389)</f>
        <v>1.85727746479637</v>
      </c>
      <c r="P389" s="16" t="n">
        <f aca="false">IF(D389="","",H389+E389-K389-O389)</f>
        <v>208.071379840112</v>
      </c>
      <c r="Q389" s="16" t="n">
        <f aca="false">IF(D389="","",IF(P389&gt;=0,K389,MAX(0,K389+P389)))</f>
        <v>1.119744</v>
      </c>
      <c r="R389" s="16" t="n">
        <f aca="false">IF(D389="","",Q389/$B$15)</f>
        <v>0.432</v>
      </c>
      <c r="S389" s="16" t="n">
        <f aca="false">IF(D389="","",MAX(0,J389-R389))</f>
        <v>0</v>
      </c>
      <c r="T389" s="16" t="n">
        <f aca="false">IF(D389="","",MAX(0,Z389-$B$8))</f>
        <v>46.0713798401119</v>
      </c>
      <c r="U389" s="16" t="n">
        <f aca="false">IF(D389="","",MAX(0,MIN($B$8,Z389)))</f>
        <v>162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208.071379840112</v>
      </c>
      <c r="AA389" s="18" t="n">
        <f aca="false">IF(D389="","",IF(H389&lt;=$B$16,1,IF(H389&gt;=$B$17,$B$21,MATCH(H389,Aux_CAV!$A$2:$A$121,1))))</f>
        <v>23</v>
      </c>
      <c r="AB389" s="18" t="n">
        <f aca="false">IF(D389="","",IF(L389&lt;=$B$16,1,IF(L389&gt;=$B$17,$B$21,MATCH(L389,Aux_CAV!$A$2:$A$121,1))))</f>
        <v>23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10.1096437295073</v>
      </c>
      <c r="E390" s="16" t="n">
        <f aca="false">IF(D390="","",D390*$B$15)</f>
        <v>26.2041965468829</v>
      </c>
      <c r="F390" s="16" t="n">
        <f aca="false" t="array" ref="F390:F390">IF(D390="","",IFERROR(INDEX(Dados_Evap!$C$2:$N$15,MATCH($B$9,Dados_Evap!$A$2:$A$15,0),C390),0))</f>
        <v>149</v>
      </c>
      <c r="G390" s="16" t="n">
        <f aca="false">IF(F390="","",F390/1000)</f>
        <v>0.149</v>
      </c>
      <c r="H390" s="16" t="n">
        <f aca="false">IF(D390="","",MAX(0,MIN($B$8,IFERROR(LOOKUP(2,1/($U$24:U389&lt;&gt;""),$U$24:U389),$B$11))))</f>
        <v>162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15.783</v>
      </c>
      <c r="J390" s="16" t="n">
        <f aca="false">IF(D390="","",$B$12)</f>
        <v>0.432</v>
      </c>
      <c r="K390" s="16" t="n">
        <f aca="false">IF(J390="","",J390*$B$15)</f>
        <v>1.119744</v>
      </c>
      <c r="L390" s="16" t="n">
        <f aca="false">IF(D390="","",H390+E390-K390-G390*I390)</f>
        <v>184.732785546883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17.1426370784231</v>
      </c>
      <c r="N390" s="16" t="n">
        <f aca="false">IF(D390="","",(I390+M390)/2)</f>
        <v>16.4628185392115</v>
      </c>
      <c r="O390" s="16" t="n">
        <f aca="false">IF(D390="","",G390*N390)</f>
        <v>2.45295996234252</v>
      </c>
      <c r="P390" s="16" t="n">
        <f aca="false">IF(D390="","",H390+E390-K390-O390)</f>
        <v>184.63149258454</v>
      </c>
      <c r="Q390" s="16" t="n">
        <f aca="false">IF(D390="","",IF(P390&gt;=0,K390,MAX(0,K390+P390)))</f>
        <v>1.119744</v>
      </c>
      <c r="R390" s="16" t="n">
        <f aca="false">IF(D390="","",Q390/$B$15)</f>
        <v>0.432</v>
      </c>
      <c r="S390" s="16" t="n">
        <f aca="false">IF(D390="","",MAX(0,J390-R390))</f>
        <v>0</v>
      </c>
      <c r="T390" s="16" t="n">
        <f aca="false">IF(D390="","",MAX(0,Z390-$B$8))</f>
        <v>22.6314925845404</v>
      </c>
      <c r="U390" s="16" t="n">
        <f aca="false">IF(D390="","",MAX(0,MIN($B$8,Z390)))</f>
        <v>162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100</v>
      </c>
      <c r="Z390" s="18" t="n">
        <f aca="false">IF(D390="","",MAX(0,IF(P390&gt;=0,P390,IF(K390+P390&gt;=0,0,P390+K390))))</f>
        <v>184.63149258454</v>
      </c>
      <c r="AA390" s="18" t="n">
        <f aca="false">IF(D390="","",IF(H390&lt;=$B$16,1,IF(H390&gt;=$B$17,$B$21,MATCH(H390,Aux_CAV!$A$2:$A$121,1))))</f>
        <v>23</v>
      </c>
      <c r="AB390" s="18" t="n">
        <f aca="false">IF(D390="","",IF(L390&lt;=$B$16,1,IF(L390&gt;=$B$17,$B$21,MATCH(L390,Aux_CAV!$A$2:$A$121,1))))</f>
        <v>23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2.73979841718084</v>
      </c>
      <c r="E391" s="16" t="n">
        <f aca="false">IF(D391="","",D391*$B$15)</f>
        <v>7.10155749733274</v>
      </c>
      <c r="F391" s="16" t="n">
        <f aca="false" t="array" ref="F391:F391">IF(D391="","",IFERROR(INDEX(Dados_Evap!$C$2:$N$15,MATCH($B$9,Dados_Evap!$A$2:$A$15,0),C391),0))</f>
        <v>206.8</v>
      </c>
      <c r="G391" s="16" t="n">
        <f aca="false">IF(F391="","",F391/1000)</f>
        <v>0.2068</v>
      </c>
      <c r="H391" s="16" t="n">
        <f aca="false">IF(D391="","",MAX(0,MIN($B$8,IFERROR(LOOKUP(2,1/($U$24:U390&lt;&gt;""),$U$24:U390),$B$11))))</f>
        <v>162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15.783</v>
      </c>
      <c r="J391" s="16" t="n">
        <f aca="false">IF(D391="","",$B$12)</f>
        <v>0.432</v>
      </c>
      <c r="K391" s="16" t="n">
        <f aca="false">IF(J391="","",J391*$B$15)</f>
        <v>1.119744</v>
      </c>
      <c r="L391" s="16" t="n">
        <f aca="false">IF(D391="","",H391+E391-K391-G391*I391)</f>
        <v>164.717889097333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15.9455556526786</v>
      </c>
      <c r="N391" s="16" t="n">
        <f aca="false">IF(D391="","",(I391+M391)/2)</f>
        <v>15.8642778263393</v>
      </c>
      <c r="O391" s="16" t="n">
        <f aca="false">IF(D391="","",G391*N391)</f>
        <v>3.28073265448696</v>
      </c>
      <c r="P391" s="16" t="n">
        <f aca="false">IF(D391="","",H391+E391-K391-O391)</f>
        <v>164.701080842846</v>
      </c>
      <c r="Q391" s="16" t="n">
        <f aca="false">IF(D391="","",IF(P391&gt;=0,K391,MAX(0,K391+P391)))</f>
        <v>1.119744</v>
      </c>
      <c r="R391" s="16" t="n">
        <f aca="false">IF(D391="","",Q391/$B$15)</f>
        <v>0.432</v>
      </c>
      <c r="S391" s="16" t="n">
        <f aca="false">IF(D391="","",MAX(0,J391-R391))</f>
        <v>0</v>
      </c>
      <c r="T391" s="16" t="n">
        <f aca="false">IF(D391="","",MAX(0,Z391-$B$8))</f>
        <v>2.70108084284578</v>
      </c>
      <c r="U391" s="16" t="n">
        <f aca="false">IF(D391="","",MAX(0,MIN($B$8,Z391)))</f>
        <v>162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100</v>
      </c>
      <c r="Z391" s="18" t="n">
        <f aca="false">IF(D391="","",MAX(0,IF(P391&gt;=0,P391,IF(K391+P391&gt;=0,0,P391+K391))))</f>
        <v>164.701080842846</v>
      </c>
      <c r="AA391" s="18" t="n">
        <f aca="false">IF(D391="","",IF(H391&lt;=$B$16,1,IF(H391&gt;=$B$17,$B$21,MATCH(H391,Aux_CAV!$A$2:$A$121,1))))</f>
        <v>23</v>
      </c>
      <c r="AB391" s="18" t="n">
        <f aca="false">IF(D391="","",IF(L391&lt;=$B$16,1,IF(L391&gt;=$B$17,$B$21,MATCH(L391,Aux_CAV!$A$2:$A$121,1))))</f>
        <v>23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1.5446213450823</v>
      </c>
      <c r="E392" s="16" t="n">
        <f aca="false">IF(D392="","",D392*$B$15)</f>
        <v>4.00365852645332</v>
      </c>
      <c r="F392" s="16" t="n">
        <f aca="false" t="array" ref="F392:F392">IF(D392="","",IFERROR(INDEX(Dados_Evap!$C$2:$N$15,MATCH($B$9,Dados_Evap!$A$2:$A$15,0),C392),0))</f>
        <v>245.9</v>
      </c>
      <c r="G392" s="16" t="n">
        <f aca="false">IF(F392="","",F392/1000)</f>
        <v>0.2459</v>
      </c>
      <c r="H392" s="16" t="n">
        <f aca="false">IF(D392="","",MAX(0,MIN($B$8,IFERROR(LOOKUP(2,1/($U$24:U391&lt;&gt;""),$U$24:U391),$B$11))))</f>
        <v>162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15.783</v>
      </c>
      <c r="J392" s="16" t="n">
        <f aca="false">IF(D392="","",$B$12)</f>
        <v>0.432</v>
      </c>
      <c r="K392" s="16" t="n">
        <f aca="false">IF(J392="","",J392*$B$15)</f>
        <v>1.119744</v>
      </c>
      <c r="L392" s="16" t="n">
        <f aca="false">IF(D392="","",H392+E392-K392-G392*I392)</f>
        <v>161.002874826453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15.7104025413644</v>
      </c>
      <c r="N392" s="16" t="n">
        <f aca="false">IF(D392="","",(I392+M392)/2)</f>
        <v>15.7467012706822</v>
      </c>
      <c r="O392" s="16" t="n">
        <f aca="false">IF(D392="","",G392*N392)</f>
        <v>3.87211384246075</v>
      </c>
      <c r="P392" s="16" t="n">
        <f aca="false">IF(D392="","",H392+E392-K392-O392)</f>
        <v>161.011800683993</v>
      </c>
      <c r="Q392" s="16" t="n">
        <f aca="false">IF(D392="","",IF(P392&gt;=0,K392,MAX(0,K392+P392)))</f>
        <v>1.119744</v>
      </c>
      <c r="R392" s="16" t="n">
        <f aca="false">IF(D392="","",Q392/$B$15)</f>
        <v>0.432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161.011800683993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99.3900004222176</v>
      </c>
      <c r="Z392" s="18" t="n">
        <f aca="false">IF(D392="","",MAX(0,IF(P392&gt;=0,P392,IF(K392+P392&gt;=0,0,P392+K392))))</f>
        <v>161.011800683993</v>
      </c>
      <c r="AA392" s="18" t="n">
        <f aca="false">IF(D392="","",IF(H392&lt;=$B$16,1,IF(H392&gt;=$B$17,$B$21,MATCH(H392,Aux_CAV!$A$2:$A$121,1))))</f>
        <v>23</v>
      </c>
      <c r="AB392" s="18" t="n">
        <f aca="false">IF(D392="","",IF(L392&lt;=$B$16,1,IF(L392&gt;=$B$17,$B$21,MATCH(L392,Aux_CAV!$A$2:$A$121,1))))</f>
        <v>22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1.3925509102503</v>
      </c>
      <c r="E393" s="16" t="n">
        <f aca="false">IF(D393="","",D393*$B$15)</f>
        <v>3.60949195936878</v>
      </c>
      <c r="F393" s="16" t="n">
        <f aca="false" t="array" ref="F393:F393">IF(D393="","",IFERROR(INDEX(Dados_Evap!$C$2:$N$15,MATCH($B$9,Dados_Evap!$A$2:$A$15,0),C393),0))</f>
        <v>282.3</v>
      </c>
      <c r="G393" s="16" t="n">
        <f aca="false">IF(F393="","",F393/1000)</f>
        <v>0.2823</v>
      </c>
      <c r="H393" s="16" t="n">
        <f aca="false">IF(D393="","",MAX(0,MIN($B$8,IFERROR(LOOKUP(2,1/($U$24:U392&lt;&gt;""),$U$24:U392),$B$11))))</f>
        <v>161.011800683993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15.7110524041807</v>
      </c>
      <c r="J393" s="16" t="n">
        <f aca="false">IF(D393="","",$B$12)</f>
        <v>0.432</v>
      </c>
      <c r="K393" s="16" t="n">
        <f aca="false">IF(J393="","",J393*$B$15)</f>
        <v>1.119744</v>
      </c>
      <c r="L393" s="16" t="n">
        <f aca="false">IF(D393="","",H393+E393-K393-G393*I393)</f>
        <v>159.066318549661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15.5694081427375</v>
      </c>
      <c r="N393" s="16" t="n">
        <f aca="false">IF(D393="","",(I393+M393)/2)</f>
        <v>15.6402302734591</v>
      </c>
      <c r="O393" s="16" t="n">
        <f aca="false">IF(D393="","",G393*N393)</f>
        <v>4.41523700619751</v>
      </c>
      <c r="P393" s="16" t="n">
        <f aca="false">IF(D393="","",H393+E393-K393-O393)</f>
        <v>159.086311637164</v>
      </c>
      <c r="Q393" s="16" t="n">
        <f aca="false">IF(D393="","",IF(P393&gt;=0,K393,MAX(0,K393+P393)))</f>
        <v>1.119744</v>
      </c>
      <c r="R393" s="16" t="n">
        <f aca="false">IF(D393="","",Q393/$B$15)</f>
        <v>0.432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159.086311637164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98.2014269365209</v>
      </c>
      <c r="Z393" s="18" t="n">
        <f aca="false">IF(D393="","",MAX(0,IF(P393&gt;=0,P393,IF(K393+P393&gt;=0,0,P393+K393))))</f>
        <v>159.086311637164</v>
      </c>
      <c r="AA393" s="18" t="n">
        <f aca="false">IF(D393="","",IF(H393&lt;=$B$16,1,IF(H393&gt;=$B$17,$B$21,MATCH(H393,Aux_CAV!$A$2:$A$121,1))))</f>
        <v>22</v>
      </c>
      <c r="AB393" s="18" t="n">
        <f aca="false">IF(D393="","",IF(L393&lt;=$B$16,1,IF(L393&gt;=$B$17,$B$21,MATCH(L393,Aux_CAV!$A$2:$A$121,1))))</f>
        <v>22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0.826187103404423</v>
      </c>
      <c r="E394" s="16" t="n">
        <f aca="false">IF(D394="","",D394*$B$15)</f>
        <v>2.14147697202426</v>
      </c>
      <c r="F394" s="16" t="n">
        <f aca="false" t="array" ref="F394:F394">IF(D394="","",IFERROR(INDEX(Dados_Evap!$C$2:$N$15,MATCH($B$9,Dados_Evap!$A$2:$A$15,0),C394),0))</f>
        <v>241.3</v>
      </c>
      <c r="G394" s="16" t="n">
        <f aca="false">IF(F394="","",F394/1000)</f>
        <v>0.2413</v>
      </c>
      <c r="H394" s="16" t="n">
        <f aca="false">IF(D394="","",MAX(0,MIN($B$8,IFERROR(LOOKUP(2,1/($U$24:U393&lt;&gt;""),$U$24:U393),$B$11))))</f>
        <v>159.086311637164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15.57086377477</v>
      </c>
      <c r="J394" s="16" t="n">
        <f aca="false">IF(D394="","",$B$12)</f>
        <v>0.432</v>
      </c>
      <c r="K394" s="16" t="n">
        <f aca="false">IF(J394="","",J394*$B$15)</f>
        <v>1.119744</v>
      </c>
      <c r="L394" s="16" t="n">
        <f aca="false">IF(D394="","",H394+E394-K394-G394*I394)</f>
        <v>156.350795180336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15.3716996697106</v>
      </c>
      <c r="N394" s="16" t="n">
        <f aca="false">IF(D394="","",(I394+M394)/2)</f>
        <v>15.4712817222403</v>
      </c>
      <c r="O394" s="16" t="n">
        <f aca="false">IF(D394="","",G394*N394)</f>
        <v>3.73322027957658</v>
      </c>
      <c r="P394" s="16" t="n">
        <f aca="false">IF(D394="","",H394+E394-K394-O394)</f>
        <v>156.374824329612</v>
      </c>
      <c r="Q394" s="16" t="n">
        <f aca="false">IF(D394="","",IF(P394&gt;=0,K394,MAX(0,K394+P394)))</f>
        <v>1.119744</v>
      </c>
      <c r="R394" s="16" t="n">
        <f aca="false">IF(D394="","",Q394/$B$15)</f>
        <v>0.432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156.374824329612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96.5276693392664</v>
      </c>
      <c r="Z394" s="18" t="n">
        <f aca="false">IF(D394="","",MAX(0,IF(P394&gt;=0,P394,IF(K394+P394&gt;=0,0,P394+K394))))</f>
        <v>156.374824329612</v>
      </c>
      <c r="AA394" s="18" t="n">
        <f aca="false">IF(D394="","",IF(H394&lt;=$B$16,1,IF(H394&gt;=$B$17,$B$21,MATCH(H394,Aux_CAV!$A$2:$A$121,1))))</f>
        <v>22</v>
      </c>
      <c r="AB394" s="18" t="n">
        <f aca="false">IF(D394="","",IF(L394&lt;=$B$16,1,IF(L394&gt;=$B$17,$B$21,MATCH(L394,Aux_CAV!$A$2:$A$121,1))))</f>
        <v>22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1.04627578680835</v>
      </c>
      <c r="E395" s="16" t="n">
        <f aca="false">IF(D395="","",D395*$B$15)</f>
        <v>2.71194683940724</v>
      </c>
      <c r="F395" s="16" t="n">
        <f aca="false" t="array" ref="F395:F395">IF(D395="","",IFERROR(INDEX(Dados_Evap!$C$2:$N$15,MATCH($B$9,Dados_Evap!$A$2:$A$15,0),C395),0))</f>
        <v>241.8</v>
      </c>
      <c r="G395" s="16" t="n">
        <f aca="false">IF(F395="","",F395/1000)</f>
        <v>0.2418</v>
      </c>
      <c r="H395" s="16" t="n">
        <f aca="false">IF(D395="","",MAX(0,MIN($B$8,IFERROR(LOOKUP(2,1/($U$24:U394&lt;&gt;""),$U$24:U394),$B$11))))</f>
        <v>156.374824329612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15.3734491543459</v>
      </c>
      <c r="J395" s="16" t="n">
        <f aca="false">IF(D395="","",$B$12)</f>
        <v>0.432</v>
      </c>
      <c r="K395" s="16" t="n">
        <f aca="false">IF(J395="","",J395*$B$15)</f>
        <v>1.119744</v>
      </c>
      <c r="L395" s="16" t="n">
        <f aca="false">IF(D395="","",H395+E395-K395-G395*I395)</f>
        <v>154.249727163498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15.2187277034123</v>
      </c>
      <c r="N395" s="16" t="n">
        <f aca="false">IF(D395="","",(I395+M395)/2)</f>
        <v>15.2960884288791</v>
      </c>
      <c r="O395" s="16" t="n">
        <f aca="false">IF(D395="","",G395*N395)</f>
        <v>3.69859418210296</v>
      </c>
      <c r="P395" s="16" t="n">
        <f aca="false">IF(D395="","",H395+E395-K395-O395)</f>
        <v>154.268432986916</v>
      </c>
      <c r="Q395" s="16" t="n">
        <f aca="false">IF(D395="","",IF(P395&gt;=0,K395,MAX(0,K395+P395)))</f>
        <v>1.119744</v>
      </c>
      <c r="R395" s="16" t="n">
        <f aca="false">IF(D395="","",Q395/$B$15)</f>
        <v>0.432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154.268432986916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95.2274277697011</v>
      </c>
      <c r="Z395" s="18" t="n">
        <f aca="false">IF(D395="","",MAX(0,IF(P395&gt;=0,P395,IF(K395+P395&gt;=0,0,P395+K395))))</f>
        <v>154.268432986916</v>
      </c>
      <c r="AA395" s="18" t="n">
        <f aca="false">IF(D395="","",IF(H395&lt;=$B$16,1,IF(H395&gt;=$B$17,$B$21,MATCH(H395,Aux_CAV!$A$2:$A$121,1))))</f>
        <v>22</v>
      </c>
      <c r="AB395" s="18" t="n">
        <f aca="false">IF(D395="","",IF(L395&lt;=$B$16,1,IF(L395&gt;=$B$17,$B$21,MATCH(L395,Aux_CAV!$A$2:$A$121,1))))</f>
        <v>22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0.994565200348085</v>
      </c>
      <c r="E396" s="16" t="n">
        <f aca="false">IF(D396="","",D396*$B$15)</f>
        <v>2.57791299930224</v>
      </c>
      <c r="F396" s="16" t="n">
        <f aca="false" t="array" ref="F396:F396">IF(D396="","",IFERROR(INDEX(Dados_Evap!$C$2:$N$15,MATCH($B$9,Dados_Evap!$A$2:$A$15,0),C396),0))</f>
        <v>189</v>
      </c>
      <c r="G396" s="16" t="n">
        <f aca="false">IF(F396="","",F396/1000)</f>
        <v>0.189</v>
      </c>
      <c r="H396" s="16" t="n">
        <f aca="false">IF(D396="","",MAX(0,MIN($B$8,IFERROR(LOOKUP(2,1/($U$24:U395&lt;&gt;""),$U$24:U395),$B$11))))</f>
        <v>154.268432986916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15.2200896139104</v>
      </c>
      <c r="J396" s="16" t="n">
        <f aca="false">IF(D396="","",$B$12)</f>
        <v>0.432</v>
      </c>
      <c r="K396" s="16" t="n">
        <f aca="false">IF(J396="","",J396*$B$15)</f>
        <v>1.119744</v>
      </c>
      <c r="L396" s="16" t="n">
        <f aca="false">IF(D396="","",H396+E396-K396-G396*I396)</f>
        <v>152.850005049189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15.1168184637393</v>
      </c>
      <c r="N396" s="16" t="n">
        <f aca="false">IF(D396="","",(I396+M396)/2)</f>
        <v>15.1684540388249</v>
      </c>
      <c r="O396" s="16" t="n">
        <f aca="false">IF(D396="","",G396*N396)</f>
        <v>2.8668378133379</v>
      </c>
      <c r="P396" s="16" t="n">
        <f aca="false">IF(D396="","",H396+E396-K396-O396)</f>
        <v>152.85976417288</v>
      </c>
      <c r="Q396" s="16" t="n">
        <f aca="false">IF(D396="","",IF(P396&gt;=0,K396,MAX(0,K396+P396)))</f>
        <v>1.119744</v>
      </c>
      <c r="R396" s="16" t="n">
        <f aca="false">IF(D396="","",Q396/$B$15)</f>
        <v>0.432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152.85976417288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94.3578791190618</v>
      </c>
      <c r="Z396" s="18" t="n">
        <f aca="false">IF(D396="","",MAX(0,IF(P396&gt;=0,P396,IF(K396+P396&gt;=0,0,P396+K396))))</f>
        <v>152.85976417288</v>
      </c>
      <c r="AA396" s="18" t="n">
        <f aca="false">IF(D396="","",IF(H396&lt;=$B$16,1,IF(H396&gt;=$B$17,$B$21,MATCH(H396,Aux_CAV!$A$2:$A$121,1))))</f>
        <v>22</v>
      </c>
      <c r="AB396" s="18" t="n">
        <f aca="false">IF(D396="","",IF(L396&lt;=$B$16,1,IF(L396&gt;=$B$17,$B$21,MATCH(L396,Aux_CAV!$A$2:$A$121,1))))</f>
        <v>22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1.60227348270195</v>
      </c>
      <c r="E397" s="16" t="n">
        <f aca="false">IF(D397="","",D397*$B$15)</f>
        <v>4.15309286716346</v>
      </c>
      <c r="F397" s="16" t="n">
        <f aca="false" t="array" ref="F397:F397">IF(D397="","",IFERROR(INDEX(Dados_Evap!$C$2:$N$15,MATCH($B$9,Dados_Evap!$A$2:$A$15,0),C397),0))</f>
        <v>136.9</v>
      </c>
      <c r="G397" s="16" t="n">
        <f aca="false">IF(F397="","",F397/1000)</f>
        <v>0.1369</v>
      </c>
      <c r="H397" s="16" t="n">
        <f aca="false">IF(D397="","",MAX(0,MIN($B$8,IFERROR(LOOKUP(2,1/($U$24:U396&lt;&gt;""),$U$24:U396),$B$11))))</f>
        <v>152.85976417288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15.1175289939689</v>
      </c>
      <c r="J397" s="16" t="n">
        <f aca="false">IF(D397="","",$B$12)</f>
        <v>0.432</v>
      </c>
      <c r="K397" s="16" t="n">
        <f aca="false">IF(J397="","",J397*$B$15)</f>
        <v>1.119744</v>
      </c>
      <c r="L397" s="16" t="n">
        <f aca="false">IF(D397="","",H397+E397-K397-G397*I397)</f>
        <v>153.823523320769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15.1876971802005</v>
      </c>
      <c r="N397" s="16" t="n">
        <f aca="false">IF(D397="","",(I397+M397)/2)</f>
        <v>15.1526130870847</v>
      </c>
      <c r="O397" s="16" t="n">
        <f aca="false">IF(D397="","",G397*N397)</f>
        <v>2.07439273162189</v>
      </c>
      <c r="P397" s="16" t="n">
        <f aca="false">IF(D397="","",H397+E397-K397-O397)</f>
        <v>153.818720308422</v>
      </c>
      <c r="Q397" s="16" t="n">
        <f aca="false">IF(D397="","",IF(P397&gt;=0,K397,MAX(0,K397+P397)))</f>
        <v>1.119744</v>
      </c>
      <c r="R397" s="16" t="n">
        <f aca="false">IF(D397="","",Q397/$B$15)</f>
        <v>0.432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153.818720308422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94.9498273508776</v>
      </c>
      <c r="Z397" s="18" t="n">
        <f aca="false">IF(D397="","",MAX(0,IF(P397&gt;=0,P397,IF(K397+P397&gt;=0,0,P397+K397))))</f>
        <v>153.818720308422</v>
      </c>
      <c r="AA397" s="18" t="n">
        <f aca="false">IF(D397="","",IF(H397&lt;=$B$16,1,IF(H397&gt;=$B$17,$B$21,MATCH(H397,Aux_CAV!$A$2:$A$121,1))))</f>
        <v>22</v>
      </c>
      <c r="AB397" s="18" t="n">
        <f aca="false">IF(D397="","",IF(L397&lt;=$B$16,1,IF(L397&gt;=$B$17,$B$21,MATCH(L397,Aux_CAV!$A$2:$A$121,1))))</f>
        <v>22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4.08603317644035</v>
      </c>
      <c r="E398" s="16" t="n">
        <f aca="false">IF(D398="","",D398*$B$15)</f>
        <v>10.5909979933334</v>
      </c>
      <c r="F398" s="16" t="n">
        <f aca="false" t="array" ref="F398:F398">IF(D398="","",IFERROR(INDEX(Dados_Evap!$C$2:$N$15,MATCH($B$9,Dados_Evap!$A$2:$A$15,0),C398),0))</f>
        <v>102.9</v>
      </c>
      <c r="G398" s="16" t="n">
        <f aca="false">IF(F398="","",F398/1000)</f>
        <v>0.1029</v>
      </c>
      <c r="H398" s="16" t="n">
        <f aca="false">IF(D398="","",MAX(0,MIN($B$8,IFERROR(LOOKUP(2,1/($U$24:U397&lt;&gt;""),$U$24:U397),$B$11))))</f>
        <v>153.818720308422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15.187347488407</v>
      </c>
      <c r="J398" s="16" t="n">
        <f aca="false">IF(D398="","",$B$12)</f>
        <v>0.432</v>
      </c>
      <c r="K398" s="16" t="n">
        <f aca="false">IF(J398="","",J398*$B$15)</f>
        <v>1.119744</v>
      </c>
      <c r="L398" s="16" t="n">
        <f aca="false">IF(D398="","",H398+E398-K398-G398*I398)</f>
        <v>161.727196245198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15.76313804101</v>
      </c>
      <c r="N398" s="16" t="n">
        <f aca="false">IF(D398="","",(I398+M398)/2)</f>
        <v>15.4752427647085</v>
      </c>
      <c r="O398" s="16" t="n">
        <f aca="false">IF(D398="","",G398*N398)</f>
        <v>1.59240248048851</v>
      </c>
      <c r="P398" s="16" t="n">
        <f aca="false">IF(D398="","",H398+E398-K398-O398)</f>
        <v>161.697571821267</v>
      </c>
      <c r="Q398" s="16" t="n">
        <f aca="false">IF(D398="","",IF(P398&gt;=0,K398,MAX(0,K398+P398)))</f>
        <v>1.119744</v>
      </c>
      <c r="R398" s="16" t="n">
        <f aca="false">IF(D398="","",Q398/$B$15)</f>
        <v>0.432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161.697571821267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99.8133159390534</v>
      </c>
      <c r="Z398" s="18" t="n">
        <f aca="false">IF(D398="","",MAX(0,IF(P398&gt;=0,P398,IF(K398+P398&gt;=0,0,P398+K398))))</f>
        <v>161.697571821267</v>
      </c>
      <c r="AA398" s="18" t="n">
        <f aca="false">IF(D398="","",IF(H398&lt;=$B$16,1,IF(H398&gt;=$B$17,$B$21,MATCH(H398,Aux_CAV!$A$2:$A$121,1))))</f>
        <v>22</v>
      </c>
      <c r="AB398" s="18" t="n">
        <f aca="false">IF(D398="","",IF(L398&lt;=$B$16,1,IF(L398&gt;=$B$17,$B$21,MATCH(L398,Aux_CAV!$A$2:$A$121,1))))</f>
        <v>22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9.33071323030874</v>
      </c>
      <c r="E399" s="16" t="n">
        <f aca="false">IF(D399="","",D399*$B$15)</f>
        <v>24.1852086929603</v>
      </c>
      <c r="F399" s="16" t="n">
        <f aca="false" t="array" ref="F399:F399">IF(D399="","",IFERROR(INDEX(Dados_Evap!$C$2:$N$15,MATCH($B$9,Dados_Evap!$A$2:$A$15,0),C399),0))</f>
        <v>81.8</v>
      </c>
      <c r="G399" s="16" t="n">
        <f aca="false">IF(F399="","",F399/1000)</f>
        <v>0.0818</v>
      </c>
      <c r="H399" s="16" t="n">
        <f aca="false">IF(D399="","",MAX(0,MIN($B$8,IFERROR(LOOKUP(2,1/($U$24:U398&lt;&gt;""),$U$24:U398),$B$11))))</f>
        <v>161.697571821267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15.7609811825252</v>
      </c>
      <c r="J399" s="16" t="n">
        <f aca="false">IF(D399="","",$B$12)</f>
        <v>0.432</v>
      </c>
      <c r="K399" s="16" t="n">
        <f aca="false">IF(J399="","",J399*$B$15)</f>
        <v>1.119744</v>
      </c>
      <c r="L399" s="16" t="n">
        <f aca="false">IF(D399="","",H399+E399-K399-G399*I399)</f>
        <v>183.473788253496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17.0673370498282</v>
      </c>
      <c r="N399" s="16" t="n">
        <f aca="false">IF(D399="","",(I399+M399)/2)</f>
        <v>16.4141591161767</v>
      </c>
      <c r="O399" s="16" t="n">
        <f aca="false">IF(D399="","",G399*N399)</f>
        <v>1.34267821570325</v>
      </c>
      <c r="P399" s="16" t="n">
        <f aca="false">IF(D399="","",H399+E399-K399-O399)</f>
        <v>183.420358298524</v>
      </c>
      <c r="Q399" s="16" t="n">
        <f aca="false">IF(D399="","",IF(P399&gt;=0,K399,MAX(0,K399+P399)))</f>
        <v>1.119744</v>
      </c>
      <c r="R399" s="16" t="n">
        <f aca="false">IF(D399="","",Q399/$B$15)</f>
        <v>0.432</v>
      </c>
      <c r="S399" s="16" t="n">
        <f aca="false">IF(D399="","",MAX(0,J399-R399))</f>
        <v>0</v>
      </c>
      <c r="T399" s="16" t="n">
        <f aca="false">IF(D399="","",MAX(0,Z399-$B$8))</f>
        <v>21.4203582985236</v>
      </c>
      <c r="U399" s="16" t="n">
        <f aca="false">IF(D399="","",MAX(0,MIN($B$8,Z399)))</f>
        <v>162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100</v>
      </c>
      <c r="Z399" s="18" t="n">
        <f aca="false">IF(D399="","",MAX(0,IF(P399&gt;=0,P399,IF(K399+P399&gt;=0,0,P399+K399))))</f>
        <v>183.420358298524</v>
      </c>
      <c r="AA399" s="18" t="n">
        <f aca="false">IF(D399="","",IF(H399&lt;=$B$16,1,IF(H399&gt;=$B$17,$B$21,MATCH(H399,Aux_CAV!$A$2:$A$121,1))))</f>
        <v>22</v>
      </c>
      <c r="AB399" s="18" t="n">
        <f aca="false">IF(D399="","",IF(L399&lt;=$B$16,1,IF(L399&gt;=$B$17,$B$21,MATCH(L399,Aux_CAV!$A$2:$A$121,1))))</f>
        <v>23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4.39737040096767</v>
      </c>
      <c r="E400" s="16" t="n">
        <f aca="false">IF(D400="","",D400*$B$15)</f>
        <v>11.3979840793082</v>
      </c>
      <c r="F400" s="16" t="n">
        <f aca="false" t="array" ref="F400:F400">IF(D400="","",IFERROR(INDEX(Dados_Evap!$C$2:$N$15,MATCH($B$9,Dados_Evap!$A$2:$A$15,0),C400),0))</f>
        <v>83.6</v>
      </c>
      <c r="G400" s="16" t="n">
        <f aca="false">IF(F400="","",F400/1000)</f>
        <v>0.0836</v>
      </c>
      <c r="H400" s="16" t="n">
        <f aca="false">IF(D400="","",MAX(0,MIN($B$8,IFERROR(LOOKUP(2,1/($U$24:U399&lt;&gt;""),$U$24:U399),$B$11))))</f>
        <v>162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15.783</v>
      </c>
      <c r="J400" s="16" t="n">
        <f aca="false">IF(D400="","",$B$12)</f>
        <v>0.432</v>
      </c>
      <c r="K400" s="16" t="n">
        <f aca="false">IF(J400="","",J400*$B$15)</f>
        <v>1.119744</v>
      </c>
      <c r="L400" s="16" t="n">
        <f aca="false">IF(D400="","",H400+E400-K400-G400*I400)</f>
        <v>170.958781279308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16.3188204422291</v>
      </c>
      <c r="N400" s="16" t="n">
        <f aca="false">IF(D400="","",(I400+M400)/2)</f>
        <v>16.0509102211146</v>
      </c>
      <c r="O400" s="16" t="n">
        <f aca="false">IF(D400="","",G400*N400)</f>
        <v>1.34185609448518</v>
      </c>
      <c r="P400" s="16" t="n">
        <f aca="false">IF(D400="","",H400+E400-K400-O400)</f>
        <v>170.936383984823</v>
      </c>
      <c r="Q400" s="16" t="n">
        <f aca="false">IF(D400="","",IF(P400&gt;=0,K400,MAX(0,K400+P400)))</f>
        <v>1.119744</v>
      </c>
      <c r="R400" s="16" t="n">
        <f aca="false">IF(D400="","",Q400/$B$15)</f>
        <v>0.432</v>
      </c>
      <c r="S400" s="16" t="n">
        <f aca="false">IF(D400="","",MAX(0,J400-R400))</f>
        <v>0</v>
      </c>
      <c r="T400" s="16" t="n">
        <f aca="false">IF(D400="","",MAX(0,Z400-$B$8))</f>
        <v>8.93638398482304</v>
      </c>
      <c r="U400" s="16" t="n">
        <f aca="false">IF(D400="","",MAX(0,MIN($B$8,Z400)))</f>
        <v>162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100</v>
      </c>
      <c r="Z400" s="18" t="n">
        <f aca="false">IF(D400="","",MAX(0,IF(P400&gt;=0,P400,IF(K400+P400&gt;=0,0,P400+K400))))</f>
        <v>170.936383984823</v>
      </c>
      <c r="AA400" s="18" t="n">
        <f aca="false">IF(D400="","",IF(H400&lt;=$B$16,1,IF(H400&gt;=$B$17,$B$21,MATCH(H400,Aux_CAV!$A$2:$A$121,1))))</f>
        <v>23</v>
      </c>
      <c r="AB400" s="18" t="n">
        <f aca="false">IF(D400="","",IF(L400&lt;=$B$16,1,IF(L400&gt;=$B$17,$B$21,MATCH(L400,Aux_CAV!$A$2:$A$121,1))))</f>
        <v>23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1.62767560188221</v>
      </c>
      <c r="E401" s="16" t="n">
        <f aca="false">IF(D401="","",D401*$B$15)</f>
        <v>4.21893516007869</v>
      </c>
      <c r="F401" s="16" t="n">
        <f aca="false" t="array" ref="F401:F401">IF(D401="","",IFERROR(INDEX(Dados_Evap!$C$2:$N$15,MATCH($B$9,Dados_Evap!$A$2:$A$15,0),C401),0))</f>
        <v>108.2</v>
      </c>
      <c r="G401" s="16" t="n">
        <f aca="false">IF(F401="","",F401/1000)</f>
        <v>0.1082</v>
      </c>
      <c r="H401" s="16" t="n">
        <f aca="false">IF(D401="","",MAX(0,MIN($B$8,IFERROR(LOOKUP(2,1/($U$24:U400&lt;&gt;""),$U$24:U400),$B$11))))</f>
        <v>162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15.783</v>
      </c>
      <c r="J401" s="16" t="n">
        <f aca="false">IF(D401="","",$B$12)</f>
        <v>0.432</v>
      </c>
      <c r="K401" s="16" t="n">
        <f aca="false">IF(J401="","",J401*$B$15)</f>
        <v>1.119744</v>
      </c>
      <c r="L401" s="16" t="n">
        <f aca="false">IF(D401="","",H401+E401-K401-G401*I401)</f>
        <v>163.391470560079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15.8662231915933</v>
      </c>
      <c r="N401" s="16" t="n">
        <f aca="false">IF(D401="","",(I401+M401)/2)</f>
        <v>15.8246115957966</v>
      </c>
      <c r="O401" s="16" t="n">
        <f aca="false">IF(D401="","",G401*N401)</f>
        <v>1.7122229746652</v>
      </c>
      <c r="P401" s="16" t="n">
        <f aca="false">IF(D401="","",H401+E401-K401-O401)</f>
        <v>163.386968185414</v>
      </c>
      <c r="Q401" s="16" t="n">
        <f aca="false">IF(D401="","",IF(P401&gt;=0,K401,MAX(0,K401+P401)))</f>
        <v>1.119744</v>
      </c>
      <c r="R401" s="16" t="n">
        <f aca="false">IF(D401="","",Q401/$B$15)</f>
        <v>0.432</v>
      </c>
      <c r="S401" s="16" t="n">
        <f aca="false">IF(D401="","",MAX(0,J401-R401))</f>
        <v>0</v>
      </c>
      <c r="T401" s="16" t="n">
        <f aca="false">IF(D401="","",MAX(0,Z401-$B$8))</f>
        <v>1.38696818541351</v>
      </c>
      <c r="U401" s="16" t="n">
        <f aca="false">IF(D401="","",MAX(0,MIN($B$8,Z401)))</f>
        <v>162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100</v>
      </c>
      <c r="Z401" s="18" t="n">
        <f aca="false">IF(D401="","",MAX(0,IF(P401&gt;=0,P401,IF(K401+P401&gt;=0,0,P401+K401))))</f>
        <v>163.386968185414</v>
      </c>
      <c r="AA401" s="18" t="n">
        <f aca="false">IF(D401="","",IF(H401&lt;=$B$16,1,IF(H401&gt;=$B$17,$B$21,MATCH(H401,Aux_CAV!$A$2:$A$121,1))))</f>
        <v>23</v>
      </c>
      <c r="AB401" s="18" t="n">
        <f aca="false">IF(D401="","",IF(L401&lt;=$B$16,1,IF(L401&gt;=$B$17,$B$21,MATCH(L401,Aux_CAV!$A$2:$A$121,1))))</f>
        <v>23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0.999020266260253</v>
      </c>
      <c r="E402" s="16" t="n">
        <f aca="false">IF(D402="","",D402*$B$15)</f>
        <v>2.58946053014658</v>
      </c>
      <c r="F402" s="16" t="n">
        <f aca="false" t="array" ref="F402:F402">IF(D402="","",IFERROR(INDEX(Dados_Evap!$C$2:$N$15,MATCH($B$9,Dados_Evap!$A$2:$A$15,0),C402),0))</f>
        <v>149</v>
      </c>
      <c r="G402" s="16" t="n">
        <f aca="false">IF(F402="","",F402/1000)</f>
        <v>0.149</v>
      </c>
      <c r="H402" s="16" t="n">
        <f aca="false">IF(D402="","",MAX(0,MIN($B$8,IFERROR(LOOKUP(2,1/($U$24:U401&lt;&gt;""),$U$24:U401),$B$11))))</f>
        <v>162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15.783</v>
      </c>
      <c r="J402" s="16" t="n">
        <f aca="false">IF(D402="","",$B$12)</f>
        <v>0.432</v>
      </c>
      <c r="K402" s="16" t="n">
        <f aca="false">IF(J402="","",J402*$B$15)</f>
        <v>1.119744</v>
      </c>
      <c r="L402" s="16" t="n">
        <f aca="false">IF(D402="","",H402+E402-K402-G402*I402)</f>
        <v>161.118049530147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15.7187880390021</v>
      </c>
      <c r="N402" s="16" t="n">
        <f aca="false">IF(D402="","",(I402+M402)/2)</f>
        <v>15.750894019501</v>
      </c>
      <c r="O402" s="16" t="n">
        <f aca="false">IF(D402="","",G402*N402)</f>
        <v>2.34688320890565</v>
      </c>
      <c r="P402" s="16" t="n">
        <f aca="false">IF(D402="","",H402+E402-K402-O402)</f>
        <v>161.122833321241</v>
      </c>
      <c r="Q402" s="16" t="n">
        <f aca="false">IF(D402="","",IF(P402&gt;=0,K402,MAX(0,K402+P402)))</f>
        <v>1.119744</v>
      </c>
      <c r="R402" s="16" t="n">
        <f aca="false">IF(D402="","",Q402/$B$15)</f>
        <v>0.432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161.122833321241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99.4585390871857</v>
      </c>
      <c r="Z402" s="18" t="n">
        <f aca="false">IF(D402="","",MAX(0,IF(P402&gt;=0,P402,IF(K402+P402&gt;=0,0,P402+K402))))</f>
        <v>161.122833321241</v>
      </c>
      <c r="AA402" s="18" t="n">
        <f aca="false">IF(D402="","",IF(H402&lt;=$B$16,1,IF(H402&gt;=$B$17,$B$21,MATCH(H402,Aux_CAV!$A$2:$A$121,1))))</f>
        <v>23</v>
      </c>
      <c r="AB402" s="18" t="n">
        <f aca="false">IF(D402="","",IF(L402&lt;=$B$16,1,IF(L402&gt;=$B$17,$B$21,MATCH(L402,Aux_CAV!$A$2:$A$121,1))))</f>
        <v>22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0.630598584861203</v>
      </c>
      <c r="E403" s="16" t="n">
        <f aca="false">IF(D403="","",D403*$B$15)</f>
        <v>1.63451153196024</v>
      </c>
      <c r="F403" s="16" t="n">
        <f aca="false" t="array" ref="F403:F403">IF(D403="","",IFERROR(INDEX(Dados_Evap!$C$2:$N$15,MATCH($B$9,Dados_Evap!$A$2:$A$15,0),C403),0))</f>
        <v>206.8</v>
      </c>
      <c r="G403" s="16" t="n">
        <f aca="false">IF(F403="","",F403/1000)</f>
        <v>0.2068</v>
      </c>
      <c r="H403" s="16" t="n">
        <f aca="false">IF(D403="","",MAX(0,MIN($B$8,IFERROR(LOOKUP(2,1/($U$24:U402&lt;&gt;""),$U$24:U402),$B$11))))</f>
        <v>161.122833321241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15.7191363313582</v>
      </c>
      <c r="J403" s="16" t="n">
        <f aca="false">IF(D403="","",$B$12)</f>
        <v>0.432</v>
      </c>
      <c r="K403" s="16" t="n">
        <f aca="false">IF(J403="","",J403*$B$15)</f>
        <v>1.119744</v>
      </c>
      <c r="L403" s="16" t="n">
        <f aca="false">IF(D403="","",H403+E403-K403-G403*I403)</f>
        <v>158.386883459876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15.5199406715164</v>
      </c>
      <c r="N403" s="16" t="n">
        <f aca="false">IF(D403="","",(I403+M403)/2)</f>
        <v>15.6195385014373</v>
      </c>
      <c r="O403" s="16" t="n">
        <f aca="false">IF(D403="","",G403*N403)</f>
        <v>3.23012056209724</v>
      </c>
      <c r="P403" s="16" t="n">
        <f aca="false">IF(D403="","",H403+E403-K403-O403)</f>
        <v>158.407480291104</v>
      </c>
      <c r="Q403" s="16" t="n">
        <f aca="false">IF(D403="","",IF(P403&gt;=0,K403,MAX(0,K403+P403)))</f>
        <v>1.119744</v>
      </c>
      <c r="R403" s="16" t="n">
        <f aca="false">IF(D403="","",Q403/$B$15)</f>
        <v>0.432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158.407480291104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97.7823952414222</v>
      </c>
      <c r="Z403" s="18" t="n">
        <f aca="false">IF(D403="","",MAX(0,IF(P403&gt;=0,P403,IF(K403+P403&gt;=0,0,P403+K403))))</f>
        <v>158.407480291104</v>
      </c>
      <c r="AA403" s="18" t="n">
        <f aca="false">IF(D403="","",IF(H403&lt;=$B$16,1,IF(H403&gt;=$B$17,$B$21,MATCH(H403,Aux_CAV!$A$2:$A$121,1))))</f>
        <v>22</v>
      </c>
      <c r="AB403" s="18" t="n">
        <f aca="false">IF(D403="","",IF(L403&lt;=$B$16,1,IF(L403&gt;=$B$17,$B$21,MATCH(L403,Aux_CAV!$A$2:$A$121,1))))</f>
        <v>22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0.502751536850483</v>
      </c>
      <c r="E404" s="16" t="n">
        <f aca="false">IF(D404="","",D404*$B$15)</f>
        <v>1.30313198351645</v>
      </c>
      <c r="F404" s="16" t="n">
        <f aca="false" t="array" ref="F404:F404">IF(D404="","",IFERROR(INDEX(Dados_Evap!$C$2:$N$15,MATCH($B$9,Dados_Evap!$A$2:$A$15,0),C404),0))</f>
        <v>245.9</v>
      </c>
      <c r="G404" s="16" t="n">
        <f aca="false">IF(F404="","",F404/1000)</f>
        <v>0.2459</v>
      </c>
      <c r="H404" s="16" t="n">
        <f aca="false">IF(D404="","",MAX(0,MIN($B$8,IFERROR(LOOKUP(2,1/($U$24:U403&lt;&gt;""),$U$24:U403),$B$11))))</f>
        <v>158.407480291104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15.5214402601767</v>
      </c>
      <c r="J404" s="16" t="n">
        <f aca="false">IF(D404="","",$B$12)</f>
        <v>0.432</v>
      </c>
      <c r="K404" s="16" t="n">
        <f aca="false">IF(J404="","",J404*$B$15)</f>
        <v>1.119744</v>
      </c>
      <c r="L404" s="16" t="n">
        <f aca="false">IF(D404="","",H404+E404-K404-G404*I404)</f>
        <v>154.774146114643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15.2569089509863</v>
      </c>
      <c r="N404" s="16" t="n">
        <f aca="false">IF(D404="","",(I404+M404)/2)</f>
        <v>15.3891746055815</v>
      </c>
      <c r="O404" s="16" t="n">
        <f aca="false">IF(D404="","",G404*N404)</f>
        <v>3.78419803551249</v>
      </c>
      <c r="P404" s="16" t="n">
        <f aca="false">IF(D404="","",H404+E404-K404-O404)</f>
        <v>154.806670239108</v>
      </c>
      <c r="Q404" s="16" t="n">
        <f aca="false">IF(D404="","",IF(P404&gt;=0,K404,MAX(0,K404+P404)))</f>
        <v>1.119744</v>
      </c>
      <c r="R404" s="16" t="n">
        <f aca="false">IF(D404="","",Q404/$B$15)</f>
        <v>0.432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154.806670239108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95.5596729871037</v>
      </c>
      <c r="Z404" s="18" t="n">
        <f aca="false">IF(D404="","",MAX(0,IF(P404&gt;=0,P404,IF(K404+P404&gt;=0,0,P404+K404))))</f>
        <v>154.806670239108</v>
      </c>
      <c r="AA404" s="18" t="n">
        <f aca="false">IF(D404="","",IF(H404&lt;=$B$16,1,IF(H404&gt;=$B$17,$B$21,MATCH(H404,Aux_CAV!$A$2:$A$121,1))))</f>
        <v>22</v>
      </c>
      <c r="AB404" s="18" t="n">
        <f aca="false">IF(D404="","",IF(L404&lt;=$B$16,1,IF(L404&gt;=$B$17,$B$21,MATCH(L404,Aux_CAV!$A$2:$A$121,1))))</f>
        <v>22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0.495239844375311</v>
      </c>
      <c r="E405" s="16" t="n">
        <f aca="false">IF(D405="","",D405*$B$15)</f>
        <v>1.28366167662081</v>
      </c>
      <c r="F405" s="16" t="n">
        <f aca="false" t="array" ref="F405:F405">IF(D405="","",IFERROR(INDEX(Dados_Evap!$C$2:$N$15,MATCH($B$9,Dados_Evap!$A$2:$A$15,0),C405),0))</f>
        <v>282.3</v>
      </c>
      <c r="G405" s="16" t="n">
        <f aca="false">IF(F405="","",F405/1000)</f>
        <v>0.2823</v>
      </c>
      <c r="H405" s="16" t="n">
        <f aca="false">IF(D405="","",MAX(0,MIN($B$8,IFERROR(LOOKUP(2,1/($U$24:U404&lt;&gt;""),$U$24:U404),$B$11))))</f>
        <v>154.806670239108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15.2592769272877</v>
      </c>
      <c r="J405" s="16" t="n">
        <f aca="false">IF(D405="","",$B$12)</f>
        <v>0.432</v>
      </c>
      <c r="K405" s="16" t="n">
        <f aca="false">IF(J405="","",J405*$B$15)</f>
        <v>1.119744</v>
      </c>
      <c r="L405" s="16" t="n">
        <f aca="false">IF(D405="","",H405+E405-K405-G405*I405)</f>
        <v>150.662894039155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14.9575819854167</v>
      </c>
      <c r="N405" s="16" t="n">
        <f aca="false">IF(D405="","",(I405+M405)/2)</f>
        <v>15.1084294563522</v>
      </c>
      <c r="O405" s="16" t="n">
        <f aca="false">IF(D405="","",G405*N405)</f>
        <v>4.26510963552824</v>
      </c>
      <c r="P405" s="16" t="n">
        <f aca="false">IF(D405="","",H405+E405-K405-O405)</f>
        <v>150.7054782802</v>
      </c>
      <c r="Q405" s="16" t="n">
        <f aca="false">IF(D405="","",IF(P405&gt;=0,K405,MAX(0,K405+P405)))</f>
        <v>1.119744</v>
      </c>
      <c r="R405" s="16" t="n">
        <f aca="false">IF(D405="","",Q405/$B$15)</f>
        <v>0.432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150.7054782802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93.0280730124694</v>
      </c>
      <c r="Z405" s="18" t="n">
        <f aca="false">IF(D405="","",MAX(0,IF(P405&gt;=0,P405,IF(K405+P405&gt;=0,0,P405+K405))))</f>
        <v>150.7054782802</v>
      </c>
      <c r="AA405" s="18" t="n">
        <f aca="false">IF(D405="","",IF(H405&lt;=$B$16,1,IF(H405&gt;=$B$17,$B$21,MATCH(H405,Aux_CAV!$A$2:$A$121,1))))</f>
        <v>22</v>
      </c>
      <c r="AB405" s="18" t="n">
        <f aca="false">IF(D405="","",IF(L405&lt;=$B$16,1,IF(L405&gt;=$B$17,$B$21,MATCH(L405,Aux_CAV!$A$2:$A$121,1))))</f>
        <v>22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0.460000498681655</v>
      </c>
      <c r="E406" s="16" t="n">
        <f aca="false">IF(D406="","",D406*$B$15)</f>
        <v>1.19232129258285</v>
      </c>
      <c r="F406" s="16" t="n">
        <f aca="false" t="array" ref="F406:F406">IF(D406="","",IFERROR(INDEX(Dados_Evap!$C$2:$N$15,MATCH($B$9,Dados_Evap!$A$2:$A$15,0),C406),0))</f>
        <v>241.3</v>
      </c>
      <c r="G406" s="16" t="n">
        <f aca="false">IF(F406="","",F406/1000)</f>
        <v>0.2413</v>
      </c>
      <c r="H406" s="16" t="n">
        <f aca="false">IF(D406="","",MAX(0,MIN($B$8,IFERROR(LOOKUP(2,1/($U$24:U405&lt;&gt;""),$U$24:U405),$B$11))))</f>
        <v>150.7054782802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14.9606824062664</v>
      </c>
      <c r="J406" s="16" t="n">
        <f aca="false">IF(D406="","",$B$12)</f>
        <v>0.432</v>
      </c>
      <c r="K406" s="16" t="n">
        <f aca="false">IF(J406="","",J406*$B$15)</f>
        <v>1.119744</v>
      </c>
      <c r="L406" s="16" t="n">
        <f aca="false">IF(D406="","",H406+E406-K406-G406*I406)</f>
        <v>147.168042908151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14.7031331788359</v>
      </c>
      <c r="N406" s="16" t="n">
        <f aca="false">IF(D406="","",(I406+M406)/2)</f>
        <v>14.8319077925512</v>
      </c>
      <c r="O406" s="16" t="n">
        <f aca="false">IF(D406="","",G406*N406)</f>
        <v>3.57893935034259</v>
      </c>
      <c r="P406" s="16" t="n">
        <f aca="false">IF(D406="","",H406+E406-K406-O406)</f>
        <v>147.199116222441</v>
      </c>
      <c r="Q406" s="16" t="n">
        <f aca="false">IF(D406="","",IF(P406&gt;=0,K406,MAX(0,K406+P406)))</f>
        <v>1.119744</v>
      </c>
      <c r="R406" s="16" t="n">
        <f aca="false">IF(D406="","",Q406/$B$15)</f>
        <v>0.432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147.199116222441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90.863651989161</v>
      </c>
      <c r="Z406" s="18" t="n">
        <f aca="false">IF(D406="","",MAX(0,IF(P406&gt;=0,P406,IF(K406+P406&gt;=0,0,P406+K406))))</f>
        <v>147.199116222441</v>
      </c>
      <c r="AA406" s="18" t="n">
        <f aca="false">IF(D406="","",IF(H406&lt;=$B$16,1,IF(H406&gt;=$B$17,$B$21,MATCH(H406,Aux_CAV!$A$2:$A$121,1))))</f>
        <v>22</v>
      </c>
      <c r="AB406" s="18" t="n">
        <f aca="false">IF(D406="","",IF(L406&lt;=$B$16,1,IF(L406&gt;=$B$17,$B$21,MATCH(L406,Aux_CAV!$A$2:$A$121,1))))</f>
        <v>22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0.459782162914491</v>
      </c>
      <c r="E407" s="16" t="n">
        <f aca="false">IF(D407="","",D407*$B$15)</f>
        <v>1.19175536627436</v>
      </c>
      <c r="F407" s="16" t="n">
        <f aca="false" t="array" ref="F407:F407">IF(D407="","",IFERROR(INDEX(Dados_Evap!$C$2:$N$15,MATCH($B$9,Dados_Evap!$A$2:$A$15,0),C407),0))</f>
        <v>241.8</v>
      </c>
      <c r="G407" s="16" t="n">
        <f aca="false">IF(F407="","",F407/1000)</f>
        <v>0.2418</v>
      </c>
      <c r="H407" s="16" t="n">
        <f aca="false">IF(D407="","",MAX(0,MIN($B$8,IFERROR(LOOKUP(2,1/($U$24:U406&lt;&gt;""),$U$24:U406),$B$11))))</f>
        <v>147.199116222441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14.7053955263412</v>
      </c>
      <c r="J407" s="16" t="n">
        <f aca="false">IF(D407="","",$B$12)</f>
        <v>0.432</v>
      </c>
      <c r="K407" s="16" t="n">
        <f aca="false">IF(J407="","",J407*$B$15)</f>
        <v>1.119744</v>
      </c>
      <c r="L407" s="16" t="n">
        <f aca="false">IF(D407="","",H407+E407-K407-G407*I407)</f>
        <v>143.715362950446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14.4517547189782</v>
      </c>
      <c r="N407" s="16" t="n">
        <f aca="false">IF(D407="","",(I407+M407)/2)</f>
        <v>14.5785751226597</v>
      </c>
      <c r="O407" s="16" t="n">
        <f aca="false">IF(D407="","",G407*N407)</f>
        <v>3.52509946465911</v>
      </c>
      <c r="P407" s="16" t="n">
        <f aca="false">IF(D407="","",H407+E407-K407-O407)</f>
        <v>143.746028124056</v>
      </c>
      <c r="Q407" s="16" t="n">
        <f aca="false">IF(D407="","",IF(P407&gt;=0,K407,MAX(0,K407+P407)))</f>
        <v>1.119744</v>
      </c>
      <c r="R407" s="16" t="n">
        <f aca="false">IF(D407="","",Q407/$B$15)</f>
        <v>0.432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143.746028124056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88.7321161259605</v>
      </c>
      <c r="Z407" s="18" t="n">
        <f aca="false">IF(D407="","",MAX(0,IF(P407&gt;=0,P407,IF(K407+P407&gt;=0,0,P407+K407))))</f>
        <v>143.746028124056</v>
      </c>
      <c r="AA407" s="18" t="n">
        <f aca="false">IF(D407="","",IF(H407&lt;=$B$16,1,IF(H407&gt;=$B$17,$B$21,MATCH(H407,Aux_CAV!$A$2:$A$121,1))))</f>
        <v>22</v>
      </c>
      <c r="AB407" s="18" t="n">
        <f aca="false">IF(D407="","",IF(L407&lt;=$B$16,1,IF(L407&gt;=$B$17,$B$21,MATCH(L407,Aux_CAV!$A$2:$A$121,1))))</f>
        <v>22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0.370180993458089</v>
      </c>
      <c r="E408" s="16" t="n">
        <f aca="false">IF(D408="","",D408*$B$15)</f>
        <v>0.959509135043367</v>
      </c>
      <c r="F408" s="16" t="n">
        <f aca="false" t="array" ref="F408:F408">IF(D408="","",IFERROR(INDEX(Dados_Evap!$C$2:$N$15,MATCH($B$9,Dados_Evap!$A$2:$A$15,0),C408),0))</f>
        <v>189</v>
      </c>
      <c r="G408" s="16" t="n">
        <f aca="false">IF(F408="","",F408/1000)</f>
        <v>0.189</v>
      </c>
      <c r="H408" s="16" t="n">
        <f aca="false">IF(D408="","",MAX(0,MIN($B$8,IFERROR(LOOKUP(2,1/($U$24:U407&lt;&gt;""),$U$24:U407),$B$11))))</f>
        <v>143.746028124056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14.4539873510807</v>
      </c>
      <c r="J408" s="16" t="n">
        <f aca="false">IF(D408="","",$B$12)</f>
        <v>0.432</v>
      </c>
      <c r="K408" s="16" t="n">
        <f aca="false">IF(J408="","",J408*$B$15)</f>
        <v>1.119744</v>
      </c>
      <c r="L408" s="16" t="n">
        <f aca="false">IF(D408="","",H408+E408-K408-G408*I408)</f>
        <v>140.853989649745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14.2434273842066</v>
      </c>
      <c r="N408" s="16" t="n">
        <f aca="false">IF(D408="","",(I408+M408)/2)</f>
        <v>14.3487073676437</v>
      </c>
      <c r="O408" s="16" t="n">
        <f aca="false">IF(D408="","",G408*N408)</f>
        <v>2.71190569248465</v>
      </c>
      <c r="P408" s="16" t="n">
        <f aca="false">IF(D408="","",H408+E408-K408-O408)</f>
        <v>140.873887566615</v>
      </c>
      <c r="Q408" s="16" t="n">
        <f aca="false">IF(D408="","",IF(P408&gt;=0,K408,MAX(0,K408+P408)))</f>
        <v>1.119744</v>
      </c>
      <c r="R408" s="16" t="n">
        <f aca="false">IF(D408="","",Q408/$B$15)</f>
        <v>0.432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140.873887566615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86.959189855935</v>
      </c>
      <c r="Z408" s="18" t="n">
        <f aca="false">IF(D408="","",MAX(0,IF(P408&gt;=0,P408,IF(K408+P408&gt;=0,0,P408+K408))))</f>
        <v>140.873887566615</v>
      </c>
      <c r="AA408" s="18" t="n">
        <f aca="false">IF(D408="","",IF(H408&lt;=$B$16,1,IF(H408&gt;=$B$17,$B$21,MATCH(H408,Aux_CAV!$A$2:$A$121,1))))</f>
        <v>22</v>
      </c>
      <c r="AB408" s="18" t="n">
        <f aca="false">IF(D408="","",IF(L408&lt;=$B$16,1,IF(L408&gt;=$B$17,$B$21,MATCH(L408,Aux_CAV!$A$2:$A$121,1))))</f>
        <v>22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0.764532630571094</v>
      </c>
      <c r="E409" s="16" t="n">
        <f aca="false">IF(D409="","",D409*$B$15)</f>
        <v>1.98166857844028</v>
      </c>
      <c r="F409" s="16" t="n">
        <f aca="false" t="array" ref="F409:F409">IF(D409="","",IFERROR(INDEX(Dados_Evap!$C$2:$N$15,MATCH($B$9,Dados_Evap!$A$2:$A$15,0),C409),0))</f>
        <v>136.9</v>
      </c>
      <c r="G409" s="16" t="n">
        <f aca="false">IF(F409="","",F409/1000)</f>
        <v>0.1369</v>
      </c>
      <c r="H409" s="16" t="n">
        <f aca="false">IF(D409="","",MAX(0,MIN($B$8,IFERROR(LOOKUP(2,1/($U$24:U408&lt;&gt;""),$U$24:U408),$B$11))))</f>
        <v>140.873887566615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14.2448760871731</v>
      </c>
      <c r="J409" s="16" t="n">
        <f aca="false">IF(D409="","",$B$12)</f>
        <v>0.432</v>
      </c>
      <c r="K409" s="16" t="n">
        <f aca="false">IF(J409="","",J409*$B$15)</f>
        <v>1.119744</v>
      </c>
      <c r="L409" s="16" t="n">
        <f aca="false">IF(D409="","",H409+E409-K409-G409*I409)</f>
        <v>139.785688608721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14.1656478408818</v>
      </c>
      <c r="N409" s="16" t="n">
        <f aca="false">IF(D409="","",(I409+M409)/2)</f>
        <v>14.2052619640274</v>
      </c>
      <c r="O409" s="16" t="n">
        <f aca="false">IF(D409="","",G409*N409)</f>
        <v>1.94470036287536</v>
      </c>
      <c r="P409" s="16" t="n">
        <f aca="false">IF(D409="","",H409+E409-K409-O409)</f>
        <v>139.79111178218</v>
      </c>
      <c r="Q409" s="16" t="n">
        <f aca="false">IF(D409="","",IF(P409&gt;=0,K409,MAX(0,K409+P409)))</f>
        <v>1.119744</v>
      </c>
      <c r="R409" s="16" t="n">
        <f aca="false">IF(D409="","",Q409/$B$15)</f>
        <v>0.432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139.79111178218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86.2908097420862</v>
      </c>
      <c r="Z409" s="18" t="n">
        <f aca="false">IF(D409="","",MAX(0,IF(P409&gt;=0,P409,IF(K409+P409&gt;=0,0,P409+K409))))</f>
        <v>139.79111178218</v>
      </c>
      <c r="AA409" s="18" t="n">
        <f aca="false">IF(D409="","",IF(H409&lt;=$B$16,1,IF(H409&gt;=$B$17,$B$21,MATCH(H409,Aux_CAV!$A$2:$A$121,1))))</f>
        <v>22</v>
      </c>
      <c r="AB409" s="18" t="n">
        <f aca="false">IF(D409="","",IF(L409&lt;=$B$16,1,IF(L409&gt;=$B$17,$B$21,MATCH(L409,Aux_CAV!$A$2:$A$121,1))))</f>
        <v>22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1.91891985305528</v>
      </c>
      <c r="E410" s="16" t="n">
        <f aca="false">IF(D410="","",D410*$B$15)</f>
        <v>4.97384025911929</v>
      </c>
      <c r="F410" s="16" t="n">
        <f aca="false" t="array" ref="F410:F410">IF(D410="","",IFERROR(INDEX(Dados_Evap!$C$2:$N$15,MATCH($B$9,Dados_Evap!$A$2:$A$15,0),C410),0))</f>
        <v>102.9</v>
      </c>
      <c r="G410" s="16" t="n">
        <f aca="false">IF(F410="","",F410/1000)</f>
        <v>0.1029</v>
      </c>
      <c r="H410" s="16" t="n">
        <f aca="false">IF(D410="","",MAX(0,MIN($B$8,IFERROR(LOOKUP(2,1/($U$24:U409&lt;&gt;""),$U$24:U409),$B$11))))</f>
        <v>139.79111178218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14.1660426845998</v>
      </c>
      <c r="J410" s="16" t="n">
        <f aca="false">IF(D410="","",$B$12)</f>
        <v>0.432</v>
      </c>
      <c r="K410" s="16" t="n">
        <f aca="false">IF(J410="","",J410*$B$15)</f>
        <v>1.119744</v>
      </c>
      <c r="L410" s="16" t="n">
        <f aca="false">IF(D410="","",H410+E410-K410-G410*I410)</f>
        <v>142.187522249054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14.3405175793856</v>
      </c>
      <c r="N410" s="16" t="n">
        <f aca="false">IF(D410="","",(I410+M410)/2)</f>
        <v>14.2532801319927</v>
      </c>
      <c r="O410" s="16" t="n">
        <f aca="false">IF(D410="","",G410*N410)</f>
        <v>1.46666252558205</v>
      </c>
      <c r="P410" s="16" t="n">
        <f aca="false">IF(D410="","",H410+E410-K410-O410)</f>
        <v>142.178545515717</v>
      </c>
      <c r="Q410" s="16" t="n">
        <f aca="false">IF(D410="","",IF(P410&gt;=0,K410,MAX(0,K410+P410)))</f>
        <v>1.119744</v>
      </c>
      <c r="R410" s="16" t="n">
        <f aca="false">IF(D410="","",Q410/$B$15)</f>
        <v>0.432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142.178545515717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87.764534268961</v>
      </c>
      <c r="Z410" s="18" t="n">
        <f aca="false">IF(D410="","",MAX(0,IF(P410&gt;=0,P410,IF(K410+P410&gt;=0,0,P410+K410))))</f>
        <v>142.178545515717</v>
      </c>
      <c r="AA410" s="18" t="n">
        <f aca="false">IF(D410="","",IF(H410&lt;=$B$16,1,IF(H410&gt;=$B$17,$B$21,MATCH(H410,Aux_CAV!$A$2:$A$121,1))))</f>
        <v>22</v>
      </c>
      <c r="AB410" s="18" t="n">
        <f aca="false">IF(D410="","",IF(L410&lt;=$B$16,1,IF(L410&gt;=$B$17,$B$21,MATCH(L410,Aux_CAV!$A$2:$A$121,1))))</f>
        <v>22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3.06750121607568</v>
      </c>
      <c r="E411" s="16" t="n">
        <f aca="false">IF(D411="","",D411*$B$15)</f>
        <v>7.95096315206816</v>
      </c>
      <c r="F411" s="16" t="n">
        <f aca="false" t="array" ref="F411:F411">IF(D411="","",IFERROR(INDEX(Dados_Evap!$C$2:$N$15,MATCH($B$9,Dados_Evap!$A$2:$A$15,0),C411),0))</f>
        <v>81.8</v>
      </c>
      <c r="G411" s="16" t="n">
        <f aca="false">IF(F411="","",F411/1000)</f>
        <v>0.0818</v>
      </c>
      <c r="H411" s="16" t="n">
        <f aca="false">IF(D411="","",MAX(0,MIN($B$8,IFERROR(LOOKUP(2,1/($U$24:U410&lt;&gt;""),$U$24:U410),$B$11))))</f>
        <v>142.178545515717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14.339864012467</v>
      </c>
      <c r="J411" s="16" t="n">
        <f aca="false">IF(D411="","",$B$12)</f>
        <v>0.432</v>
      </c>
      <c r="K411" s="16" t="n">
        <f aca="false">IF(J411="","",J411*$B$15)</f>
        <v>1.119744</v>
      </c>
      <c r="L411" s="16" t="n">
        <f aca="false">IF(D411="","",H411+E411-K411-G411*I411)</f>
        <v>147.836763791565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14.7518205833467</v>
      </c>
      <c r="N411" s="16" t="n">
        <f aca="false">IF(D411="","",(I411+M411)/2)</f>
        <v>14.5458422979069</v>
      </c>
      <c r="O411" s="16" t="n">
        <f aca="false">IF(D411="","",G411*N411)</f>
        <v>1.18984989996878</v>
      </c>
      <c r="P411" s="16" t="n">
        <f aca="false">IF(D411="","",H411+E411-K411-O411)</f>
        <v>147.819914767816</v>
      </c>
      <c r="Q411" s="16" t="n">
        <f aca="false">IF(D411="","",IF(P411&gt;=0,K411,MAX(0,K411+P411)))</f>
        <v>1.119744</v>
      </c>
      <c r="R411" s="16" t="n">
        <f aca="false">IF(D411="","",Q411/$B$15)</f>
        <v>0.432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147.819914767816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91.2468609677878</v>
      </c>
      <c r="Z411" s="18" t="n">
        <f aca="false">IF(D411="","",MAX(0,IF(P411&gt;=0,P411,IF(K411+P411&gt;=0,0,P411+K411))))</f>
        <v>147.819914767816</v>
      </c>
      <c r="AA411" s="18" t="n">
        <f aca="false">IF(D411="","",IF(H411&lt;=$B$16,1,IF(H411&gt;=$B$17,$B$21,MATCH(H411,Aux_CAV!$A$2:$A$121,1))))</f>
        <v>22</v>
      </c>
      <c r="AB411" s="18" t="n">
        <f aca="false">IF(D411="","",IF(L411&lt;=$B$16,1,IF(L411&gt;=$B$17,$B$21,MATCH(L411,Aux_CAV!$A$2:$A$121,1))))</f>
        <v>22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3.49255239668386</v>
      </c>
      <c r="E412" s="16" t="n">
        <f aca="false">IF(D412="","",D412*$B$15)</f>
        <v>9.05269581220457</v>
      </c>
      <c r="F412" s="16" t="n">
        <f aca="false" t="array" ref="F412:F412">IF(D412="","",IFERROR(INDEX(Dados_Evap!$C$2:$N$15,MATCH($B$9,Dados_Evap!$A$2:$A$15,0),C412),0))</f>
        <v>83.6</v>
      </c>
      <c r="G412" s="16" t="n">
        <f aca="false">IF(F412="","",F412/1000)</f>
        <v>0.0836</v>
      </c>
      <c r="H412" s="16" t="n">
        <f aca="false">IF(D412="","",MAX(0,MIN($B$8,IFERROR(LOOKUP(2,1/($U$24:U411&lt;&gt;""),$U$24:U411),$B$11))))</f>
        <v>147.819914767816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14.7505938604266</v>
      </c>
      <c r="J412" s="16" t="n">
        <f aca="false">IF(D412="","",$B$12)</f>
        <v>0.432</v>
      </c>
      <c r="K412" s="16" t="n">
        <f aca="false">IF(J412="","",J412*$B$15)</f>
        <v>1.119744</v>
      </c>
      <c r="L412" s="16" t="n">
        <f aca="false">IF(D412="","",H412+E412-K412-G412*I412)</f>
        <v>154.519716933289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15.2383847852556</v>
      </c>
      <c r="N412" s="16" t="n">
        <f aca="false">IF(D412="","",(I412+M412)/2)</f>
        <v>14.9944893228411</v>
      </c>
      <c r="O412" s="16" t="n">
        <f aca="false">IF(D412="","",G412*N412)</f>
        <v>1.25353930738952</v>
      </c>
      <c r="P412" s="16" t="n">
        <f aca="false">IF(D412="","",H412+E412-K412-O412)</f>
        <v>154.499327272631</v>
      </c>
      <c r="Q412" s="16" t="n">
        <f aca="false">IF(D412="","",IF(P412&gt;=0,K412,MAX(0,K412+P412)))</f>
        <v>1.119744</v>
      </c>
      <c r="R412" s="16" t="n">
        <f aca="false">IF(D412="","",Q412/$B$15)</f>
        <v>0.432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154.499327272631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95.3699551065625</v>
      </c>
      <c r="Z412" s="18" t="n">
        <f aca="false">IF(D412="","",MAX(0,IF(P412&gt;=0,P412,IF(K412+P412&gt;=0,0,P412+K412))))</f>
        <v>154.499327272631</v>
      </c>
      <c r="AA412" s="18" t="n">
        <f aca="false">IF(D412="","",IF(H412&lt;=$B$16,1,IF(H412&gt;=$B$17,$B$21,MATCH(H412,Aux_CAV!$A$2:$A$121,1))))</f>
        <v>22</v>
      </c>
      <c r="AB412" s="18" t="n">
        <f aca="false">IF(D412="","",IF(L412&lt;=$B$16,1,IF(L412&gt;=$B$17,$B$21,MATCH(L412,Aux_CAV!$A$2:$A$121,1))))</f>
        <v>22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0.927432170141049</v>
      </c>
      <c r="E413" s="16" t="n">
        <f aca="false">IF(D413="","",D413*$B$15)</f>
        <v>2.4039041850056</v>
      </c>
      <c r="F413" s="16" t="n">
        <f aca="false" t="array" ref="F413:F413">IF(D413="","",IFERROR(INDEX(Dados_Evap!$C$2:$N$15,MATCH($B$9,Dados_Evap!$A$2:$A$15,0),C413),0))</f>
        <v>108.2</v>
      </c>
      <c r="G413" s="16" t="n">
        <f aca="false">IF(F413="","",F413/1000)</f>
        <v>0.1082</v>
      </c>
      <c r="H413" s="16" t="n">
        <f aca="false">IF(D413="","",MAX(0,MIN($B$8,IFERROR(LOOKUP(2,1/($U$24:U412&lt;&gt;""),$U$24:U412),$B$11))))</f>
        <v>154.499327272631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15.2369002800145</v>
      </c>
      <c r="J413" s="16" t="n">
        <f aca="false">IF(D413="","",$B$12)</f>
        <v>0.432</v>
      </c>
      <c r="K413" s="16" t="n">
        <f aca="false">IF(J413="","",J413*$B$15)</f>
        <v>1.119744</v>
      </c>
      <c r="L413" s="16" t="n">
        <f aca="false">IF(D413="","",H413+E413-K413-G413*I413)</f>
        <v>154.134854847339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15.2103642216329</v>
      </c>
      <c r="N413" s="16" t="n">
        <f aca="false">IF(D413="","",(I413+M413)/2)</f>
        <v>15.2236322508237</v>
      </c>
      <c r="O413" s="16" t="n">
        <f aca="false">IF(D413="","",G413*N413)</f>
        <v>1.64719700953912</v>
      </c>
      <c r="P413" s="16" t="n">
        <f aca="false">IF(D413="","",H413+E413-K413-O413)</f>
        <v>154.136290448098</v>
      </c>
      <c r="Q413" s="16" t="n">
        <f aca="false">IF(D413="","",IF(P413&gt;=0,K413,MAX(0,K413+P413)))</f>
        <v>1.119744</v>
      </c>
      <c r="R413" s="16" t="n">
        <f aca="false">IF(D413="","",Q413/$B$15)</f>
        <v>0.432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154.136290448098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95.1458583012949</v>
      </c>
      <c r="Z413" s="18" t="n">
        <f aca="false">IF(D413="","",MAX(0,IF(P413&gt;=0,P413,IF(K413+P413&gt;=0,0,P413+K413))))</f>
        <v>154.136290448098</v>
      </c>
      <c r="AA413" s="18" t="n">
        <f aca="false">IF(D413="","",IF(H413&lt;=$B$16,1,IF(H413&gt;=$B$17,$B$21,MATCH(H413,Aux_CAV!$A$2:$A$121,1))))</f>
        <v>22</v>
      </c>
      <c r="AB413" s="18" t="n">
        <f aca="false">IF(D413="","",IF(L413&lt;=$B$16,1,IF(L413&gt;=$B$17,$B$21,MATCH(L413,Aux_CAV!$A$2:$A$121,1))))</f>
        <v>22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0.406614762145024</v>
      </c>
      <c r="E414" s="16" t="n">
        <f aca="false">IF(D414="","",D414*$B$15)</f>
        <v>1.0539454634799</v>
      </c>
      <c r="F414" s="16" t="n">
        <f aca="false" t="array" ref="F414:F414">IF(D414="","",IFERROR(INDEX(Dados_Evap!$C$2:$N$15,MATCH($B$9,Dados_Evap!$A$2:$A$15,0),C414),0))</f>
        <v>149</v>
      </c>
      <c r="G414" s="16" t="n">
        <f aca="false">IF(F414="","",F414/1000)</f>
        <v>0.149</v>
      </c>
      <c r="H414" s="16" t="n">
        <f aca="false">IF(D414="","",MAX(0,MIN($B$8,IFERROR(LOOKUP(2,1/($U$24:U413&lt;&gt;""),$U$24:U413),$B$11))))</f>
        <v>154.136290448098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15.2104687430806</v>
      </c>
      <c r="J414" s="16" t="n">
        <f aca="false">IF(D414="","",$B$12)</f>
        <v>0.432</v>
      </c>
      <c r="K414" s="16" t="n">
        <f aca="false">IF(J414="","",J414*$B$15)</f>
        <v>1.119744</v>
      </c>
      <c r="L414" s="16" t="n">
        <f aca="false">IF(D414="","",H414+E414-K414-G414*I414)</f>
        <v>151.804132068859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15.040671834969</v>
      </c>
      <c r="N414" s="16" t="n">
        <f aca="false">IF(D414="","",(I414+M414)/2)</f>
        <v>15.1255702890248</v>
      </c>
      <c r="O414" s="16" t="n">
        <f aca="false">IF(D414="","",G414*N414)</f>
        <v>2.2537099730647</v>
      </c>
      <c r="P414" s="16" t="n">
        <f aca="false">IF(D414="","",H414+E414-K414-O414)</f>
        <v>151.816781938513</v>
      </c>
      <c r="Q414" s="16" t="n">
        <f aca="false">IF(D414="","",IF(P414&gt;=0,K414,MAX(0,K414+P414)))</f>
        <v>1.119744</v>
      </c>
      <c r="R414" s="16" t="n">
        <f aca="false">IF(D414="","",Q414/$B$15)</f>
        <v>0.432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151.816781938513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93.714062925008</v>
      </c>
      <c r="Z414" s="18" t="n">
        <f aca="false">IF(D414="","",MAX(0,IF(P414&gt;=0,P414,IF(K414+P414&gt;=0,0,P414+K414))))</f>
        <v>151.816781938513</v>
      </c>
      <c r="AA414" s="18" t="n">
        <f aca="false">IF(D414="","",IF(H414&lt;=$B$16,1,IF(H414&gt;=$B$17,$B$21,MATCH(H414,Aux_CAV!$A$2:$A$121,1))))</f>
        <v>22</v>
      </c>
      <c r="AB414" s="18" t="n">
        <f aca="false">IF(D414="","",IF(L414&lt;=$B$16,1,IF(L414&gt;=$B$17,$B$21,MATCH(L414,Aux_CAV!$A$2:$A$121,1))))</f>
        <v>22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0.340855117136262</v>
      </c>
      <c r="E415" s="16" t="n">
        <f aca="false">IF(D415="","",D415*$B$15)</f>
        <v>0.883496463617191</v>
      </c>
      <c r="F415" s="16" t="n">
        <f aca="false" t="array" ref="F415:F415">IF(D415="","",IFERROR(INDEX(Dados_Evap!$C$2:$N$15,MATCH($B$9,Dados_Evap!$A$2:$A$15,0),C415),0))</f>
        <v>206.8</v>
      </c>
      <c r="G415" s="16" t="n">
        <f aca="false">IF(F415="","",F415/1000)</f>
        <v>0.2068</v>
      </c>
      <c r="H415" s="16" t="n">
        <f aca="false">IF(D415="","",MAX(0,MIN($B$8,IFERROR(LOOKUP(2,1/($U$24:U414&lt;&gt;""),$U$24:U414),$B$11))))</f>
        <v>151.816781938513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15.0415928310619</v>
      </c>
      <c r="J415" s="16" t="n">
        <f aca="false">IF(D415="","",$B$12)</f>
        <v>0.432</v>
      </c>
      <c r="K415" s="16" t="n">
        <f aca="false">IF(J415="","",J415*$B$15)</f>
        <v>1.119744</v>
      </c>
      <c r="L415" s="16" t="n">
        <f aca="false">IF(D415="","",H415+E415-K415-G415*I415)</f>
        <v>148.469933004667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14.7979195857357</v>
      </c>
      <c r="N415" s="16" t="n">
        <f aca="false">IF(D415="","",(I415+M415)/2)</f>
        <v>14.9197562083988</v>
      </c>
      <c r="O415" s="16" t="n">
        <f aca="false">IF(D415="","",G415*N415)</f>
        <v>3.08540558389688</v>
      </c>
      <c r="P415" s="16" t="n">
        <f aca="false">IF(D415="","",H415+E415-K415-O415)</f>
        <v>148.495128818233</v>
      </c>
      <c r="Q415" s="16" t="n">
        <f aca="false">IF(D415="","",IF(P415&gt;=0,K415,MAX(0,K415+P415)))</f>
        <v>1.119744</v>
      </c>
      <c r="R415" s="16" t="n">
        <f aca="false">IF(D415="","",Q415/$B$15)</f>
        <v>0.432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148.495128818233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91.6636597643415</v>
      </c>
      <c r="Z415" s="18" t="n">
        <f aca="false">IF(D415="","",MAX(0,IF(P415&gt;=0,P415,IF(K415+P415&gt;=0,0,P415+K415))))</f>
        <v>148.495128818233</v>
      </c>
      <c r="AA415" s="18" t="n">
        <f aca="false">IF(D415="","",IF(H415&lt;=$B$16,1,IF(H415&gt;=$B$17,$B$21,MATCH(H415,Aux_CAV!$A$2:$A$121,1))))</f>
        <v>22</v>
      </c>
      <c r="AB415" s="18" t="n">
        <f aca="false">IF(D415="","",IF(L415&lt;=$B$16,1,IF(L415&gt;=$B$17,$B$21,MATCH(L415,Aux_CAV!$A$2:$A$121,1))))</f>
        <v>22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0.244430532276713</v>
      </c>
      <c r="E416" s="16" t="n">
        <f aca="false">IF(D416="","",D416*$B$15)</f>
        <v>0.63356393966124</v>
      </c>
      <c r="F416" s="16" t="n">
        <f aca="false" t="array" ref="F416:F416">IF(D416="","",IFERROR(INDEX(Dados_Evap!$C$2:$N$15,MATCH($B$9,Dados_Evap!$A$2:$A$15,0),C416),0))</f>
        <v>245.9</v>
      </c>
      <c r="G416" s="16" t="n">
        <f aca="false">IF(F416="","",F416/1000)</f>
        <v>0.2459</v>
      </c>
      <c r="H416" s="16" t="n">
        <f aca="false">IF(D416="","",MAX(0,MIN($B$8,IFERROR(LOOKUP(2,1/($U$24:U415&lt;&gt;""),$U$24:U415),$B$11))))</f>
        <v>148.495128818233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14.7997540114244</v>
      </c>
      <c r="J416" s="16" t="n">
        <f aca="false">IF(D416="","",$B$12)</f>
        <v>0.432</v>
      </c>
      <c r="K416" s="16" t="n">
        <f aca="false">IF(J416="","",J416*$B$15)</f>
        <v>1.119744</v>
      </c>
      <c r="L416" s="16" t="n">
        <f aca="false">IF(D416="","",H416+E416-K416-G416*I416)</f>
        <v>144.369689246485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14.4993941001423</v>
      </c>
      <c r="N416" s="16" t="n">
        <f aca="false">IF(D416="","",(I416+M416)/2)</f>
        <v>14.6495740557834</v>
      </c>
      <c r="O416" s="16" t="n">
        <f aca="false">IF(D416="","",G416*N416)</f>
        <v>3.60233026031713</v>
      </c>
      <c r="P416" s="16" t="n">
        <f aca="false">IF(D416="","",H416+E416-K416-O416)</f>
        <v>144.406618497577</v>
      </c>
      <c r="Q416" s="16" t="n">
        <f aca="false">IF(D416="","",IF(P416&gt;=0,K416,MAX(0,K416+P416)))</f>
        <v>1.119744</v>
      </c>
      <c r="R416" s="16" t="n">
        <f aca="false">IF(D416="","",Q416/$B$15)</f>
        <v>0.432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144.406618497577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89.1398879614675</v>
      </c>
      <c r="Z416" s="18" t="n">
        <f aca="false">IF(D416="","",MAX(0,IF(P416&gt;=0,P416,IF(K416+P416&gt;=0,0,P416+K416))))</f>
        <v>144.406618497577</v>
      </c>
      <c r="AA416" s="18" t="n">
        <f aca="false">IF(D416="","",IF(H416&lt;=$B$16,1,IF(H416&gt;=$B$17,$B$21,MATCH(H416,Aux_CAV!$A$2:$A$121,1))))</f>
        <v>22</v>
      </c>
      <c r="AB416" s="18" t="n">
        <f aca="false">IF(D416="","",IF(L416&lt;=$B$16,1,IF(L416&gt;=$B$17,$B$21,MATCH(L416,Aux_CAV!$A$2:$A$121,1))))</f>
        <v>22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0.328268605452454</v>
      </c>
      <c r="E417" s="16" t="n">
        <f aca="false">IF(D417="","",D417*$B$15)</f>
        <v>0.850872225332761</v>
      </c>
      <c r="F417" s="16" t="n">
        <f aca="false" t="array" ref="F417:F417">IF(D417="","",IFERROR(INDEX(Dados_Evap!$C$2:$N$15,MATCH($B$9,Dados_Evap!$A$2:$A$15,0),C417),0))</f>
        <v>282.3</v>
      </c>
      <c r="G417" s="16" t="n">
        <f aca="false">IF(F417="","",F417/1000)</f>
        <v>0.2823</v>
      </c>
      <c r="H417" s="16" t="n">
        <f aca="false">IF(D417="","",MAX(0,MIN($B$8,IFERROR(LOOKUP(2,1/($U$24:U416&lt;&gt;""),$U$24:U416),$B$11))))</f>
        <v>144.406618497577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14.5020827994648</v>
      </c>
      <c r="J417" s="16" t="n">
        <f aca="false">IF(D417="","",$B$12)</f>
        <v>0.432</v>
      </c>
      <c r="K417" s="16" t="n">
        <f aca="false">IF(J417="","",J417*$B$15)</f>
        <v>1.119744</v>
      </c>
      <c r="L417" s="16" t="n">
        <f aca="false">IF(D417="","",H417+E417-K417-G417*I417)</f>
        <v>140.043808748621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14.1844407333657</v>
      </c>
      <c r="N417" s="16" t="n">
        <f aca="false">IF(D417="","",(I417+M417)/2)</f>
        <v>14.3432617664153</v>
      </c>
      <c r="O417" s="16" t="n">
        <f aca="false">IF(D417="","",G417*N417)</f>
        <v>4.04910279665903</v>
      </c>
      <c r="P417" s="16" t="n">
        <f aca="false">IF(D417="","",H417+E417-K417-O417)</f>
        <v>140.088643926251</v>
      </c>
      <c r="Q417" s="16" t="n">
        <f aca="false">IF(D417="","",IF(P417&gt;=0,K417,MAX(0,K417+P417)))</f>
        <v>1.119744</v>
      </c>
      <c r="R417" s="16" t="n">
        <f aca="false">IF(D417="","",Q417/$B$15)</f>
        <v>0.432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140.088643926251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86.4744715594143</v>
      </c>
      <c r="Z417" s="18" t="n">
        <f aca="false">IF(D417="","",MAX(0,IF(P417&gt;=0,P417,IF(K417+P417&gt;=0,0,P417+K417))))</f>
        <v>140.088643926251</v>
      </c>
      <c r="AA417" s="18" t="n">
        <f aca="false">IF(D417="","",IF(H417&lt;=$B$16,1,IF(H417&gt;=$B$17,$B$21,MATCH(H417,Aux_CAV!$A$2:$A$121,1))))</f>
        <v>22</v>
      </c>
      <c r="AB417" s="18" t="n">
        <f aca="false">IF(D417="","",IF(L417&lt;=$B$16,1,IF(L417&gt;=$B$17,$B$21,MATCH(L417,Aux_CAV!$A$2:$A$121,1))))</f>
        <v>22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0.210104644411484</v>
      </c>
      <c r="E418" s="16" t="n">
        <f aca="false">IF(D418="","",D418*$B$15)</f>
        <v>0.544591238314567</v>
      </c>
      <c r="F418" s="16" t="n">
        <f aca="false" t="array" ref="F418:F418">IF(D418="","",IFERROR(INDEX(Dados_Evap!$C$2:$N$15,MATCH($B$9,Dados_Evap!$A$2:$A$15,0),C418),0))</f>
        <v>241.3</v>
      </c>
      <c r="G418" s="16" t="n">
        <f aca="false">IF(F418="","",F418/1000)</f>
        <v>0.2413</v>
      </c>
      <c r="H418" s="16" t="n">
        <f aca="false">IF(D418="","",MAX(0,MIN($B$8,IFERROR(LOOKUP(2,1/($U$24:U417&lt;&gt;""),$U$24:U417),$B$11))))</f>
        <v>140.088643926251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14.1877050376273</v>
      </c>
      <c r="J418" s="16" t="n">
        <f aca="false">IF(D418="","",$B$12)</f>
        <v>0.432</v>
      </c>
      <c r="K418" s="16" t="n">
        <f aca="false">IF(J418="","",J418*$B$15)</f>
        <v>1.119744</v>
      </c>
      <c r="L418" s="16" t="n">
        <f aca="false">IF(D418="","",H418+E418-K418-G418*I418)</f>
        <v>136.089997938986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13.8965765571113</v>
      </c>
      <c r="N418" s="16" t="n">
        <f aca="false">IF(D418="","",(I418+M418)/2)</f>
        <v>14.0421407973693</v>
      </c>
      <c r="O418" s="16" t="n">
        <f aca="false">IF(D418="","",G418*N418)</f>
        <v>3.38836857440522</v>
      </c>
      <c r="P418" s="16" t="n">
        <f aca="false">IF(D418="","",H418+E418-K418-O418)</f>
        <v>136.12512259016</v>
      </c>
      <c r="Q418" s="16" t="n">
        <f aca="false">IF(D418="","",IF(P418&gt;=0,K418,MAX(0,K418+P418)))</f>
        <v>1.119744</v>
      </c>
      <c r="R418" s="16" t="n">
        <f aca="false">IF(D418="","",Q418/$B$15)</f>
        <v>0.432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136.12512259016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84.0278534507163</v>
      </c>
      <c r="Z418" s="18" t="n">
        <f aca="false">IF(D418="","",MAX(0,IF(P418&gt;=0,P418,IF(K418+P418&gt;=0,0,P418+K418))))</f>
        <v>136.12512259016</v>
      </c>
      <c r="AA418" s="18" t="n">
        <f aca="false">IF(D418="","",IF(H418&lt;=$B$16,1,IF(H418&gt;=$B$17,$B$21,MATCH(H418,Aux_CAV!$A$2:$A$121,1))))</f>
        <v>22</v>
      </c>
      <c r="AB418" s="18" t="n">
        <f aca="false">IF(D418="","",IF(L418&lt;=$B$16,1,IF(L418&gt;=$B$17,$B$21,MATCH(L418,Aux_CAV!$A$2:$A$121,1))))</f>
        <v>22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0.243725640172371</v>
      </c>
      <c r="E419" s="16" t="n">
        <f aca="false">IF(D419="","",D419*$B$15)</f>
        <v>0.631736859326786</v>
      </c>
      <c r="F419" s="16" t="n">
        <f aca="false" t="array" ref="F419:F419">IF(D419="","",IFERROR(INDEX(Dados_Evap!$C$2:$N$15,MATCH($B$9,Dados_Evap!$A$2:$A$15,0),C419),0))</f>
        <v>241.8</v>
      </c>
      <c r="G419" s="16" t="n">
        <f aca="false">IF(F419="","",F419/1000)</f>
        <v>0.2418</v>
      </c>
      <c r="H419" s="16" t="n">
        <f aca="false">IF(D419="","",MAX(0,MIN($B$8,IFERROR(LOOKUP(2,1/($U$24:U418&lt;&gt;""),$U$24:U418),$B$11))))</f>
        <v>136.12512259016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13.8991338693509</v>
      </c>
      <c r="J419" s="16" t="n">
        <f aca="false">IF(D419="","",$B$12)</f>
        <v>0.432</v>
      </c>
      <c r="K419" s="16" t="n">
        <f aca="false">IF(J419="","",J419*$B$15)</f>
        <v>1.119744</v>
      </c>
      <c r="L419" s="16" t="n">
        <f aca="false">IF(D419="","",H419+E419-K419-G419*I419)</f>
        <v>132.276304879878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13.6189139010551</v>
      </c>
      <c r="N419" s="16" t="n">
        <f aca="false">IF(D419="","",(I419+M419)/2)</f>
        <v>13.759023885203</v>
      </c>
      <c r="O419" s="16" t="n">
        <f aca="false">IF(D419="","",G419*N419)</f>
        <v>3.32693197544209</v>
      </c>
      <c r="P419" s="16" t="n">
        <f aca="false">IF(D419="","",H419+E419-K419-O419)</f>
        <v>132.310183474045</v>
      </c>
      <c r="Q419" s="16" t="n">
        <f aca="false">IF(D419="","",IF(P419&gt;=0,K419,MAX(0,K419+P419)))</f>
        <v>1.119744</v>
      </c>
      <c r="R419" s="16" t="n">
        <f aca="false">IF(D419="","",Q419/$B$15)</f>
        <v>0.432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132.310183474045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81.6729527617563</v>
      </c>
      <c r="Z419" s="18" t="n">
        <f aca="false">IF(D419="","",MAX(0,IF(P419&gt;=0,P419,IF(K419+P419&gt;=0,0,P419+K419))))</f>
        <v>132.310183474045</v>
      </c>
      <c r="AA419" s="18" t="n">
        <f aca="false">IF(D419="","",IF(H419&lt;=$B$16,1,IF(H419&gt;=$B$17,$B$21,MATCH(H419,Aux_CAV!$A$2:$A$121,1))))</f>
        <v>22</v>
      </c>
      <c r="AB419" s="18" t="n">
        <f aca="false">IF(D419="","",IF(L419&lt;=$B$16,1,IF(L419&gt;=$B$17,$B$21,MATCH(L419,Aux_CAV!$A$2:$A$121,1))))</f>
        <v>22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0.505288748779559</v>
      </c>
      <c r="E420" s="16" t="n">
        <f aca="false">IF(D420="","",D420*$B$15)</f>
        <v>1.30970843683662</v>
      </c>
      <c r="F420" s="16" t="n">
        <f aca="false" t="array" ref="F420:F420">IF(D420="","",IFERROR(INDEX(Dados_Evap!$C$2:$N$15,MATCH($B$9,Dados_Evap!$A$2:$A$15,0),C420),0))</f>
        <v>189</v>
      </c>
      <c r="G420" s="16" t="n">
        <f aca="false">IF(F420="","",F420/1000)</f>
        <v>0.189</v>
      </c>
      <c r="H420" s="16" t="n">
        <f aca="false">IF(D420="","",MAX(0,MIN($B$8,IFERROR(LOOKUP(2,1/($U$24:U419&lt;&gt;""),$U$24:U419),$B$11))))</f>
        <v>132.310183474045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13.6213804919144</v>
      </c>
      <c r="J420" s="16" t="n">
        <f aca="false">IF(D420="","",$B$12)</f>
        <v>0.432</v>
      </c>
      <c r="K420" s="16" t="n">
        <f aca="false">IF(J420="","",J420*$B$15)</f>
        <v>1.119744</v>
      </c>
      <c r="L420" s="16" t="n">
        <f aca="false">IF(D420="","",H420+E420-K420-G420*I420)</f>
        <v>129.92570699791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13.4477744723933</v>
      </c>
      <c r="N420" s="16" t="n">
        <f aca="false">IF(D420="","",(I420+M420)/2)</f>
        <v>13.5345774821539</v>
      </c>
      <c r="O420" s="16" t="n">
        <f aca="false">IF(D420="","",G420*N420)</f>
        <v>2.55803514412708</v>
      </c>
      <c r="P420" s="16" t="n">
        <f aca="false">IF(D420="","",H420+E420-K420-O420)</f>
        <v>129.942112766755</v>
      </c>
      <c r="Q420" s="16" t="n">
        <f aca="false">IF(D420="","",IF(P420&gt;=0,K420,MAX(0,K420+P420)))</f>
        <v>1.119744</v>
      </c>
      <c r="R420" s="16" t="n">
        <f aca="false">IF(D420="","",Q420/$B$15)</f>
        <v>0.432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129.942112766755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80.211180720219</v>
      </c>
      <c r="Z420" s="18" t="n">
        <f aca="false">IF(D420="","",MAX(0,IF(P420&gt;=0,P420,IF(K420+P420&gt;=0,0,P420+K420))))</f>
        <v>129.942112766755</v>
      </c>
      <c r="AA420" s="18" t="n">
        <f aca="false">IF(D420="","",IF(H420&lt;=$B$16,1,IF(H420&gt;=$B$17,$B$21,MATCH(H420,Aux_CAV!$A$2:$A$121,1))))</f>
        <v>22</v>
      </c>
      <c r="AB420" s="18" t="n">
        <f aca="false">IF(D420="","",IF(L420&lt;=$B$16,1,IF(L420&gt;=$B$17,$B$21,MATCH(L420,Aux_CAV!$A$2:$A$121,1))))</f>
        <v>22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0.676287741077613</v>
      </c>
      <c r="E421" s="16" t="n">
        <f aca="false">IF(D421="","",D421*$B$15)</f>
        <v>1.75293782487317</v>
      </c>
      <c r="F421" s="16" t="n">
        <f aca="false" t="array" ref="F421:F421">IF(D421="","",IFERROR(INDEX(Dados_Evap!$C$2:$N$15,MATCH($B$9,Dados_Evap!$A$2:$A$15,0),C421),0))</f>
        <v>136.9</v>
      </c>
      <c r="G421" s="16" t="n">
        <f aca="false">IF(F421="","",F421/1000)</f>
        <v>0.1369</v>
      </c>
      <c r="H421" s="16" t="n">
        <f aca="false">IF(D421="","",MAX(0,MIN($B$8,IFERROR(LOOKUP(2,1/($U$24:U420&lt;&gt;""),$U$24:U420),$B$11))))</f>
        <v>129.942112766755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13.4489689233576</v>
      </c>
      <c r="J421" s="16" t="n">
        <f aca="false">IF(D421="","",$B$12)</f>
        <v>0.432</v>
      </c>
      <c r="K421" s="16" t="n">
        <f aca="false">IF(J421="","",J421*$B$15)</f>
        <v>1.119744</v>
      </c>
      <c r="L421" s="16" t="n">
        <f aca="false">IF(D421="","",H421+E421-K421-G421*I421)</f>
        <v>128.73414274602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13.3610205333862</v>
      </c>
      <c r="N421" s="16" t="n">
        <f aca="false">IF(D421="","",(I421+M421)/2)</f>
        <v>13.4049947283719</v>
      </c>
      <c r="O421" s="16" t="n">
        <f aca="false">IF(D421="","",G421*N421)</f>
        <v>1.83514377831412</v>
      </c>
      <c r="P421" s="16" t="n">
        <f aca="false">IF(D421="","",H421+E421-K421-O421)</f>
        <v>128.740162813314</v>
      </c>
      <c r="Q421" s="16" t="n">
        <f aca="false">IF(D421="","",IF(P421&gt;=0,K421,MAX(0,K421+P421)))</f>
        <v>1.119744</v>
      </c>
      <c r="R421" s="16" t="n">
        <f aca="false">IF(D421="","",Q421/$B$15)</f>
        <v>0.432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128.740162813314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79.4692363045147</v>
      </c>
      <c r="Z421" s="18" t="n">
        <f aca="false">IF(D421="","",MAX(0,IF(P421&gt;=0,P421,IF(K421+P421&gt;=0,0,P421+K421))))</f>
        <v>128.740162813314</v>
      </c>
      <c r="AA421" s="18" t="n">
        <f aca="false">IF(D421="","",IF(H421&lt;=$B$16,1,IF(H421&gt;=$B$17,$B$21,MATCH(H421,Aux_CAV!$A$2:$A$121,1))))</f>
        <v>22</v>
      </c>
      <c r="AB421" s="18" t="n">
        <f aca="false">IF(D421="","",IF(L421&lt;=$B$16,1,IF(L421&gt;=$B$17,$B$21,MATCH(L421,Aux_CAV!$A$2:$A$121,1))))</f>
        <v>22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1.46941493660953</v>
      </c>
      <c r="E422" s="16" t="n">
        <f aca="false">IF(D422="","",D422*$B$15)</f>
        <v>3.8087235156919</v>
      </c>
      <c r="F422" s="16" t="n">
        <f aca="false" t="array" ref="F422:F422">IF(D422="","",IFERROR(INDEX(Dados_Evap!$C$2:$N$15,MATCH($B$9,Dados_Evap!$A$2:$A$15,0),C422),0))</f>
        <v>102.9</v>
      </c>
      <c r="G422" s="16" t="n">
        <f aca="false">IF(F422="","",F422/1000)</f>
        <v>0.1029</v>
      </c>
      <c r="H422" s="16" t="n">
        <f aca="false">IF(D422="","",MAX(0,MIN($B$8,IFERROR(LOOKUP(2,1/($U$24:U421&lt;&gt;""),$U$24:U421),$B$11))))</f>
        <v>128.740162813314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13.3614588350137</v>
      </c>
      <c r="J422" s="16" t="n">
        <f aca="false">IF(D422="","",$B$12)</f>
        <v>0.432</v>
      </c>
      <c r="K422" s="16" t="n">
        <f aca="false">IF(J422="","",J422*$B$15)</f>
        <v>1.119744</v>
      </c>
      <c r="L422" s="16" t="n">
        <f aca="false">IF(D422="","",H422+E422-K422-G422*I422)</f>
        <v>130.054248214883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13.4571331426282</v>
      </c>
      <c r="N422" s="16" t="n">
        <f aca="false">IF(D422="","",(I422+M422)/2)</f>
        <v>13.4092959888209</v>
      </c>
      <c r="O422" s="16" t="n">
        <f aca="false">IF(D422="","",G422*N422)</f>
        <v>1.37981655724967</v>
      </c>
      <c r="P422" s="16" t="n">
        <f aca="false">IF(D422="","",H422+E422-K422-O422)</f>
        <v>130.049325771756</v>
      </c>
      <c r="Q422" s="16" t="n">
        <f aca="false">IF(D422="","",IF(P422&gt;=0,K422,MAX(0,K422+P422)))</f>
        <v>1.119744</v>
      </c>
      <c r="R422" s="16" t="n">
        <f aca="false">IF(D422="","",Q422/$B$15)</f>
        <v>0.432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130.049325771756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80.2773615875037</v>
      </c>
      <c r="Z422" s="18" t="n">
        <f aca="false">IF(D422="","",MAX(0,IF(P422&gt;=0,P422,IF(K422+P422&gt;=0,0,P422+K422))))</f>
        <v>130.049325771756</v>
      </c>
      <c r="AA422" s="18" t="n">
        <f aca="false">IF(D422="","",IF(H422&lt;=$B$16,1,IF(H422&gt;=$B$17,$B$21,MATCH(H422,Aux_CAV!$A$2:$A$121,1))))</f>
        <v>22</v>
      </c>
      <c r="AB422" s="18" t="n">
        <f aca="false">IF(D422="","",IF(L422&lt;=$B$16,1,IF(L422&gt;=$B$17,$B$21,MATCH(L422,Aux_CAV!$A$2:$A$121,1))))</f>
        <v>22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3.21040345198382</v>
      </c>
      <c r="E423" s="16" t="n">
        <f aca="false">IF(D423="","",D423*$B$15)</f>
        <v>8.32136574754206</v>
      </c>
      <c r="F423" s="16" t="n">
        <f aca="false" t="array" ref="F423:F423">IF(D423="","",IFERROR(INDEX(Dados_Evap!$C$2:$N$15,MATCH($B$9,Dados_Evap!$A$2:$A$15,0),C423),0))</f>
        <v>81.8</v>
      </c>
      <c r="G423" s="16" t="n">
        <f aca="false">IF(F423="","",F423/1000)</f>
        <v>0.0818</v>
      </c>
      <c r="H423" s="16" t="n">
        <f aca="false">IF(D423="","",MAX(0,MIN($B$8,IFERROR(LOOKUP(2,1/($U$24:U422&lt;&gt;""),$U$24:U422),$B$11))))</f>
        <v>130.049325771756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13.456774755466</v>
      </c>
      <c r="J423" s="16" t="n">
        <f aca="false">IF(D423="","",$B$12)</f>
        <v>0.432</v>
      </c>
      <c r="K423" s="16" t="n">
        <f aca="false">IF(J423="","",J423*$B$15)</f>
        <v>1.119744</v>
      </c>
      <c r="L423" s="16" t="n">
        <f aca="false">IF(D423="","",H423+E423-K423-G423*I423)</f>
        <v>136.150183344301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13.9009584617997</v>
      </c>
      <c r="N423" s="16" t="n">
        <f aca="false">IF(D423="","",(I423+M423)/2)</f>
        <v>13.6788666086328</v>
      </c>
      <c r="O423" s="16" t="n">
        <f aca="false">IF(D423="","",G423*N423)</f>
        <v>1.11893128858617</v>
      </c>
      <c r="P423" s="16" t="n">
        <f aca="false">IF(D423="","",H423+E423-K423-O423)</f>
        <v>136.132016230712</v>
      </c>
      <c r="Q423" s="16" t="n">
        <f aca="false">IF(D423="","",IF(P423&gt;=0,K423,MAX(0,K423+P423)))</f>
        <v>1.119744</v>
      </c>
      <c r="R423" s="16" t="n">
        <f aca="false">IF(D423="","",Q423/$B$15)</f>
        <v>0.432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136.132016230712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84.0321087843901</v>
      </c>
      <c r="Z423" s="18" t="n">
        <f aca="false">IF(D423="","",MAX(0,IF(P423&gt;=0,P423,IF(K423+P423&gt;=0,0,P423+K423))))</f>
        <v>136.132016230712</v>
      </c>
      <c r="AA423" s="18" t="n">
        <f aca="false">IF(D423="","",IF(H423&lt;=$B$16,1,IF(H423&gt;=$B$17,$B$21,MATCH(H423,Aux_CAV!$A$2:$A$121,1))))</f>
        <v>22</v>
      </c>
      <c r="AB423" s="18" t="n">
        <f aca="false">IF(D423="","",IF(L423&lt;=$B$16,1,IF(L423&gt;=$B$17,$B$21,MATCH(L423,Aux_CAV!$A$2:$A$121,1))))</f>
        <v>22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1.5043212328028</v>
      </c>
      <c r="E424" s="16" t="n">
        <f aca="false">IF(D424="","",D424*$B$15)</f>
        <v>3.89920063542486</v>
      </c>
      <c r="F424" s="16" t="n">
        <f aca="false" t="array" ref="F424:F424">IF(D424="","",IFERROR(INDEX(Dados_Evap!$C$2:$N$15,MATCH($B$9,Dados_Evap!$A$2:$A$15,0),C424),0))</f>
        <v>83.6</v>
      </c>
      <c r="G424" s="16" t="n">
        <f aca="false">IF(F424="","",F424/1000)</f>
        <v>0.0836</v>
      </c>
      <c r="H424" s="16" t="n">
        <f aca="false">IF(D424="","",MAX(0,MIN($B$8,IFERROR(LOOKUP(2,1/($U$24:U423&lt;&gt;""),$U$24:U423),$B$11))))</f>
        <v>136.132016230712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13.8996357730217</v>
      </c>
      <c r="J424" s="16" t="n">
        <f aca="false">IF(D424="","",$B$12)</f>
        <v>0.432</v>
      </c>
      <c r="K424" s="16" t="n">
        <f aca="false">IF(J424="","",J424*$B$15)</f>
        <v>1.119744</v>
      </c>
      <c r="L424" s="16" t="n">
        <f aca="false">IF(D424="","",H424+E424-K424-G424*I424)</f>
        <v>137.749463315512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14.017396863554</v>
      </c>
      <c r="N424" s="16" t="n">
        <f aca="false">IF(D424="","",(I424+M424)/2)</f>
        <v>13.9585163182878</v>
      </c>
      <c r="O424" s="16" t="n">
        <f aca="false">IF(D424="","",G424*N424)</f>
        <v>1.16693196420886</v>
      </c>
      <c r="P424" s="16" t="n">
        <f aca="false">IF(D424="","",H424+E424-K424-O424)</f>
        <v>137.744540901928</v>
      </c>
      <c r="Q424" s="16" t="n">
        <f aca="false">IF(D424="","",IF(P424&gt;=0,K424,MAX(0,K424+P424)))</f>
        <v>1.119744</v>
      </c>
      <c r="R424" s="16" t="n">
        <f aca="false">IF(D424="","",Q424/$B$15)</f>
        <v>0.432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137.744540901928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85.0274943839061</v>
      </c>
      <c r="Z424" s="18" t="n">
        <f aca="false">IF(D424="","",MAX(0,IF(P424&gt;=0,P424,IF(K424+P424&gt;=0,0,P424+K424))))</f>
        <v>137.744540901928</v>
      </c>
      <c r="AA424" s="18" t="n">
        <f aca="false">IF(D424="","",IF(H424&lt;=$B$16,1,IF(H424&gt;=$B$17,$B$21,MATCH(H424,Aux_CAV!$A$2:$A$121,1))))</f>
        <v>22</v>
      </c>
      <c r="AB424" s="18" t="n">
        <f aca="false">IF(D424="","",IF(L424&lt;=$B$16,1,IF(L424&gt;=$B$17,$B$21,MATCH(L424,Aux_CAV!$A$2:$A$121,1))))</f>
        <v>22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0.661070657399511</v>
      </c>
      <c r="E425" s="16" t="n">
        <f aca="false">IF(D425="","",D425*$B$15)</f>
        <v>1.71349514397953</v>
      </c>
      <c r="F425" s="16" t="n">
        <f aca="false" t="array" ref="F425:F425">IF(D425="","",IFERROR(INDEX(Dados_Evap!$C$2:$N$15,MATCH($B$9,Dados_Evap!$A$2:$A$15,0),C425),0))</f>
        <v>108.2</v>
      </c>
      <c r="G425" s="16" t="n">
        <f aca="false">IF(F425="","",F425/1000)</f>
        <v>0.1082</v>
      </c>
      <c r="H425" s="16" t="n">
        <f aca="false">IF(D425="","",MAX(0,MIN($B$8,IFERROR(LOOKUP(2,1/($U$24:U424&lt;&gt;""),$U$24:U424),$B$11))))</f>
        <v>137.744540901928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14.0170384785427</v>
      </c>
      <c r="J425" s="16" t="n">
        <f aca="false">IF(D425="","",$B$12)</f>
        <v>0.432</v>
      </c>
      <c r="K425" s="16" t="n">
        <f aca="false">IF(J425="","",J425*$B$15)</f>
        <v>1.119744</v>
      </c>
      <c r="L425" s="16" t="n">
        <f aca="false">IF(D425="","",H425+E425-K425-G425*I425)</f>
        <v>136.821648482529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13.9498456666271</v>
      </c>
      <c r="N425" s="16" t="n">
        <f aca="false">IF(D425="","",(I425+M425)/2)</f>
        <v>13.9834420725849</v>
      </c>
      <c r="O425" s="16" t="n">
        <f aca="false">IF(D425="","",G425*N425)</f>
        <v>1.51300843225368</v>
      </c>
      <c r="P425" s="16" t="n">
        <f aca="false">IF(D425="","",H425+E425-K425-O425)</f>
        <v>136.825283613654</v>
      </c>
      <c r="Q425" s="16" t="n">
        <f aca="false">IF(D425="","",IF(P425&gt;=0,K425,MAX(0,K425+P425)))</f>
        <v>1.119744</v>
      </c>
      <c r="R425" s="16" t="n">
        <f aca="false">IF(D425="","",Q425/$B$15)</f>
        <v>0.432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136.825283613654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84.4600516133665</v>
      </c>
      <c r="Z425" s="18" t="n">
        <f aca="false">IF(D425="","",MAX(0,IF(P425&gt;=0,P425,IF(K425+P425&gt;=0,0,P425+K425))))</f>
        <v>136.825283613654</v>
      </c>
      <c r="AA425" s="18" t="n">
        <f aca="false">IF(D425="","",IF(H425&lt;=$B$16,1,IF(H425&gt;=$B$17,$B$21,MATCH(H425,Aux_CAV!$A$2:$A$121,1))))</f>
        <v>22</v>
      </c>
      <c r="AB425" s="18" t="n">
        <f aca="false">IF(D425="","",IF(L425&lt;=$B$16,1,IF(L425&gt;=$B$17,$B$21,MATCH(L425,Aux_CAV!$A$2:$A$121,1))))</f>
        <v>22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1.05253679138567</v>
      </c>
      <c r="E426" s="16" t="n">
        <f aca="false">IF(D426="","",D426*$B$15)</f>
        <v>2.72817536327166</v>
      </c>
      <c r="F426" s="16" t="n">
        <f aca="false" t="array" ref="F426:F426">IF(D426="","",IFERROR(INDEX(Dados_Evap!$C$2:$N$15,MATCH($B$9,Dados_Evap!$A$2:$A$15,0),C426),0))</f>
        <v>149</v>
      </c>
      <c r="G426" s="16" t="n">
        <f aca="false">IF(F426="","",F426/1000)</f>
        <v>0.149</v>
      </c>
      <c r="H426" s="16" t="n">
        <f aca="false">IF(D426="","",MAX(0,MIN($B$8,IFERROR(LOOKUP(2,1/($U$24:U425&lt;&gt;""),$U$24:U425),$B$11))))</f>
        <v>136.825283613654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13.9501103287663</v>
      </c>
      <c r="J426" s="16" t="n">
        <f aca="false">IF(D426="","",$B$12)</f>
        <v>0.432</v>
      </c>
      <c r="K426" s="16" t="n">
        <f aca="false">IF(J426="","",J426*$B$15)</f>
        <v>1.119744</v>
      </c>
      <c r="L426" s="16" t="n">
        <f aca="false">IF(D426="","",H426+E426-K426-G426*I426)</f>
        <v>136.355148537939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13.9158813145785</v>
      </c>
      <c r="N426" s="16" t="n">
        <f aca="false">IF(D426="","",(I426+M426)/2)</f>
        <v>13.9329958216724</v>
      </c>
      <c r="O426" s="16" t="n">
        <f aca="false">IF(D426="","",G426*N426)</f>
        <v>2.07601637742918</v>
      </c>
      <c r="P426" s="16" t="n">
        <f aca="false">IF(D426="","",H426+E426-K426-O426)</f>
        <v>136.357698599496</v>
      </c>
      <c r="Q426" s="16" t="n">
        <f aca="false">IF(D426="","",IF(P426&gt;=0,K426,MAX(0,K426+P426)))</f>
        <v>1.119744</v>
      </c>
      <c r="R426" s="16" t="n">
        <f aca="false">IF(D426="","",Q426/$B$15)</f>
        <v>0.432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136.357698599496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84.1714188885779</v>
      </c>
      <c r="Z426" s="18" t="n">
        <f aca="false">IF(D426="","",MAX(0,IF(P426&gt;=0,P426,IF(K426+P426&gt;=0,0,P426+K426))))</f>
        <v>136.357698599496</v>
      </c>
      <c r="AA426" s="18" t="n">
        <f aca="false">IF(D426="","",IF(H426&lt;=$B$16,1,IF(H426&gt;=$B$17,$B$21,MATCH(H426,Aux_CAV!$A$2:$A$121,1))))</f>
        <v>22</v>
      </c>
      <c r="AB426" s="18" t="n">
        <f aca="false">IF(D426="","",IF(L426&lt;=$B$16,1,IF(L426&gt;=$B$17,$B$21,MATCH(L426,Aux_CAV!$A$2:$A$121,1))))</f>
        <v>22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0.33135620044252</v>
      </c>
      <c r="E427" s="16" t="n">
        <f aca="false">IF(D427="","",D427*$B$15)</f>
        <v>0.858875271547012</v>
      </c>
      <c r="F427" s="16" t="n">
        <f aca="false" t="array" ref="F427:F427">IF(D427="","",IFERROR(INDEX(Dados_Evap!$C$2:$N$15,MATCH($B$9,Dados_Evap!$A$2:$A$15,0),C427),0))</f>
        <v>206.8</v>
      </c>
      <c r="G427" s="16" t="n">
        <f aca="false">IF(F427="","",F427/1000)</f>
        <v>0.2068</v>
      </c>
      <c r="H427" s="16" t="n">
        <f aca="false">IF(D427="","",MAX(0,MIN($B$8,IFERROR(LOOKUP(2,1/($U$24:U426&lt;&gt;""),$U$24:U426),$B$11))))</f>
        <v>136.357698599496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13.9160669763121</v>
      </c>
      <c r="J427" s="16" t="n">
        <f aca="false">IF(D427="","",$B$12)</f>
        <v>0.432</v>
      </c>
      <c r="K427" s="16" t="n">
        <f aca="false">IF(J427="","",J427*$B$15)</f>
        <v>1.119744</v>
      </c>
      <c r="L427" s="16" t="n">
        <f aca="false">IF(D427="","",H427+E427-K427-G427*I427)</f>
        <v>133.218987220342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13.687547553112</v>
      </c>
      <c r="N427" s="16" t="n">
        <f aca="false">IF(D427="","",(I427+M427)/2)</f>
        <v>13.8018072647121</v>
      </c>
      <c r="O427" s="16" t="n">
        <f aca="false">IF(D427="","",G427*N427)</f>
        <v>2.85421374234245</v>
      </c>
      <c r="P427" s="16" t="n">
        <f aca="false">IF(D427="","",H427+E427-K427-O427)</f>
        <v>133.242616128701</v>
      </c>
      <c r="Q427" s="16" t="n">
        <f aca="false">IF(D427="","",IF(P427&gt;=0,K427,MAX(0,K427+P427)))</f>
        <v>1.119744</v>
      </c>
      <c r="R427" s="16" t="n">
        <f aca="false">IF(D427="","",Q427/$B$15)</f>
        <v>0.432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133.242616128701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82.2485284745067</v>
      </c>
      <c r="Z427" s="18" t="n">
        <f aca="false">IF(D427="","",MAX(0,IF(P427&gt;=0,P427,IF(K427+P427&gt;=0,0,P427+K427))))</f>
        <v>133.242616128701</v>
      </c>
      <c r="AA427" s="18" t="n">
        <f aca="false">IF(D427="","",IF(H427&lt;=$B$16,1,IF(H427&gt;=$B$17,$B$21,MATCH(H427,Aux_CAV!$A$2:$A$121,1))))</f>
        <v>22</v>
      </c>
      <c r="AB427" s="18" t="n">
        <f aca="false">IF(D427="","",IF(L427&lt;=$B$16,1,IF(L427&gt;=$B$17,$B$21,MATCH(L427,Aux_CAV!$A$2:$A$121,1))))</f>
        <v>22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0.185783766242636</v>
      </c>
      <c r="E428" s="16" t="n">
        <f aca="false">IF(D428="","",D428*$B$15)</f>
        <v>0.481551522100913</v>
      </c>
      <c r="F428" s="16" t="n">
        <f aca="false" t="array" ref="F428:F428">IF(D428="","",IFERROR(INDEX(Dados_Evap!$C$2:$N$15,MATCH($B$9,Dados_Evap!$A$2:$A$15,0),C428),0))</f>
        <v>245.9</v>
      </c>
      <c r="G428" s="16" t="n">
        <f aca="false">IF(F428="","",F428/1000)</f>
        <v>0.2459</v>
      </c>
      <c r="H428" s="16" t="n">
        <f aca="false">IF(D428="","",MAX(0,MIN($B$8,IFERROR(LOOKUP(2,1/($U$24:U427&lt;&gt;""),$U$24:U427),$B$11))))</f>
        <v>133.242616128701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13.6892678975007</v>
      </c>
      <c r="J428" s="16" t="n">
        <f aca="false">IF(D428="","",$B$12)</f>
        <v>0.432</v>
      </c>
      <c r="K428" s="16" t="n">
        <f aca="false">IF(J428="","",J428*$B$15)</f>
        <v>1.119744</v>
      </c>
      <c r="L428" s="16" t="n">
        <f aca="false">IF(D428="","",H428+E428-K428-G428*I428)</f>
        <v>129.238232674806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13.3977216905975</v>
      </c>
      <c r="N428" s="16" t="n">
        <f aca="false">IF(D428="","",(I428+M428)/2)</f>
        <v>13.5434947940491</v>
      </c>
      <c r="O428" s="16" t="n">
        <f aca="false">IF(D428="","",G428*N428)</f>
        <v>3.33034536985668</v>
      </c>
      <c r="P428" s="16" t="n">
        <f aca="false">IF(D428="","",H428+E428-K428-O428)</f>
        <v>129.274078280945</v>
      </c>
      <c r="Q428" s="16" t="n">
        <f aca="false">IF(D428="","",IF(P428&gt;=0,K428,MAX(0,K428+P428)))</f>
        <v>1.119744</v>
      </c>
      <c r="R428" s="16" t="n">
        <f aca="false">IF(D428="","",Q428/$B$15)</f>
        <v>0.432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129.274078280945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79.7988137536698</v>
      </c>
      <c r="Z428" s="18" t="n">
        <f aca="false">IF(D428="","",MAX(0,IF(P428&gt;=0,P428,IF(K428+P428&gt;=0,0,P428+K428))))</f>
        <v>129.274078280945</v>
      </c>
      <c r="AA428" s="18" t="n">
        <f aca="false">IF(D428="","",IF(H428&lt;=$B$16,1,IF(H428&gt;=$B$17,$B$21,MATCH(H428,Aux_CAV!$A$2:$A$121,1))))</f>
        <v>22</v>
      </c>
      <c r="AB428" s="18" t="n">
        <f aca="false">IF(D428="","",IF(L428&lt;=$B$16,1,IF(L428&gt;=$B$17,$B$21,MATCH(L428,Aux_CAV!$A$2:$A$121,1))))</f>
        <v>22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0.180133521306412</v>
      </c>
      <c r="E429" s="16" t="n">
        <f aca="false">IF(D429="","",D429*$B$15)</f>
        <v>0.46690608722622</v>
      </c>
      <c r="F429" s="16" t="n">
        <f aca="false" t="array" ref="F429:F429">IF(D429="","",IFERROR(INDEX(Dados_Evap!$C$2:$N$15,MATCH($B$9,Dados_Evap!$A$2:$A$15,0),C429),0))</f>
        <v>282.3</v>
      </c>
      <c r="G429" s="16" t="n">
        <f aca="false">IF(F429="","",F429/1000)</f>
        <v>0.2823</v>
      </c>
      <c r="H429" s="16" t="n">
        <f aca="false">IF(D429="","",MAX(0,MIN($B$8,IFERROR(LOOKUP(2,1/($U$24:U428&lt;&gt;""),$U$24:U428),$B$11))))</f>
        <v>129.274078280945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13.4003314932361</v>
      </c>
      <c r="J429" s="16" t="n">
        <f aca="false">IF(D429="","",$B$12)</f>
        <v>0.432</v>
      </c>
      <c r="K429" s="16" t="n">
        <f aca="false">IF(J429="","",J429*$B$15)</f>
        <v>1.119744</v>
      </c>
      <c r="L429" s="16" t="n">
        <f aca="false">IF(D429="","",H429+E429-K429-G429*I429)</f>
        <v>124.838326787631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13.0773787746639</v>
      </c>
      <c r="N429" s="16" t="n">
        <f aca="false">IF(D429="","",(I429+M429)/2)</f>
        <v>13.23885513395</v>
      </c>
      <c r="O429" s="16" t="n">
        <f aca="false">IF(D429="","",G429*N429)</f>
        <v>3.73732880431409</v>
      </c>
      <c r="P429" s="16" t="n">
        <f aca="false">IF(D429="","",H429+E429-K429-O429)</f>
        <v>124.883911563857</v>
      </c>
      <c r="Q429" s="16" t="n">
        <f aca="false">IF(D429="","",IF(P429&gt;=0,K429,MAX(0,K429+P429)))</f>
        <v>1.119744</v>
      </c>
      <c r="R429" s="16" t="n">
        <f aca="false">IF(D429="","",Q429/$B$15)</f>
        <v>0.432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124.883911563857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77.0888342986773</v>
      </c>
      <c r="Z429" s="18" t="n">
        <f aca="false">IF(D429="","",MAX(0,IF(P429&gt;=0,P429,IF(K429+P429&gt;=0,0,P429+K429))))</f>
        <v>124.883911563857</v>
      </c>
      <c r="AA429" s="18" t="n">
        <f aca="false">IF(D429="","",IF(H429&lt;=$B$16,1,IF(H429&gt;=$B$17,$B$21,MATCH(H429,Aux_CAV!$A$2:$A$121,1))))</f>
        <v>22</v>
      </c>
      <c r="AB429" s="18" t="n">
        <f aca="false">IF(D429="","",IF(L429&lt;=$B$16,1,IF(L429&gt;=$B$17,$B$21,MATCH(L429,Aux_CAV!$A$2:$A$121,1))))</f>
        <v>22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0.25964960063647</v>
      </c>
      <c r="E430" s="16" t="n">
        <f aca="false">IF(D430="","",D430*$B$15)</f>
        <v>0.67301176484973</v>
      </c>
      <c r="F430" s="16" t="n">
        <f aca="false" t="array" ref="F430:F430">IF(D430="","",IFERROR(INDEX(Dados_Evap!$C$2:$N$15,MATCH($B$9,Dados_Evap!$A$2:$A$15,0),C430),0))</f>
        <v>241.3</v>
      </c>
      <c r="G430" s="16" t="n">
        <f aca="false">IF(F430="","",F430/1000)</f>
        <v>0.2413</v>
      </c>
      <c r="H430" s="16" t="n">
        <f aca="false">IF(D430="","",MAX(0,MIN($B$8,IFERROR(LOOKUP(2,1/($U$24:U429&lt;&gt;""),$U$24:U429),$B$11))))</f>
        <v>124.883911563857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13.0806976547747</v>
      </c>
      <c r="J430" s="16" t="n">
        <f aca="false">IF(D430="","",$B$12)</f>
        <v>0.432</v>
      </c>
      <c r="K430" s="16" t="n">
        <f aca="false">IF(J430="","",J430*$B$15)</f>
        <v>1.119744</v>
      </c>
      <c r="L430" s="16" t="n">
        <f aca="false">IF(D430="","",H430+E430-K430-G430*I430)</f>
        <v>121.28080698461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12.8183672647784</v>
      </c>
      <c r="N430" s="16" t="n">
        <f aca="false">IF(D430="","",(I430+M430)/2)</f>
        <v>12.9495324597766</v>
      </c>
      <c r="O430" s="16" t="n">
        <f aca="false">IF(D430="","",G430*N430)</f>
        <v>3.12472218254409</v>
      </c>
      <c r="P430" s="16" t="n">
        <f aca="false">IF(D430="","",H430+E430-K430-O430)</f>
        <v>121.312457146163</v>
      </c>
      <c r="Q430" s="16" t="n">
        <f aca="false">IF(D430="","",IF(P430&gt;=0,K430,MAX(0,K430+P430)))</f>
        <v>1.119744</v>
      </c>
      <c r="R430" s="16" t="n">
        <f aca="false">IF(D430="","",Q430/$B$15)</f>
        <v>0.432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121.312457146163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74.8842328062734</v>
      </c>
      <c r="Z430" s="18" t="n">
        <f aca="false">IF(D430="","",MAX(0,IF(P430&gt;=0,P430,IF(K430+P430&gt;=0,0,P430+K430))))</f>
        <v>121.312457146163</v>
      </c>
      <c r="AA430" s="18" t="n">
        <f aca="false">IF(D430="","",IF(H430&lt;=$B$16,1,IF(H430&gt;=$B$17,$B$21,MATCH(H430,Aux_CAV!$A$2:$A$121,1))))</f>
        <v>22</v>
      </c>
      <c r="AB430" s="18" t="n">
        <f aca="false">IF(D430="","",IF(L430&lt;=$B$16,1,IF(L430&gt;=$B$17,$B$21,MATCH(L430,Aux_CAV!$A$2:$A$121,1))))</f>
        <v>22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0.381730840219713</v>
      </c>
      <c r="E431" s="16" t="n">
        <f aca="false">IF(D431="","",D431*$B$15)</f>
        <v>0.989446337849496</v>
      </c>
      <c r="F431" s="16" t="n">
        <f aca="false" t="array" ref="F431:F431">IF(D431="","",IFERROR(INDEX(Dados_Evap!$C$2:$N$15,MATCH($B$9,Dados_Evap!$A$2:$A$15,0),C431),0))</f>
        <v>241.8</v>
      </c>
      <c r="G431" s="16" t="n">
        <f aca="false">IF(F431="","",F431/1000)</f>
        <v>0.2418</v>
      </c>
      <c r="H431" s="16" t="n">
        <f aca="false">IF(D431="","",MAX(0,MIN($B$8,IFERROR(LOOKUP(2,1/($U$24:U430&lt;&gt;""),$U$24:U430),$B$11))))</f>
        <v>121.312457146163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12.8206716106671</v>
      </c>
      <c r="J431" s="16" t="n">
        <f aca="false">IF(D431="","",$B$12)</f>
        <v>0.432</v>
      </c>
      <c r="K431" s="16" t="n">
        <f aca="false">IF(J431="","",J431*$B$15)</f>
        <v>1.119744</v>
      </c>
      <c r="L431" s="16" t="n">
        <f aca="false">IF(D431="","",H431+E431-K431-G431*I431)</f>
        <v>118.082121088553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12.5854812909931</v>
      </c>
      <c r="N431" s="16" t="n">
        <f aca="false">IF(D431="","",(I431+M431)/2)</f>
        <v>12.7030764508301</v>
      </c>
      <c r="O431" s="16" t="n">
        <f aca="false">IF(D431="","",G431*N431)</f>
        <v>3.07160388581071</v>
      </c>
      <c r="P431" s="16" t="n">
        <f aca="false">IF(D431="","",H431+E431-K431-O431)</f>
        <v>118.110555598202</v>
      </c>
      <c r="Q431" s="16" t="n">
        <f aca="false">IF(D431="","",IF(P431&gt;=0,K431,MAX(0,K431+P431)))</f>
        <v>1.119744</v>
      </c>
      <c r="R431" s="16" t="n">
        <f aca="false">IF(D431="","",Q431/$B$15)</f>
        <v>0.432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118.110555598202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72.9077503692603</v>
      </c>
      <c r="Z431" s="18" t="n">
        <f aca="false">IF(D431="","",MAX(0,IF(P431&gt;=0,P431,IF(K431+P431&gt;=0,0,P431+K431))))</f>
        <v>118.110555598202</v>
      </c>
      <c r="AA431" s="18" t="n">
        <f aca="false">IF(D431="","",IF(H431&lt;=$B$16,1,IF(H431&gt;=$B$17,$B$21,MATCH(H431,Aux_CAV!$A$2:$A$121,1))))</f>
        <v>22</v>
      </c>
      <c r="AB431" s="18" t="n">
        <f aca="false">IF(D431="","",IF(L431&lt;=$B$16,1,IF(L431&gt;=$B$17,$B$21,MATCH(L431,Aux_CAV!$A$2:$A$121,1))))</f>
        <v>22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0.548810003218322</v>
      </c>
      <c r="E432" s="16" t="n">
        <f aca="false">IF(D432="","",D432*$B$15)</f>
        <v>1.42251552834189</v>
      </c>
      <c r="F432" s="16" t="n">
        <f aca="false" t="array" ref="F432:F432">IF(D432="","",IFERROR(INDEX(Dados_Evap!$C$2:$N$15,MATCH($B$9,Dados_Evap!$A$2:$A$15,0),C432),0))</f>
        <v>189</v>
      </c>
      <c r="G432" s="16" t="n">
        <f aca="false">IF(F432="","",F432/1000)</f>
        <v>0.189</v>
      </c>
      <c r="H432" s="16" t="n">
        <f aca="false">IF(D432="","",MAX(0,MIN($B$8,IFERROR(LOOKUP(2,1/($U$24:U431&lt;&gt;""),$U$24:U431),$B$11))))</f>
        <v>118.110555598202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12.5875515156678</v>
      </c>
      <c r="J432" s="16" t="n">
        <f aca="false">IF(D432="","",$B$12)</f>
        <v>0.432</v>
      </c>
      <c r="K432" s="16" t="n">
        <f aca="false">IF(J432="","",J432*$B$15)</f>
        <v>1.119744</v>
      </c>
      <c r="L432" s="16" t="n">
        <f aca="false">IF(D432="","",H432+E432-K432-G432*I432)</f>
        <v>116.034279890082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12.4363845971753</v>
      </c>
      <c r="N432" s="16" t="n">
        <f aca="false">IF(D432="","",(I432+M432)/2)</f>
        <v>12.5119680564216</v>
      </c>
      <c r="O432" s="16" t="n">
        <f aca="false">IF(D432="","",G432*N432)</f>
        <v>2.36476196266367</v>
      </c>
      <c r="P432" s="16" t="n">
        <f aca="false">IF(D432="","",H432+E432-K432-O432)</f>
        <v>116.04856516388</v>
      </c>
      <c r="Q432" s="16" t="n">
        <f aca="false">IF(D432="","",IF(P432&gt;=0,K432,MAX(0,K432+P432)))</f>
        <v>1.119744</v>
      </c>
      <c r="R432" s="16" t="n">
        <f aca="false">IF(D432="","",Q432/$B$15)</f>
        <v>0.432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116.04856516388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71.6349167678271</v>
      </c>
      <c r="Z432" s="18" t="n">
        <f aca="false">IF(D432="","",MAX(0,IF(P432&gt;=0,P432,IF(K432+P432&gt;=0,0,P432+K432))))</f>
        <v>116.04856516388</v>
      </c>
      <c r="AA432" s="18" t="n">
        <f aca="false">IF(D432="","",IF(H432&lt;=$B$16,1,IF(H432&gt;=$B$17,$B$21,MATCH(H432,Aux_CAV!$A$2:$A$121,1))))</f>
        <v>22</v>
      </c>
      <c r="AB432" s="18" t="n">
        <f aca="false">IF(D432="","",IF(L432&lt;=$B$16,1,IF(L432&gt;=$B$17,$B$21,MATCH(L432,Aux_CAV!$A$2:$A$121,1))))</f>
        <v>22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0.263759429807719</v>
      </c>
      <c r="E433" s="16" t="n">
        <f aca="false">IF(D433="","",D433*$B$15)</f>
        <v>0.683664442061608</v>
      </c>
      <c r="F433" s="16" t="n">
        <f aca="false" t="array" ref="F433:F433">IF(D433="","",IFERROR(INDEX(Dados_Evap!$C$2:$N$15,MATCH($B$9,Dados_Evap!$A$2:$A$15,0),C433),0))</f>
        <v>136.9</v>
      </c>
      <c r="G433" s="16" t="n">
        <f aca="false">IF(F433="","",F433/1000)</f>
        <v>0.1369</v>
      </c>
      <c r="H433" s="16" t="n">
        <f aca="false">IF(D433="","",MAX(0,MIN($B$8,IFERROR(LOOKUP(2,1/($U$24:U432&lt;&gt;""),$U$24:U432),$B$11))))</f>
        <v>116.04856516388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12.4374246617541</v>
      </c>
      <c r="J433" s="16" t="n">
        <f aca="false">IF(D433="","",$B$12)</f>
        <v>0.432</v>
      </c>
      <c r="K433" s="16" t="n">
        <f aca="false">IF(J433="","",J433*$B$15)</f>
        <v>1.119744</v>
      </c>
      <c r="L433" s="16" t="n">
        <f aca="false">IF(D433="","",H433+E433-K433-G433*I433)</f>
        <v>113.909802169747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12.2817082460852</v>
      </c>
      <c r="N433" s="16" t="n">
        <f aca="false">IF(D433="","",(I433+M433)/2)</f>
        <v>12.3595664539197</v>
      </c>
      <c r="O433" s="16" t="n">
        <f aca="false">IF(D433="","",G433*N433)</f>
        <v>1.6920246475416</v>
      </c>
      <c r="P433" s="16" t="n">
        <f aca="false">IF(D433="","",H433+E433-K433-O433)</f>
        <v>113.9204609584</v>
      </c>
      <c r="Q433" s="16" t="n">
        <f aca="false">IF(D433="","",IF(P433&gt;=0,K433,MAX(0,K433+P433)))</f>
        <v>1.119744</v>
      </c>
      <c r="R433" s="16" t="n">
        <f aca="false">IF(D433="","",Q433/$B$15)</f>
        <v>0.432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113.9204609584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70.3212721965431</v>
      </c>
      <c r="Z433" s="18" t="n">
        <f aca="false">IF(D433="","",MAX(0,IF(P433&gt;=0,P433,IF(K433+P433&gt;=0,0,P433+K433))))</f>
        <v>113.9204609584</v>
      </c>
      <c r="AA433" s="18" t="n">
        <f aca="false">IF(D433="","",IF(H433&lt;=$B$16,1,IF(H433&gt;=$B$17,$B$21,MATCH(H433,Aux_CAV!$A$2:$A$121,1))))</f>
        <v>22</v>
      </c>
      <c r="AB433" s="18" t="n">
        <f aca="false">IF(D433="","",IF(L433&lt;=$B$16,1,IF(L433&gt;=$B$17,$B$21,MATCH(L433,Aux_CAV!$A$2:$A$121,1))))</f>
        <v>22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1.23769317235157</v>
      </c>
      <c r="E434" s="16" t="n">
        <f aca="false">IF(D434="","",D434*$B$15)</f>
        <v>3.20810070273527</v>
      </c>
      <c r="F434" s="16" t="n">
        <f aca="false" t="array" ref="F434:F434">IF(D434="","",IFERROR(INDEX(Dados_Evap!$C$2:$N$15,MATCH($B$9,Dados_Evap!$A$2:$A$15,0),C434),0))</f>
        <v>102.9</v>
      </c>
      <c r="G434" s="16" t="n">
        <f aca="false">IF(F434="","",F434/1000)</f>
        <v>0.1029</v>
      </c>
      <c r="H434" s="16" t="n">
        <f aca="false">IF(D434="","",MAX(0,MIN($B$8,IFERROR(LOOKUP(2,1/($U$24:U433&lt;&gt;""),$U$24:U433),$B$11))))</f>
        <v>113.9204609584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12.2824842780106</v>
      </c>
      <c r="J434" s="16" t="n">
        <f aca="false">IF(D434="","",$B$12)</f>
        <v>0.432</v>
      </c>
      <c r="K434" s="16" t="n">
        <f aca="false">IF(J434="","",J434*$B$15)</f>
        <v>1.119744</v>
      </c>
      <c r="L434" s="16" t="n">
        <f aca="false">IF(D434="","",H434+E434-K434-G434*I434)</f>
        <v>114.744950028928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12.3425126603854</v>
      </c>
      <c r="N434" s="16" t="n">
        <f aca="false">IF(D434="","",(I434+M434)/2)</f>
        <v>12.312498469198</v>
      </c>
      <c r="O434" s="16" t="n">
        <f aca="false">IF(D434="","",G434*N434)</f>
        <v>1.26695609248048</v>
      </c>
      <c r="P434" s="16" t="n">
        <f aca="false">IF(D434="","",H434+E434-K434-O434)</f>
        <v>114.741861568655</v>
      </c>
      <c r="Q434" s="16" t="n">
        <f aca="false">IF(D434="","",IF(P434&gt;=0,K434,MAX(0,K434+P434)))</f>
        <v>1.119744</v>
      </c>
      <c r="R434" s="16" t="n">
        <f aca="false">IF(D434="","",Q434/$B$15)</f>
        <v>0.432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114.741861568655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70.8283096102806</v>
      </c>
      <c r="Z434" s="18" t="n">
        <f aca="false">IF(D434="","",MAX(0,IF(P434&gt;=0,P434,IF(K434+P434&gt;=0,0,P434+K434))))</f>
        <v>114.741861568655</v>
      </c>
      <c r="AA434" s="18" t="n">
        <f aca="false">IF(D434="","",IF(H434&lt;=$B$16,1,IF(H434&gt;=$B$17,$B$21,MATCH(H434,Aux_CAV!$A$2:$A$121,1))))</f>
        <v>22</v>
      </c>
      <c r="AB434" s="18" t="n">
        <f aca="false">IF(D434="","",IF(L434&lt;=$B$16,1,IF(L434&gt;=$B$17,$B$21,MATCH(L434,Aux_CAV!$A$2:$A$121,1))))</f>
        <v>22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2.38752394773233</v>
      </c>
      <c r="E435" s="16" t="n">
        <f aca="false">IF(D435="","",D435*$B$15)</f>
        <v>6.1884620725222</v>
      </c>
      <c r="F435" s="16" t="n">
        <f aca="false" t="array" ref="F435:F435">IF(D435="","",IFERROR(INDEX(Dados_Evap!$C$2:$N$15,MATCH($B$9,Dados_Evap!$A$2:$A$15,0),C435),0))</f>
        <v>81.8</v>
      </c>
      <c r="G435" s="16" t="n">
        <f aca="false">IF(F435="","",F435/1000)</f>
        <v>0.0818</v>
      </c>
      <c r="H435" s="16" t="n">
        <f aca="false">IF(D435="","",MAX(0,MIN($B$8,IFERROR(LOOKUP(2,1/($U$24:U434&lt;&gt;""),$U$24:U434),$B$11))))</f>
        <v>114.741861568655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12.3422877995827</v>
      </c>
      <c r="J435" s="16" t="n">
        <f aca="false">IF(D435="","",$B$12)</f>
        <v>0.432</v>
      </c>
      <c r="K435" s="16" t="n">
        <f aca="false">IF(J435="","",J435*$B$15)</f>
        <v>1.119744</v>
      </c>
      <c r="L435" s="16" t="n">
        <f aca="false">IF(D435="","",H435+E435-K435-G435*I435)</f>
        <v>118.800980499171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12.6378191194941</v>
      </c>
      <c r="N435" s="16" t="n">
        <f aca="false">IF(D435="","",(I435+M435)/2)</f>
        <v>12.4900534595384</v>
      </c>
      <c r="O435" s="16" t="n">
        <f aca="false">IF(D435="","",G435*N435)</f>
        <v>1.02168637299024</v>
      </c>
      <c r="P435" s="16" t="n">
        <f aca="false">IF(D435="","",H435+E435-K435-O435)</f>
        <v>118.788893268187</v>
      </c>
      <c r="Q435" s="16" t="n">
        <f aca="false">IF(D435="","",IF(P435&gt;=0,K435,MAX(0,K435+P435)))</f>
        <v>1.119744</v>
      </c>
      <c r="R435" s="16" t="n">
        <f aca="false">IF(D435="","",Q435/$B$15)</f>
        <v>0.432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118.788893268187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73.3264773260411</v>
      </c>
      <c r="Z435" s="18" t="n">
        <f aca="false">IF(D435="","",MAX(0,IF(P435&gt;=0,P435,IF(K435+P435&gt;=0,0,P435+K435))))</f>
        <v>118.788893268187</v>
      </c>
      <c r="AA435" s="18" t="n">
        <f aca="false">IF(D435="","",IF(H435&lt;=$B$16,1,IF(H435&gt;=$B$17,$B$21,MATCH(H435,Aux_CAV!$A$2:$A$121,1))))</f>
        <v>22</v>
      </c>
      <c r="AB435" s="18" t="n">
        <f aca="false">IF(D435="","",IF(L435&lt;=$B$16,1,IF(L435&gt;=$B$17,$B$21,MATCH(L435,Aux_CAV!$A$2:$A$121,1))))</f>
        <v>22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5.79872254775748</v>
      </c>
      <c r="E436" s="16" t="n">
        <f aca="false">IF(D436="","",D436*$B$15)</f>
        <v>15.0302888437874</v>
      </c>
      <c r="F436" s="16" t="n">
        <f aca="false" t="array" ref="F436:F436">IF(D436="","",IFERROR(INDEX(Dados_Evap!$C$2:$N$15,MATCH($B$9,Dados_Evap!$A$2:$A$15,0),C436),0))</f>
        <v>83.6</v>
      </c>
      <c r="G436" s="16" t="n">
        <f aca="false">IF(F436="","",F436/1000)</f>
        <v>0.0836</v>
      </c>
      <c r="H436" s="16" t="n">
        <f aca="false">IF(D436="","",MAX(0,MIN($B$8,IFERROR(LOOKUP(2,1/($U$24:U435&lt;&gt;""),$U$24:U435),$B$11))))</f>
        <v>118.788893268187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12.6369390873029</v>
      </c>
      <c r="J436" s="16" t="n">
        <f aca="false">IF(D436="","",$B$12)</f>
        <v>0.432</v>
      </c>
      <c r="K436" s="16" t="n">
        <f aca="false">IF(J436="","",J436*$B$15)</f>
        <v>1.119744</v>
      </c>
      <c r="L436" s="16" t="n">
        <f aca="false">IF(D436="","",H436+E436-K436-G436*I436)</f>
        <v>131.642990004275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13.5728042934505</v>
      </c>
      <c r="N436" s="16" t="n">
        <f aca="false">IF(D436="","",(I436+M436)/2)</f>
        <v>13.1048716903767</v>
      </c>
      <c r="O436" s="16" t="n">
        <f aca="false">IF(D436="","",G436*N436)</f>
        <v>1.09556727331549</v>
      </c>
      <c r="P436" s="16" t="n">
        <f aca="false">IF(D436="","",H436+E436-K436-O436)</f>
        <v>131.603870838659</v>
      </c>
      <c r="Q436" s="16" t="n">
        <f aca="false">IF(D436="","",IF(P436&gt;=0,K436,MAX(0,K436+P436)))</f>
        <v>1.119744</v>
      </c>
      <c r="R436" s="16" t="n">
        <f aca="false">IF(D436="","",Q436/$B$15)</f>
        <v>0.432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131.603870838659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81.2369573078139</v>
      </c>
      <c r="Z436" s="18" t="n">
        <f aca="false">IF(D436="","",MAX(0,IF(P436&gt;=0,P436,IF(K436+P436&gt;=0,0,P436+K436))))</f>
        <v>131.603870838659</v>
      </c>
      <c r="AA436" s="18" t="n">
        <f aca="false">IF(D436="","",IF(H436&lt;=$B$16,1,IF(H436&gt;=$B$17,$B$21,MATCH(H436,Aux_CAV!$A$2:$A$121,1))))</f>
        <v>22</v>
      </c>
      <c r="AB436" s="18" t="n">
        <f aca="false">IF(D436="","",IF(L436&lt;=$B$16,1,IF(L436&gt;=$B$17,$B$21,MATCH(L436,Aux_CAV!$A$2:$A$121,1))))</f>
        <v>22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1.28069327375584</v>
      </c>
      <c r="E437" s="16" t="n">
        <f aca="false">IF(D437="","",D437*$B$15)</f>
        <v>3.31955696557514</v>
      </c>
      <c r="F437" s="16" t="n">
        <f aca="false" t="array" ref="F437:F437">IF(D437="","",IFERROR(INDEX(Dados_Evap!$C$2:$N$15,MATCH($B$9,Dados_Evap!$A$2:$A$15,0),C437),0))</f>
        <v>108.2</v>
      </c>
      <c r="G437" s="16" t="n">
        <f aca="false">IF(F437="","",F437/1000)</f>
        <v>0.1082</v>
      </c>
      <c r="H437" s="16" t="n">
        <f aca="false">IF(D437="","",MAX(0,MIN($B$8,IFERROR(LOOKUP(2,1/($U$24:U436&lt;&gt;""),$U$24:U436),$B$11))))</f>
        <v>131.603870838659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13.5699561535348</v>
      </c>
      <c r="J437" s="16" t="n">
        <f aca="false">IF(D437="","",$B$12)</f>
        <v>0.432</v>
      </c>
      <c r="K437" s="16" t="n">
        <f aca="false">IF(J437="","",J437*$B$15)</f>
        <v>1.119744</v>
      </c>
      <c r="L437" s="16" t="n">
        <f aca="false">IF(D437="","",H437+E437-K437-G437*I437)</f>
        <v>132.335414548421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13.6232174848286</v>
      </c>
      <c r="N437" s="16" t="n">
        <f aca="false">IF(D437="","",(I437+M437)/2)</f>
        <v>13.5965868191817</v>
      </c>
      <c r="O437" s="16" t="n">
        <f aca="false">IF(D437="","",G437*N437)</f>
        <v>1.47115069383546</v>
      </c>
      <c r="P437" s="16" t="n">
        <f aca="false">IF(D437="","",H437+E437-K437-O437)</f>
        <v>132.332533110398</v>
      </c>
      <c r="Q437" s="16" t="n">
        <f aca="false">IF(D437="","",IF(P437&gt;=0,K437,MAX(0,K437+P437)))</f>
        <v>1.119744</v>
      </c>
      <c r="R437" s="16" t="n">
        <f aca="false">IF(D437="","",Q437/$B$15)</f>
        <v>0.432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132.332533110398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81.6867488335791</v>
      </c>
      <c r="Z437" s="18" t="n">
        <f aca="false">IF(D437="","",MAX(0,IF(P437&gt;=0,P437,IF(K437+P437&gt;=0,0,P437+K437))))</f>
        <v>132.332533110398</v>
      </c>
      <c r="AA437" s="18" t="n">
        <f aca="false">IF(D437="","",IF(H437&lt;=$B$16,1,IF(H437&gt;=$B$17,$B$21,MATCH(H437,Aux_CAV!$A$2:$A$121,1))))</f>
        <v>22</v>
      </c>
      <c r="AB437" s="18" t="n">
        <f aca="false">IF(D437="","",IF(L437&lt;=$B$16,1,IF(L437&gt;=$B$17,$B$21,MATCH(L437,Aux_CAV!$A$2:$A$121,1))))</f>
        <v>22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1.22726976659835</v>
      </c>
      <c r="E438" s="16" t="n">
        <f aca="false">IF(D438="","",D438*$B$15)</f>
        <v>3.18108323502292</v>
      </c>
      <c r="F438" s="16" t="n">
        <f aca="false" t="array" ref="F438:F438">IF(D438="","",IFERROR(INDEX(Dados_Evap!$C$2:$N$15,MATCH($B$9,Dados_Evap!$A$2:$A$15,0),C438),0))</f>
        <v>149</v>
      </c>
      <c r="G438" s="16" t="n">
        <f aca="false">IF(F438="","",F438/1000)</f>
        <v>0.149</v>
      </c>
      <c r="H438" s="16" t="n">
        <f aca="false">IF(D438="","",MAX(0,MIN($B$8,IFERROR(LOOKUP(2,1/($U$24:U437&lt;&gt;""),$U$24:U437),$B$11))))</f>
        <v>132.332533110398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13.6230076966463</v>
      </c>
      <c r="J438" s="16" t="n">
        <f aca="false">IF(D438="","",$B$12)</f>
        <v>0.432</v>
      </c>
      <c r="K438" s="16" t="n">
        <f aca="false">IF(J438="","",J438*$B$15)</f>
        <v>1.119744</v>
      </c>
      <c r="L438" s="16" t="n">
        <f aca="false">IF(D438="","",H438+E438-K438-G438*I438)</f>
        <v>132.364044198621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13.6253019170556</v>
      </c>
      <c r="N438" s="16" t="n">
        <f aca="false">IF(D438="","",(I438+M438)/2)</f>
        <v>13.624154806851</v>
      </c>
      <c r="O438" s="16" t="n">
        <f aca="false">IF(D438="","",G438*N438)</f>
        <v>2.02999906622079</v>
      </c>
      <c r="P438" s="16" t="n">
        <f aca="false">IF(D438="","",H438+E438-K438-O438)</f>
        <v>132.3638732792</v>
      </c>
      <c r="Q438" s="16" t="n">
        <f aca="false">IF(D438="","",IF(P438&gt;=0,K438,MAX(0,K438+P438)))</f>
        <v>1.119744</v>
      </c>
      <c r="R438" s="16" t="n">
        <f aca="false">IF(D438="","",Q438/$B$15)</f>
        <v>0.432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132.3638732792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81.7060946167903</v>
      </c>
      <c r="Z438" s="18" t="n">
        <f aca="false">IF(D438="","",MAX(0,IF(P438&gt;=0,P438,IF(K438+P438&gt;=0,0,P438+K438))))</f>
        <v>132.3638732792</v>
      </c>
      <c r="AA438" s="18" t="n">
        <f aca="false">IF(D438="","",IF(H438&lt;=$B$16,1,IF(H438&gt;=$B$17,$B$21,MATCH(H438,Aux_CAV!$A$2:$A$121,1))))</f>
        <v>22</v>
      </c>
      <c r="AB438" s="18" t="n">
        <f aca="false">IF(D438="","",IF(L438&lt;=$B$16,1,IF(L438&gt;=$B$17,$B$21,MATCH(L438,Aux_CAV!$A$2:$A$121,1))))</f>
        <v>22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0.233640050598232</v>
      </c>
      <c r="E439" s="16" t="n">
        <f aca="false">IF(D439="","",D439*$B$15)</f>
        <v>0.605595011150617</v>
      </c>
      <c r="F439" s="16" t="n">
        <f aca="false" t="array" ref="F439:F439">IF(D439="","",IFERROR(INDEX(Dados_Evap!$C$2:$N$15,MATCH($B$9,Dados_Evap!$A$2:$A$15,0),C439),0))</f>
        <v>206.8</v>
      </c>
      <c r="G439" s="16" t="n">
        <f aca="false">IF(F439="","",F439/1000)</f>
        <v>0.2068</v>
      </c>
      <c r="H439" s="16" t="n">
        <f aca="false">IF(D439="","",MAX(0,MIN($B$8,IFERROR(LOOKUP(2,1/($U$24:U438&lt;&gt;""),$U$24:U438),$B$11))))</f>
        <v>132.3638732792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13.6252894729655</v>
      </c>
      <c r="J439" s="16" t="n">
        <f aca="false">IF(D439="","",$B$12)</f>
        <v>0.432</v>
      </c>
      <c r="K439" s="16" t="n">
        <f aca="false">IF(J439="","",J439*$B$15)</f>
        <v>1.119744</v>
      </c>
      <c r="L439" s="16" t="n">
        <f aca="false">IF(D439="","",H439+E439-K439-G439*I439)</f>
        <v>129.032014427342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13.3827076070227</v>
      </c>
      <c r="N439" s="16" t="n">
        <f aca="false">IF(D439="","",(I439+M439)/2)</f>
        <v>13.5039985399941</v>
      </c>
      <c r="O439" s="16" t="n">
        <f aca="false">IF(D439="","",G439*N439)</f>
        <v>2.79262689807078</v>
      </c>
      <c r="P439" s="16" t="n">
        <f aca="false">IF(D439="","",H439+E439-K439-O439)</f>
        <v>129.05709739228</v>
      </c>
      <c r="Q439" s="16" t="n">
        <f aca="false">IF(D439="","",IF(P439&gt;=0,K439,MAX(0,K439+P439)))</f>
        <v>1.119744</v>
      </c>
      <c r="R439" s="16" t="n">
        <f aca="false">IF(D439="","",Q439/$B$15)</f>
        <v>0.432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129.05709739228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79.6648749335063</v>
      </c>
      <c r="Z439" s="18" t="n">
        <f aca="false">IF(D439="","",MAX(0,IF(P439&gt;=0,P439,IF(K439+P439&gt;=0,0,P439+K439))))</f>
        <v>129.05709739228</v>
      </c>
      <c r="AA439" s="18" t="n">
        <f aca="false">IF(D439="","",IF(H439&lt;=$B$16,1,IF(H439&gt;=$B$17,$B$21,MATCH(H439,Aux_CAV!$A$2:$A$121,1))))</f>
        <v>22</v>
      </c>
      <c r="AB439" s="18" t="n">
        <f aca="false">IF(D439="","",IF(L439&lt;=$B$16,1,IF(L439&gt;=$B$17,$B$21,MATCH(L439,Aux_CAV!$A$2:$A$121,1))))</f>
        <v>22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0.271306540767543</v>
      </c>
      <c r="E440" s="16" t="n">
        <f aca="false">IF(D440="","",D440*$B$15)</f>
        <v>0.703226553669472</v>
      </c>
      <c r="F440" s="16" t="n">
        <f aca="false" t="array" ref="F440:F440">IF(D440="","",IFERROR(INDEX(Dados_Evap!$C$2:$N$15,MATCH($B$9,Dados_Evap!$A$2:$A$15,0),C440),0))</f>
        <v>245.9</v>
      </c>
      <c r="G440" s="16" t="n">
        <f aca="false">IF(F440="","",F440/1000)</f>
        <v>0.2459</v>
      </c>
      <c r="H440" s="16" t="n">
        <f aca="false">IF(D440="","",MAX(0,MIN($B$8,IFERROR(LOOKUP(2,1/($U$24:U439&lt;&gt;""),$U$24:U439),$B$11))))</f>
        <v>129.05709739228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13.3845338165678</v>
      </c>
      <c r="J440" s="16" t="n">
        <f aca="false">IF(D440="","",$B$12)</f>
        <v>0.432</v>
      </c>
      <c r="K440" s="16" t="n">
        <f aca="false">IF(J440="","",J440*$B$15)</f>
        <v>1.119744</v>
      </c>
      <c r="L440" s="16" t="n">
        <f aca="false">IF(D440="","",H440+E440-K440-G440*I440)</f>
        <v>125.349323080456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13.1145827619019</v>
      </c>
      <c r="N440" s="16" t="n">
        <f aca="false">IF(D440="","",(I440+M440)/2)</f>
        <v>13.2495582892348</v>
      </c>
      <c r="O440" s="16" t="n">
        <f aca="false">IF(D440="","",G440*N440)</f>
        <v>3.25806638332284</v>
      </c>
      <c r="P440" s="16" t="n">
        <f aca="false">IF(D440="","",H440+E440-K440-O440)</f>
        <v>125.382513562627</v>
      </c>
      <c r="Q440" s="16" t="n">
        <f aca="false">IF(D440="","",IF(P440&gt;=0,K440,MAX(0,K440+P440)))</f>
        <v>1.119744</v>
      </c>
      <c r="R440" s="16" t="n">
        <f aca="false">IF(D440="","",Q440/$B$15)</f>
        <v>0.432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125.382513562627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77.3966133102635</v>
      </c>
      <c r="Z440" s="18" t="n">
        <f aca="false">IF(D440="","",MAX(0,IF(P440&gt;=0,P440,IF(K440+P440&gt;=0,0,P440+K440))))</f>
        <v>125.382513562627</v>
      </c>
      <c r="AA440" s="18" t="n">
        <f aca="false">IF(D440="","",IF(H440&lt;=$B$16,1,IF(H440&gt;=$B$17,$B$21,MATCH(H440,Aux_CAV!$A$2:$A$121,1))))</f>
        <v>22</v>
      </c>
      <c r="AB440" s="18" t="n">
        <f aca="false">IF(D440="","",IF(L440&lt;=$B$16,1,IF(L440&gt;=$B$17,$B$21,MATCH(L440,Aux_CAV!$A$2:$A$121,1))))</f>
        <v>22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0.303077971523938</v>
      </c>
      <c r="E441" s="16" t="n">
        <f aca="false">IF(D441="","",D441*$B$15)</f>
        <v>0.785578102190047</v>
      </c>
      <c r="F441" s="16" t="n">
        <f aca="false" t="array" ref="F441:F441">IF(D441="","",IFERROR(INDEX(Dados_Evap!$C$2:$N$15,MATCH($B$9,Dados_Evap!$A$2:$A$15,0),C441),0))</f>
        <v>282.3</v>
      </c>
      <c r="G441" s="16" t="n">
        <f aca="false">IF(F441="","",F441/1000)</f>
        <v>0.2823</v>
      </c>
      <c r="H441" s="16" t="n">
        <f aca="false">IF(D441="","",MAX(0,MIN($B$8,IFERROR(LOOKUP(2,1/($U$24:U440&lt;&gt;""),$U$24:U440),$B$11))))</f>
        <v>125.382513562627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13.1169992535525</v>
      </c>
      <c r="J441" s="16" t="n">
        <f aca="false">IF(D441="","",$B$12)</f>
        <v>0.432</v>
      </c>
      <c r="K441" s="16" t="n">
        <f aca="false">IF(J441="","",J441*$B$15)</f>
        <v>1.119744</v>
      </c>
      <c r="L441" s="16" t="n">
        <f aca="false">IF(D441="","",H441+E441-K441-G441*I441)</f>
        <v>121.345418775539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12.8230714402859</v>
      </c>
      <c r="N441" s="16" t="n">
        <f aca="false">IF(D441="","",(I441+M441)/2)</f>
        <v>12.9700353469192</v>
      </c>
      <c r="O441" s="16" t="n">
        <f aca="false">IF(D441="","",G441*N441)</f>
        <v>3.6614409784353</v>
      </c>
      <c r="P441" s="16" t="n">
        <f aca="false">IF(D441="","",H441+E441-K441-O441)</f>
        <v>121.386906686382</v>
      </c>
      <c r="Q441" s="16" t="n">
        <f aca="false">IF(D441="","",IF(P441&gt;=0,K441,MAX(0,K441+P441)))</f>
        <v>1.119744</v>
      </c>
      <c r="R441" s="16" t="n">
        <f aca="false">IF(D441="","",Q441/$B$15)</f>
        <v>0.432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121.386906686382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74.9301893125812</v>
      </c>
      <c r="Z441" s="18" t="n">
        <f aca="false">IF(D441="","",MAX(0,IF(P441&gt;=0,P441,IF(K441+P441&gt;=0,0,P441+K441))))</f>
        <v>121.386906686382</v>
      </c>
      <c r="AA441" s="18" t="n">
        <f aca="false">IF(D441="","",IF(H441&lt;=$B$16,1,IF(H441&gt;=$B$17,$B$21,MATCH(H441,Aux_CAV!$A$2:$A$121,1))))</f>
        <v>22</v>
      </c>
      <c r="AB441" s="18" t="n">
        <f aca="false">IF(D441="","",IF(L441&lt;=$B$16,1,IF(L441&gt;=$B$17,$B$21,MATCH(L441,Aux_CAV!$A$2:$A$121,1))))</f>
        <v>22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0.211222129046546</v>
      </c>
      <c r="E442" s="16" t="n">
        <f aca="false">IF(D442="","",D442*$B$15)</f>
        <v>0.547487758488647</v>
      </c>
      <c r="F442" s="16" t="n">
        <f aca="false" t="array" ref="F442:F442">IF(D442="","",IFERROR(INDEX(Dados_Evap!$C$2:$N$15,MATCH($B$9,Dados_Evap!$A$2:$A$15,0),C442),0))</f>
        <v>241.3</v>
      </c>
      <c r="G442" s="16" t="n">
        <f aca="false">IF(F442="","",F442/1000)</f>
        <v>0.2413</v>
      </c>
      <c r="H442" s="16" t="n">
        <f aca="false">IF(D442="","",MAX(0,MIN($B$8,IFERROR(LOOKUP(2,1/($U$24:U441&lt;&gt;""),$U$24:U441),$B$11))))</f>
        <v>121.386906686382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12.8260920408797</v>
      </c>
      <c r="J442" s="16" t="n">
        <f aca="false">IF(D442="","",$B$12)</f>
        <v>0.432</v>
      </c>
      <c r="K442" s="16" t="n">
        <f aca="false">IF(J442="","",J442*$B$15)</f>
        <v>1.119744</v>
      </c>
      <c r="L442" s="16" t="n">
        <f aca="false">IF(D442="","",H442+E442-K442-G442*I442)</f>
        <v>117.719714435406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12.5590956347996</v>
      </c>
      <c r="N442" s="16" t="n">
        <f aca="false">IF(D442="","",(I442+M442)/2)</f>
        <v>12.6925938378396</v>
      </c>
      <c r="O442" s="16" t="n">
        <f aca="false">IF(D442="","",G442*N442)</f>
        <v>3.0627228930707</v>
      </c>
      <c r="P442" s="16" t="n">
        <f aca="false">IF(D442="","",H442+E442-K442-O442)</f>
        <v>117.7519275518</v>
      </c>
      <c r="Q442" s="16" t="n">
        <f aca="false">IF(D442="","",IF(P442&gt;=0,K442,MAX(0,K442+P442)))</f>
        <v>1.119744</v>
      </c>
      <c r="R442" s="16" t="n">
        <f aca="false">IF(D442="","",Q442/$B$15)</f>
        <v>0.432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117.7519275518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72.686375031975</v>
      </c>
      <c r="Z442" s="18" t="n">
        <f aca="false">IF(D442="","",MAX(0,IF(P442&gt;=0,P442,IF(K442+P442&gt;=0,0,P442+K442))))</f>
        <v>117.7519275518</v>
      </c>
      <c r="AA442" s="18" t="n">
        <f aca="false">IF(D442="","",IF(H442&lt;=$B$16,1,IF(H442&gt;=$B$17,$B$21,MATCH(H442,Aux_CAV!$A$2:$A$121,1))))</f>
        <v>22</v>
      </c>
      <c r="AB442" s="18" t="n">
        <f aca="false">IF(D442="","",IF(L442&lt;=$B$16,1,IF(L442&gt;=$B$17,$B$21,MATCH(L442,Aux_CAV!$A$2:$A$121,1))))</f>
        <v>22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0.455617137087069</v>
      </c>
      <c r="E443" s="16" t="n">
        <f aca="false">IF(D443="","",D443*$B$15)</f>
        <v>1.18095961932968</v>
      </c>
      <c r="F443" s="16" t="n">
        <f aca="false" t="array" ref="F443:F443">IF(D443="","",IFERROR(INDEX(Dados_Evap!$C$2:$N$15,MATCH($B$9,Dados_Evap!$A$2:$A$15,0),C443),0))</f>
        <v>241.8</v>
      </c>
      <c r="G443" s="16" t="n">
        <f aca="false">IF(F443="","",F443/1000)</f>
        <v>0.2418</v>
      </c>
      <c r="H443" s="16" t="n">
        <f aca="false">IF(D443="","",MAX(0,MIN($B$8,IFERROR(LOOKUP(2,1/($U$24:U442&lt;&gt;""),$U$24:U442),$B$11))))</f>
        <v>117.7519275518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12.5614409676093</v>
      </c>
      <c r="J443" s="16" t="n">
        <f aca="false">IF(D443="","",$B$12)</f>
        <v>0.432</v>
      </c>
      <c r="K443" s="16" t="n">
        <f aca="false">IF(J443="","",J443*$B$15)</f>
        <v>1.119744</v>
      </c>
      <c r="L443" s="16" t="n">
        <f aca="false">IF(D443="","",H443+E443-K443-G443*I443)</f>
        <v>114.775786745161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12.3447577819515</v>
      </c>
      <c r="N443" s="16" t="n">
        <f aca="false">IF(D443="","",(I443+M443)/2)</f>
        <v>12.4530993747804</v>
      </c>
      <c r="O443" s="16" t="n">
        <f aca="false">IF(D443="","",G443*N443)</f>
        <v>3.0111594288219</v>
      </c>
      <c r="P443" s="16" t="n">
        <f aca="false">IF(D443="","",H443+E443-K443-O443)</f>
        <v>114.801983742307</v>
      </c>
      <c r="Q443" s="16" t="n">
        <f aca="false">IF(D443="","",IF(P443&gt;=0,K443,MAX(0,K443+P443)))</f>
        <v>1.119744</v>
      </c>
      <c r="R443" s="16" t="n">
        <f aca="false">IF(D443="","",Q443/$B$15)</f>
        <v>0.432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114.801983742307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70.8654220631527</v>
      </c>
      <c r="Z443" s="18" t="n">
        <f aca="false">IF(D443="","",MAX(0,IF(P443&gt;=0,P443,IF(K443+P443&gt;=0,0,P443+K443))))</f>
        <v>114.801983742307</v>
      </c>
      <c r="AA443" s="18" t="n">
        <f aca="false">IF(D443="","",IF(H443&lt;=$B$16,1,IF(H443&gt;=$B$17,$B$21,MATCH(H443,Aux_CAV!$A$2:$A$121,1))))</f>
        <v>22</v>
      </c>
      <c r="AB443" s="18" t="n">
        <f aca="false">IF(D443="","",IF(L443&lt;=$B$16,1,IF(L443&gt;=$B$17,$B$21,MATCH(L443,Aux_CAV!$A$2:$A$121,1))))</f>
        <v>22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0.58442513058738</v>
      </c>
      <c r="E444" s="16" t="n">
        <f aca="false">IF(D444="","",D444*$B$15)</f>
        <v>1.51482993848249</v>
      </c>
      <c r="F444" s="16" t="n">
        <f aca="false" t="array" ref="F444:F444">IF(D444="","",IFERROR(INDEX(Dados_Evap!$C$2:$N$15,MATCH($B$9,Dados_Evap!$A$2:$A$15,0),C444),0))</f>
        <v>189</v>
      </c>
      <c r="G444" s="16" t="n">
        <f aca="false">IF(F444="","",F444/1000)</f>
        <v>0.189</v>
      </c>
      <c r="H444" s="16" t="n">
        <f aca="false">IF(D444="","",MAX(0,MIN($B$8,IFERROR(LOOKUP(2,1/($U$24:U443&lt;&gt;""),$U$24:U443),$B$11))))</f>
        <v>114.801983742307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12.3466651005782</v>
      </c>
      <c r="J444" s="16" t="n">
        <f aca="false">IF(D444="","",$B$12)</f>
        <v>0.432</v>
      </c>
      <c r="K444" s="16" t="n">
        <f aca="false">IF(J444="","",J444*$B$15)</f>
        <v>1.119744</v>
      </c>
      <c r="L444" s="16" t="n">
        <f aca="false">IF(D444="","",H444+E444-K444-G444*I444)</f>
        <v>112.863549976781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12.2055340080694</v>
      </c>
      <c r="N444" s="16" t="n">
        <f aca="false">IF(D444="","",(I444+M444)/2)</f>
        <v>12.2760995543238</v>
      </c>
      <c r="O444" s="16" t="n">
        <f aca="false">IF(D444="","",G444*N444)</f>
        <v>2.3201828157672</v>
      </c>
      <c r="P444" s="16" t="n">
        <f aca="false">IF(D444="","",H444+E444-K444-O444)</f>
        <v>112.876886865023</v>
      </c>
      <c r="Q444" s="16" t="n">
        <f aca="false">IF(D444="","",IF(P444&gt;=0,K444,MAX(0,K444+P444)))</f>
        <v>1.119744</v>
      </c>
      <c r="R444" s="16" t="n">
        <f aca="false">IF(D444="","",Q444/$B$15)</f>
        <v>0.432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112.876886865023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69.6770906574214</v>
      </c>
      <c r="Z444" s="18" t="n">
        <f aca="false">IF(D444="","",MAX(0,IF(P444&gt;=0,P444,IF(K444+P444&gt;=0,0,P444+K444))))</f>
        <v>112.876886865023</v>
      </c>
      <c r="AA444" s="18" t="n">
        <f aca="false">IF(D444="","",IF(H444&lt;=$B$16,1,IF(H444&gt;=$B$17,$B$21,MATCH(H444,Aux_CAV!$A$2:$A$121,1))))</f>
        <v>22</v>
      </c>
      <c r="AB444" s="18" t="n">
        <f aca="false">IF(D444="","",IF(L444&lt;=$B$16,1,IF(L444&gt;=$B$17,$B$21,MATCH(L444,Aux_CAV!$A$2:$A$121,1))))</f>
        <v>22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3.60850549602838</v>
      </c>
      <c r="E445" s="16" t="n">
        <f aca="false">IF(D445="","",D445*$B$15)</f>
        <v>9.35324624570556</v>
      </c>
      <c r="F445" s="16" t="n">
        <f aca="false" t="array" ref="F445:F445">IF(D445="","",IFERROR(INDEX(Dados_Evap!$C$2:$N$15,MATCH($B$9,Dados_Evap!$A$2:$A$15,0),C445),0))</f>
        <v>136.9</v>
      </c>
      <c r="G445" s="16" t="n">
        <f aca="false">IF(F445="","",F445/1000)</f>
        <v>0.1369</v>
      </c>
      <c r="H445" s="16" t="n">
        <f aca="false">IF(D445="","",MAX(0,MIN($B$8,IFERROR(LOOKUP(2,1/($U$24:U444&lt;&gt;""),$U$24:U444),$B$11))))</f>
        <v>112.876886865023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12.2065050237635</v>
      </c>
      <c r="J445" s="16" t="n">
        <f aca="false">IF(D445="","",$B$12)</f>
        <v>0.432</v>
      </c>
      <c r="K445" s="16" t="n">
        <f aca="false">IF(J445="","",J445*$B$15)</f>
        <v>1.119744</v>
      </c>
      <c r="L445" s="16" t="n">
        <f aca="false">IF(D445="","",H445+E445-K445-G445*I445)</f>
        <v>119.439318572975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12.6842944499119</v>
      </c>
      <c r="N445" s="16" t="n">
        <f aca="false">IF(D445="","",(I445+M445)/2)</f>
        <v>12.4453997368377</v>
      </c>
      <c r="O445" s="16" t="n">
        <f aca="false">IF(D445="","",G445*N445)</f>
        <v>1.70377522397308</v>
      </c>
      <c r="P445" s="16" t="n">
        <f aca="false">IF(D445="","",H445+E445-K445-O445)</f>
        <v>119.406613886755</v>
      </c>
      <c r="Q445" s="16" t="n">
        <f aca="false">IF(D445="","",IF(P445&gt;=0,K445,MAX(0,K445+P445)))</f>
        <v>1.119744</v>
      </c>
      <c r="R445" s="16" t="n">
        <f aca="false">IF(D445="","",Q445/$B$15)</f>
        <v>0.432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119.406613886755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73.7077863498488</v>
      </c>
      <c r="Z445" s="18" t="n">
        <f aca="false">IF(D445="","",MAX(0,IF(P445&gt;=0,P445,IF(K445+P445&gt;=0,0,P445+K445))))</f>
        <v>119.406613886755</v>
      </c>
      <c r="AA445" s="18" t="n">
        <f aca="false">IF(D445="","",IF(H445&lt;=$B$16,1,IF(H445&gt;=$B$17,$B$21,MATCH(H445,Aux_CAV!$A$2:$A$121,1))))</f>
        <v>22</v>
      </c>
      <c r="AB445" s="18" t="n">
        <f aca="false">IF(D445="","",IF(L445&lt;=$B$16,1,IF(L445&gt;=$B$17,$B$21,MATCH(L445,Aux_CAV!$A$2:$A$121,1))))</f>
        <v>22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5.58317532331855</v>
      </c>
      <c r="E446" s="16" t="n">
        <f aca="false">IF(D446="","",D446*$B$15)</f>
        <v>14.4715904380417</v>
      </c>
      <c r="F446" s="16" t="n">
        <f aca="false" t="array" ref="F446:F446">IF(D446="","",IFERROR(INDEX(Dados_Evap!$C$2:$N$15,MATCH($B$9,Dados_Evap!$A$2:$A$15,0),C446),0))</f>
        <v>102.9</v>
      </c>
      <c r="G446" s="16" t="n">
        <f aca="false">IF(F446="","",F446/1000)</f>
        <v>0.1029</v>
      </c>
      <c r="H446" s="16" t="n">
        <f aca="false">IF(D446="","",MAX(0,MIN($B$8,IFERROR(LOOKUP(2,1/($U$24:U445&lt;&gt;""),$U$24:U445),$B$11))))</f>
        <v>119.406613886755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12.6819133274932</v>
      </c>
      <c r="J446" s="16" t="n">
        <f aca="false">IF(D446="","",$B$12)</f>
        <v>0.432</v>
      </c>
      <c r="K446" s="16" t="n">
        <f aca="false">IF(J446="","",J446*$B$15)</f>
        <v>1.119744</v>
      </c>
      <c r="L446" s="16" t="n">
        <f aca="false">IF(D446="","",H446+E446-K446-G446*I446)</f>
        <v>131.453491443398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13.5590075161754</v>
      </c>
      <c r="N446" s="16" t="n">
        <f aca="false">IF(D446="","",(I446+M446)/2)</f>
        <v>13.1204604218343</v>
      </c>
      <c r="O446" s="16" t="n">
        <f aca="false">IF(D446="","",G446*N446)</f>
        <v>1.35009537740675</v>
      </c>
      <c r="P446" s="16" t="n">
        <f aca="false">IF(D446="","",H446+E446-K446-O446)</f>
        <v>131.40836494739</v>
      </c>
      <c r="Q446" s="16" t="n">
        <f aca="false">IF(D446="","",IF(P446&gt;=0,K446,MAX(0,K446+P446)))</f>
        <v>1.119744</v>
      </c>
      <c r="R446" s="16" t="n">
        <f aca="false">IF(D446="","",Q446/$B$15)</f>
        <v>0.432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131.40836494739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81.1162746588827</v>
      </c>
      <c r="Z446" s="18" t="n">
        <f aca="false">IF(D446="","",MAX(0,IF(P446&gt;=0,P446,IF(K446+P446&gt;=0,0,P446+K446))))</f>
        <v>131.40836494739</v>
      </c>
      <c r="AA446" s="18" t="n">
        <f aca="false">IF(D446="","",IF(H446&lt;=$B$16,1,IF(H446&gt;=$B$17,$B$21,MATCH(H446,Aux_CAV!$A$2:$A$121,1))))</f>
        <v>22</v>
      </c>
      <c r="AB446" s="18" t="n">
        <f aca="false">IF(D446="","",IF(L446&lt;=$B$16,1,IF(L446&gt;=$B$17,$B$21,MATCH(L446,Aux_CAV!$A$2:$A$121,1))))</f>
        <v>22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12.5978604733693</v>
      </c>
      <c r="E447" s="16" t="n">
        <f aca="false">IF(D447="","",D447*$B$15)</f>
        <v>32.6536543469732</v>
      </c>
      <c r="F447" s="16" t="n">
        <f aca="false" t="array" ref="F447:F447">IF(D447="","",IFERROR(INDEX(Dados_Evap!$C$2:$N$15,MATCH($B$9,Dados_Evap!$A$2:$A$15,0),C447),0))</f>
        <v>81.8</v>
      </c>
      <c r="G447" s="16" t="n">
        <f aca="false">IF(F447="","",F447/1000)</f>
        <v>0.0818</v>
      </c>
      <c r="H447" s="16" t="n">
        <f aca="false">IF(D447="","",MAX(0,MIN($B$8,IFERROR(LOOKUP(2,1/($U$24:U446&lt;&gt;""),$U$24:U446),$B$11))))</f>
        <v>131.40836494739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13.555722001965</v>
      </c>
      <c r="J447" s="16" t="n">
        <f aca="false">IF(D447="","",$B$12)</f>
        <v>0.432</v>
      </c>
      <c r="K447" s="16" t="n">
        <f aca="false">IF(J447="","",J447*$B$15)</f>
        <v>1.119744</v>
      </c>
      <c r="L447" s="16" t="n">
        <f aca="false">IF(D447="","",H447+E447-K447-G447*I447)</f>
        <v>161.833417234603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15.7708716476715</v>
      </c>
      <c r="N447" s="16" t="n">
        <f aca="false">IF(D447="","",(I447+M447)/2)</f>
        <v>14.6632968248183</v>
      </c>
      <c r="O447" s="16" t="n">
        <f aca="false">IF(D447="","",G447*N447)</f>
        <v>1.19945768027013</v>
      </c>
      <c r="P447" s="16" t="n">
        <f aca="false">IF(D447="","",H447+E447-K447-O447)</f>
        <v>161.742817614093</v>
      </c>
      <c r="Q447" s="16" t="n">
        <f aca="false">IF(D447="","",IF(P447&gt;=0,K447,MAX(0,K447+P447)))</f>
        <v>1.119744</v>
      </c>
      <c r="R447" s="16" t="n">
        <f aca="false">IF(D447="","",Q447/$B$15)</f>
        <v>0.432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161.742817614093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99.8412454407982</v>
      </c>
      <c r="Z447" s="18" t="n">
        <f aca="false">IF(D447="","",MAX(0,IF(P447&gt;=0,P447,IF(K447+P447&gt;=0,0,P447+K447))))</f>
        <v>161.742817614093</v>
      </c>
      <c r="AA447" s="18" t="n">
        <f aca="false">IF(D447="","",IF(H447&lt;=$B$16,1,IF(H447&gt;=$B$17,$B$21,MATCH(H447,Aux_CAV!$A$2:$A$121,1))))</f>
        <v>22</v>
      </c>
      <c r="AB447" s="18" t="n">
        <f aca="false">IF(D447="","",IF(L447&lt;=$B$16,1,IF(L447&gt;=$B$17,$B$21,MATCH(L447,Aux_CAV!$A$2:$A$121,1))))</f>
        <v>22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14.8906315445882</v>
      </c>
      <c r="E448" s="16" t="n">
        <f aca="false">IF(D448="","",D448*$B$15)</f>
        <v>38.5965169635726</v>
      </c>
      <c r="F448" s="16" t="n">
        <f aca="false" t="array" ref="F448:F448">IF(D448="","",IFERROR(INDEX(Dados_Evap!$C$2:$N$15,MATCH($B$9,Dados_Evap!$A$2:$A$15,0),C448),0))</f>
        <v>83.6</v>
      </c>
      <c r="G448" s="16" t="n">
        <f aca="false">IF(F448="","",F448/1000)</f>
        <v>0.0836</v>
      </c>
      <c r="H448" s="16" t="n">
        <f aca="false">IF(D448="","",MAX(0,MIN($B$8,IFERROR(LOOKUP(2,1/($U$24:U447&lt;&gt;""),$U$24:U447),$B$11))))</f>
        <v>161.742817614093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15.7642753823512</v>
      </c>
      <c r="J448" s="16" t="n">
        <f aca="false">IF(D448="","",$B$12)</f>
        <v>0.432</v>
      </c>
      <c r="K448" s="16" t="n">
        <f aca="false">IF(J448="","",J448*$B$15)</f>
        <v>1.119744</v>
      </c>
      <c r="L448" s="16" t="n">
        <f aca="false">IF(D448="","",H448+E448-K448-G448*I448)</f>
        <v>197.901697155701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17.9302634108362</v>
      </c>
      <c r="N448" s="16" t="n">
        <f aca="false">IF(D448="","",(I448+M448)/2)</f>
        <v>16.8472693965937</v>
      </c>
      <c r="O448" s="16" t="n">
        <f aca="false">IF(D448="","",G448*N448)</f>
        <v>1.40843172155523</v>
      </c>
      <c r="P448" s="16" t="n">
        <f aca="false">IF(D448="","",H448+E448-K448-O448)</f>
        <v>197.811158856111</v>
      </c>
      <c r="Q448" s="16" t="n">
        <f aca="false">IF(D448="","",IF(P448&gt;=0,K448,MAX(0,K448+P448)))</f>
        <v>1.119744</v>
      </c>
      <c r="R448" s="16" t="n">
        <f aca="false">IF(D448="","",Q448/$B$15)</f>
        <v>0.432</v>
      </c>
      <c r="S448" s="16" t="n">
        <f aca="false">IF(D448="","",MAX(0,J448-R448))</f>
        <v>0</v>
      </c>
      <c r="T448" s="16" t="n">
        <f aca="false">IF(D448="","",MAX(0,Z448-$B$8))</f>
        <v>35.8111588561105</v>
      </c>
      <c r="U448" s="16" t="n">
        <f aca="false">IF(D448="","",MAX(0,MIN($B$8,Z448)))</f>
        <v>162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100</v>
      </c>
      <c r="Z448" s="18" t="n">
        <f aca="false">IF(D448="","",MAX(0,IF(P448&gt;=0,P448,IF(K448+P448&gt;=0,0,P448+K448))))</f>
        <v>197.811158856111</v>
      </c>
      <c r="AA448" s="18" t="n">
        <f aca="false">IF(D448="","",IF(H448&lt;=$B$16,1,IF(H448&gt;=$B$17,$B$21,MATCH(H448,Aux_CAV!$A$2:$A$121,1))))</f>
        <v>22</v>
      </c>
      <c r="AB448" s="18" t="n">
        <f aca="false">IF(D448="","",IF(L448&lt;=$B$16,1,IF(L448&gt;=$B$17,$B$21,MATCH(L448,Aux_CAV!$A$2:$A$121,1))))</f>
        <v>23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13.463855623505</v>
      </c>
      <c r="E449" s="16" t="n">
        <f aca="false">IF(D449="","",D449*$B$15)</f>
        <v>34.898313776125</v>
      </c>
      <c r="F449" s="16" t="n">
        <f aca="false" t="array" ref="F449:F449">IF(D449="","",IFERROR(INDEX(Dados_Evap!$C$2:$N$15,MATCH($B$9,Dados_Evap!$A$2:$A$15,0),C449),0))</f>
        <v>108.2</v>
      </c>
      <c r="G449" s="16" t="n">
        <f aca="false">IF(F449="","",F449/1000)</f>
        <v>0.1082</v>
      </c>
      <c r="H449" s="16" t="n">
        <f aca="false">IF(D449="","",MAX(0,MIN($B$8,IFERROR(LOOKUP(2,1/($U$24:U448&lt;&gt;""),$U$24:U448),$B$11))))</f>
        <v>162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15.783</v>
      </c>
      <c r="J449" s="16" t="n">
        <f aca="false">IF(D449="","",$B$12)</f>
        <v>0.432</v>
      </c>
      <c r="K449" s="16" t="n">
        <f aca="false">IF(J449="","",J449*$B$15)</f>
        <v>1.119744</v>
      </c>
      <c r="L449" s="16" t="n">
        <f aca="false">IF(D449="","",H449+E449-K449-G449*I449)</f>
        <v>194.070849176125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17.7011422173911</v>
      </c>
      <c r="N449" s="16" t="n">
        <f aca="false">IF(D449="","",(I449+M449)/2)</f>
        <v>16.7420711086955</v>
      </c>
      <c r="O449" s="16" t="n">
        <f aca="false">IF(D449="","",G449*N449)</f>
        <v>1.81149209396086</v>
      </c>
      <c r="P449" s="16" t="n">
        <f aca="false">IF(D449="","",H449+E449-K449-O449)</f>
        <v>193.967077682164</v>
      </c>
      <c r="Q449" s="16" t="n">
        <f aca="false">IF(D449="","",IF(P449&gt;=0,K449,MAX(0,K449+P449)))</f>
        <v>1.119744</v>
      </c>
      <c r="R449" s="16" t="n">
        <f aca="false">IF(D449="","",Q449/$B$15)</f>
        <v>0.432</v>
      </c>
      <c r="S449" s="16" t="n">
        <f aca="false">IF(D449="","",MAX(0,J449-R449))</f>
        <v>0</v>
      </c>
      <c r="T449" s="16" t="n">
        <f aca="false">IF(D449="","",MAX(0,Z449-$B$8))</f>
        <v>31.9670776821641</v>
      </c>
      <c r="U449" s="16" t="n">
        <f aca="false">IF(D449="","",MAX(0,MIN($B$8,Z449)))</f>
        <v>162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100</v>
      </c>
      <c r="Z449" s="18" t="n">
        <f aca="false">IF(D449="","",MAX(0,IF(P449&gt;=0,P449,IF(K449+P449&gt;=0,0,P449+K449))))</f>
        <v>193.967077682164</v>
      </c>
      <c r="AA449" s="18" t="n">
        <f aca="false">IF(D449="","",IF(H449&lt;=$B$16,1,IF(H449&gt;=$B$17,$B$21,MATCH(H449,Aux_CAV!$A$2:$A$121,1))))</f>
        <v>23</v>
      </c>
      <c r="AB449" s="18" t="n">
        <f aca="false">IF(D449="","",IF(L449&lt;=$B$16,1,IF(L449&gt;=$B$17,$B$21,MATCH(L449,Aux_CAV!$A$2:$A$121,1))))</f>
        <v>23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4.37298735132604</v>
      </c>
      <c r="E450" s="16" t="n">
        <f aca="false">IF(D450="","",D450*$B$15)</f>
        <v>11.3347832146371</v>
      </c>
      <c r="F450" s="16" t="n">
        <f aca="false" t="array" ref="F450:F450">IF(D450="","",IFERROR(INDEX(Dados_Evap!$C$2:$N$15,MATCH($B$9,Dados_Evap!$A$2:$A$15,0),C450),0))</f>
        <v>149</v>
      </c>
      <c r="G450" s="16" t="n">
        <f aca="false">IF(F450="","",F450/1000)</f>
        <v>0.149</v>
      </c>
      <c r="H450" s="16" t="n">
        <f aca="false">IF(D450="","",MAX(0,MIN($B$8,IFERROR(LOOKUP(2,1/($U$24:U449&lt;&gt;""),$U$24:U449),$B$11))))</f>
        <v>162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15.783</v>
      </c>
      <c r="J450" s="16" t="n">
        <f aca="false">IF(D450="","",$B$12)</f>
        <v>0.432</v>
      </c>
      <c r="K450" s="16" t="n">
        <f aca="false">IF(J450="","",J450*$B$15)</f>
        <v>1.119744</v>
      </c>
      <c r="L450" s="16" t="n">
        <f aca="false">IF(D450="","",H450+E450-K450-G450*I450)</f>
        <v>169.863372214637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16.2533045476945</v>
      </c>
      <c r="N450" s="16" t="n">
        <f aca="false">IF(D450="","",(I450+M450)/2)</f>
        <v>16.0181522738472</v>
      </c>
      <c r="O450" s="16" t="n">
        <f aca="false">IF(D450="","",G450*N450)</f>
        <v>2.38670468880324</v>
      </c>
      <c r="P450" s="16" t="n">
        <f aca="false">IF(D450="","",H450+E450-K450-O450)</f>
        <v>169.828334525834</v>
      </c>
      <c r="Q450" s="16" t="n">
        <f aca="false">IF(D450="","",IF(P450&gt;=0,K450,MAX(0,K450+P450)))</f>
        <v>1.119744</v>
      </c>
      <c r="R450" s="16" t="n">
        <f aca="false">IF(D450="","",Q450/$B$15)</f>
        <v>0.432</v>
      </c>
      <c r="S450" s="16" t="n">
        <f aca="false">IF(D450="","",MAX(0,J450-R450))</f>
        <v>0</v>
      </c>
      <c r="T450" s="16" t="n">
        <f aca="false">IF(D450="","",MAX(0,Z450-$B$8))</f>
        <v>7.82833452583387</v>
      </c>
      <c r="U450" s="16" t="n">
        <f aca="false">IF(D450="","",MAX(0,MIN($B$8,Z450)))</f>
        <v>162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100</v>
      </c>
      <c r="Z450" s="18" t="n">
        <f aca="false">IF(D450="","",MAX(0,IF(P450&gt;=0,P450,IF(K450+P450&gt;=0,0,P450+K450))))</f>
        <v>169.828334525834</v>
      </c>
      <c r="AA450" s="18" t="n">
        <f aca="false">IF(D450="","",IF(H450&lt;=$B$16,1,IF(H450&gt;=$B$17,$B$21,MATCH(H450,Aux_CAV!$A$2:$A$121,1))))</f>
        <v>23</v>
      </c>
      <c r="AB450" s="18" t="n">
        <f aca="false">IF(D450="","",IF(L450&lt;=$B$16,1,IF(L450&gt;=$B$17,$B$21,MATCH(L450,Aux_CAV!$A$2:$A$121,1))))</f>
        <v>23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1.77397363290403</v>
      </c>
      <c r="E451" s="16" t="n">
        <f aca="false">IF(D451="","",D451*$B$15)</f>
        <v>4.59813965648725</v>
      </c>
      <c r="F451" s="16" t="n">
        <f aca="false" t="array" ref="F451:F451">IF(D451="","",IFERROR(INDEX(Dados_Evap!$C$2:$N$15,MATCH($B$9,Dados_Evap!$A$2:$A$15,0),C451),0))</f>
        <v>206.8</v>
      </c>
      <c r="G451" s="16" t="n">
        <f aca="false">IF(F451="","",F451/1000)</f>
        <v>0.2068</v>
      </c>
      <c r="H451" s="16" t="n">
        <f aca="false">IF(D451="","",MAX(0,MIN($B$8,IFERROR(LOOKUP(2,1/($U$24:U450&lt;&gt;""),$U$24:U450),$B$11))))</f>
        <v>162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15.783</v>
      </c>
      <c r="J451" s="16" t="n">
        <f aca="false">IF(D451="","",$B$12)</f>
        <v>0.432</v>
      </c>
      <c r="K451" s="16" t="n">
        <f aca="false">IF(J451="","",J451*$B$15)</f>
        <v>1.119744</v>
      </c>
      <c r="L451" s="16" t="n">
        <f aca="false">IF(D451="","",H451+E451-K451-G451*I451)</f>
        <v>162.214471256487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15.7958274237213</v>
      </c>
      <c r="N451" s="16" t="n">
        <f aca="false">IF(D451="","",(I451+M451)/2)</f>
        <v>15.7894137118607</v>
      </c>
      <c r="O451" s="16" t="n">
        <f aca="false">IF(D451="","",G451*N451)</f>
        <v>3.26525075561279</v>
      </c>
      <c r="P451" s="16" t="n">
        <f aca="false">IF(D451="","",H451+E451-K451-O451)</f>
        <v>162.213144900874</v>
      </c>
      <c r="Q451" s="16" t="n">
        <f aca="false">IF(D451="","",IF(P451&gt;=0,K451,MAX(0,K451+P451)))</f>
        <v>1.119744</v>
      </c>
      <c r="R451" s="16" t="n">
        <f aca="false">IF(D451="","",Q451/$B$15)</f>
        <v>0.432</v>
      </c>
      <c r="S451" s="16" t="n">
        <f aca="false">IF(D451="","",MAX(0,J451-R451))</f>
        <v>0</v>
      </c>
      <c r="T451" s="16" t="n">
        <f aca="false">IF(D451="","",MAX(0,Z451-$B$8))</f>
        <v>0.213144900874454</v>
      </c>
      <c r="U451" s="16" t="n">
        <f aca="false">IF(D451="","",MAX(0,MIN($B$8,Z451)))</f>
        <v>162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100</v>
      </c>
      <c r="Z451" s="18" t="n">
        <f aca="false">IF(D451="","",MAX(0,IF(P451&gt;=0,P451,IF(K451+P451&gt;=0,0,P451+K451))))</f>
        <v>162.213144900874</v>
      </c>
      <c r="AA451" s="18" t="n">
        <f aca="false">IF(D451="","",IF(H451&lt;=$B$16,1,IF(H451&gt;=$B$17,$B$21,MATCH(H451,Aux_CAV!$A$2:$A$121,1))))</f>
        <v>23</v>
      </c>
      <c r="AB451" s="18" t="n">
        <f aca="false">IF(D451="","",IF(L451&lt;=$B$16,1,IF(L451&gt;=$B$17,$B$21,MATCH(L451,Aux_CAV!$A$2:$A$121,1))))</f>
        <v>23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0.931049576002847</v>
      </c>
      <c r="E452" s="16" t="n">
        <f aca="false">IF(D452="","",D452*$B$15)</f>
        <v>2.41328050099938</v>
      </c>
      <c r="F452" s="16" t="n">
        <f aca="false" t="array" ref="F452:F452">IF(D452="","",IFERROR(INDEX(Dados_Evap!$C$2:$N$15,MATCH($B$9,Dados_Evap!$A$2:$A$15,0),C452),0))</f>
        <v>245.9</v>
      </c>
      <c r="G452" s="16" t="n">
        <f aca="false">IF(F452="","",F452/1000)</f>
        <v>0.2459</v>
      </c>
      <c r="H452" s="16" t="n">
        <f aca="false">IF(D452="","",MAX(0,MIN($B$8,IFERROR(LOOKUP(2,1/($U$24:U451&lt;&gt;""),$U$24:U451),$B$11))))</f>
        <v>162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15.783</v>
      </c>
      <c r="J452" s="16" t="n">
        <f aca="false">IF(D452="","",$B$12)</f>
        <v>0.432</v>
      </c>
      <c r="K452" s="16" t="n">
        <f aca="false">IF(J452="","",J452*$B$15)</f>
        <v>1.119744</v>
      </c>
      <c r="L452" s="16" t="n">
        <f aca="false">IF(D452="","",H452+E452-K452-G452*I452)</f>
        <v>159.412496800999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15.5946122614869</v>
      </c>
      <c r="N452" s="16" t="n">
        <f aca="false">IF(D452="","",(I452+M452)/2)</f>
        <v>15.6888061307434</v>
      </c>
      <c r="O452" s="16" t="n">
        <f aca="false">IF(D452="","",G452*N452)</f>
        <v>3.85787742754981</v>
      </c>
      <c r="P452" s="16" t="n">
        <f aca="false">IF(D452="","",H452+E452-K452-O452)</f>
        <v>159.43565907345</v>
      </c>
      <c r="Q452" s="16" t="n">
        <f aca="false">IF(D452="","",IF(P452&gt;=0,K452,MAX(0,K452+P452)))</f>
        <v>1.119744</v>
      </c>
      <c r="R452" s="16" t="n">
        <f aca="false">IF(D452="","",Q452/$B$15)</f>
        <v>0.432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159.43565907345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98.4170735021294</v>
      </c>
      <c r="Z452" s="18" t="n">
        <f aca="false">IF(D452="","",MAX(0,IF(P452&gt;=0,P452,IF(K452+P452&gt;=0,0,P452+K452))))</f>
        <v>159.43565907345</v>
      </c>
      <c r="AA452" s="18" t="n">
        <f aca="false">IF(D452="","",IF(H452&lt;=$B$16,1,IF(H452&gt;=$B$17,$B$21,MATCH(H452,Aux_CAV!$A$2:$A$121,1))))</f>
        <v>23</v>
      </c>
      <c r="AB452" s="18" t="n">
        <f aca="false">IF(D452="","",IF(L452&lt;=$B$16,1,IF(L452&gt;=$B$17,$B$21,MATCH(L452,Aux_CAV!$A$2:$A$121,1))))</f>
        <v>22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1.15905083864598</v>
      </c>
      <c r="E453" s="16" t="n">
        <f aca="false">IF(D453="","",D453*$B$15)</f>
        <v>3.00425977377038</v>
      </c>
      <c r="F453" s="16" t="n">
        <f aca="false" t="array" ref="F453:F453">IF(D453="","",IFERROR(INDEX(Dados_Evap!$C$2:$N$15,MATCH($B$9,Dados_Evap!$A$2:$A$15,0),C453),0))</f>
        <v>282.3</v>
      </c>
      <c r="G453" s="16" t="n">
        <f aca="false">IF(F453="","",F453/1000)</f>
        <v>0.2823</v>
      </c>
      <c r="H453" s="16" t="n">
        <f aca="false">IF(D453="","",MAX(0,MIN($B$8,IFERROR(LOOKUP(2,1/($U$24:U452&lt;&gt;""),$U$24:U452),$B$11))))</f>
        <v>159.43565907345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15.5962986316245</v>
      </c>
      <c r="J453" s="16" t="n">
        <f aca="false">IF(D453="","",$B$12)</f>
        <v>0.432</v>
      </c>
      <c r="K453" s="16" t="n">
        <f aca="false">IF(J453="","",J453*$B$15)</f>
        <v>1.119744</v>
      </c>
      <c r="L453" s="16" t="n">
        <f aca="false">IF(D453="","",H453+E453-K453-G453*I453)</f>
        <v>156.917339743512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15.4129479468393</v>
      </c>
      <c r="N453" s="16" t="n">
        <f aca="false">IF(D453="","",(I453+M453)/2)</f>
        <v>15.5046232892319</v>
      </c>
      <c r="O453" s="16" t="n">
        <f aca="false">IF(D453="","",G453*N453)</f>
        <v>4.37695515455016</v>
      </c>
      <c r="P453" s="16" t="n">
        <f aca="false">IF(D453="","",H453+E453-K453-O453)</f>
        <v>156.94321969267</v>
      </c>
      <c r="Q453" s="16" t="n">
        <f aca="false">IF(D453="","",IF(P453&gt;=0,K453,MAX(0,K453+P453)))</f>
        <v>1.119744</v>
      </c>
      <c r="R453" s="16" t="n">
        <f aca="false">IF(D453="","",Q453/$B$15)</f>
        <v>0.432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156.94321969267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96.8785306744875</v>
      </c>
      <c r="Z453" s="18" t="n">
        <f aca="false">IF(D453="","",MAX(0,IF(P453&gt;=0,P453,IF(K453+P453&gt;=0,0,P453+K453))))</f>
        <v>156.94321969267</v>
      </c>
      <c r="AA453" s="18" t="n">
        <f aca="false">IF(D453="","",IF(H453&lt;=$B$16,1,IF(H453&gt;=$B$17,$B$21,MATCH(H453,Aux_CAV!$A$2:$A$121,1))))</f>
        <v>22</v>
      </c>
      <c r="AB453" s="18" t="n">
        <f aca="false">IF(D453="","",IF(L453&lt;=$B$16,1,IF(L453&gt;=$B$17,$B$21,MATCH(L453,Aux_CAV!$A$2:$A$121,1))))</f>
        <v>22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1.02763156295939</v>
      </c>
      <c r="E454" s="16" t="n">
        <f aca="false">IF(D454="","",D454*$B$15)</f>
        <v>2.66362101119074</v>
      </c>
      <c r="F454" s="16" t="n">
        <f aca="false" t="array" ref="F454:F454">IF(D454="","",IFERROR(INDEX(Dados_Evap!$C$2:$N$15,MATCH($B$9,Dados_Evap!$A$2:$A$15,0),C454),0))</f>
        <v>241.3</v>
      </c>
      <c r="G454" s="16" t="n">
        <f aca="false">IF(F454="","",F454/1000)</f>
        <v>0.2413</v>
      </c>
      <c r="H454" s="16" t="n">
        <f aca="false">IF(D454="","",MAX(0,MIN($B$8,IFERROR(LOOKUP(2,1/($U$24:U453&lt;&gt;""),$U$24:U453),$B$11))))</f>
        <v>156.94321969267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15.4148321822275</v>
      </c>
      <c r="J454" s="16" t="n">
        <f aca="false">IF(D454="","",$B$12)</f>
        <v>0.432</v>
      </c>
      <c r="K454" s="16" t="n">
        <f aca="false">IF(J454="","",J454*$B$15)</f>
        <v>1.119744</v>
      </c>
      <c r="L454" s="16" t="n">
        <f aca="false">IF(D454="","",H454+E454-K454-G454*I454)</f>
        <v>154.767497698289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15.2564249012962</v>
      </c>
      <c r="N454" s="16" t="n">
        <f aca="false">IF(D454="","",(I454+M454)/2)</f>
        <v>15.3356285417618</v>
      </c>
      <c r="O454" s="16" t="n">
        <f aca="false">IF(D454="","",G454*N454)</f>
        <v>3.70048716712713</v>
      </c>
      <c r="P454" s="16" t="n">
        <f aca="false">IF(D454="","",H454+E454-K454-O454)</f>
        <v>154.786609536733</v>
      </c>
      <c r="Q454" s="16" t="n">
        <f aca="false">IF(D454="","",IF(P454&gt;=0,K454,MAX(0,K454+P454)))</f>
        <v>1.119744</v>
      </c>
      <c r="R454" s="16" t="n">
        <f aca="false">IF(D454="","",Q454/$B$15)</f>
        <v>0.432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154.786609536733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95.5472898374897</v>
      </c>
      <c r="Z454" s="18" t="n">
        <f aca="false">IF(D454="","",MAX(0,IF(P454&gt;=0,P454,IF(K454+P454&gt;=0,0,P454+K454))))</f>
        <v>154.786609536733</v>
      </c>
      <c r="AA454" s="18" t="n">
        <f aca="false">IF(D454="","",IF(H454&lt;=$B$16,1,IF(H454&gt;=$B$17,$B$21,MATCH(H454,Aux_CAV!$A$2:$A$121,1))))</f>
        <v>22</v>
      </c>
      <c r="AB454" s="18" t="n">
        <f aca="false">IF(D454="","",IF(L454&lt;=$B$16,1,IF(L454&gt;=$B$17,$B$21,MATCH(L454,Aux_CAV!$A$2:$A$121,1))))</f>
        <v>22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1.02947293991617</v>
      </c>
      <c r="E455" s="16" t="n">
        <f aca="false">IF(D455="","",D455*$B$15)</f>
        <v>2.66839386026271</v>
      </c>
      <c r="F455" s="16" t="n">
        <f aca="false" t="array" ref="F455:F455">IF(D455="","",IFERROR(INDEX(Dados_Evap!$C$2:$N$15,MATCH($B$9,Dados_Evap!$A$2:$A$15,0),C455),0))</f>
        <v>241.8</v>
      </c>
      <c r="G455" s="16" t="n">
        <f aca="false">IF(F455="","",F455/1000)</f>
        <v>0.2418</v>
      </c>
      <c r="H455" s="16" t="n">
        <f aca="false">IF(D455="","",MAX(0,MIN($B$8,IFERROR(LOOKUP(2,1/($U$24:U454&lt;&gt;""),$U$24:U454),$B$11))))</f>
        <v>154.786609536733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15.2578163724352</v>
      </c>
      <c r="J455" s="16" t="n">
        <f aca="false">IF(D455="","",$B$12)</f>
        <v>0.432</v>
      </c>
      <c r="K455" s="16" t="n">
        <f aca="false">IF(J455="","",J455*$B$15)</f>
        <v>1.119744</v>
      </c>
      <c r="L455" s="16" t="n">
        <f aca="false">IF(D455="","",H455+E455-K455-G455*I455)</f>
        <v>152.645919398141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15.1019596476116</v>
      </c>
      <c r="N455" s="16" t="n">
        <f aca="false">IF(D455="","",(I455+M455)/2)</f>
        <v>15.1798880100234</v>
      </c>
      <c r="O455" s="16" t="n">
        <f aca="false">IF(D455="","",G455*N455)</f>
        <v>3.67049692082366</v>
      </c>
      <c r="P455" s="16" t="n">
        <f aca="false">IF(D455="","",H455+E455-K455-O455)</f>
        <v>152.664762476172</v>
      </c>
      <c r="Q455" s="16" t="n">
        <f aca="false">IF(D455="","",IF(P455&gt;=0,K455,MAX(0,K455+P455)))</f>
        <v>1.119744</v>
      </c>
      <c r="R455" s="16" t="n">
        <f aca="false">IF(D455="","",Q455/$B$15)</f>
        <v>0.432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152.664762476172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94.237507701341</v>
      </c>
      <c r="Z455" s="18" t="n">
        <f aca="false">IF(D455="","",MAX(0,IF(P455&gt;=0,P455,IF(K455+P455&gt;=0,0,P455+K455))))</f>
        <v>152.664762476172</v>
      </c>
      <c r="AA455" s="18" t="n">
        <f aca="false">IF(D455="","",IF(H455&lt;=$B$16,1,IF(H455&gt;=$B$17,$B$21,MATCH(H455,Aux_CAV!$A$2:$A$121,1))))</f>
        <v>22</v>
      </c>
      <c r="AB455" s="18" t="n">
        <f aca="false">IF(D455="","",IF(L455&lt;=$B$16,1,IF(L455&gt;=$B$17,$B$21,MATCH(L455,Aux_CAV!$A$2:$A$121,1))))</f>
        <v>22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6.31546879243908</v>
      </c>
      <c r="E456" s="16" t="n">
        <f aca="false">IF(D456="","",D456*$B$15)</f>
        <v>16.3696951100021</v>
      </c>
      <c r="F456" s="16" t="n">
        <f aca="false" t="array" ref="F456:F456">IF(D456="","",IFERROR(INDEX(Dados_Evap!$C$2:$N$15,MATCH($B$9,Dados_Evap!$A$2:$A$15,0),C456),0))</f>
        <v>189</v>
      </c>
      <c r="G456" s="16" t="n">
        <f aca="false">IF(F456="","",F456/1000)</f>
        <v>0.189</v>
      </c>
      <c r="H456" s="16" t="n">
        <f aca="false">IF(D456="","",MAX(0,MIN($B$8,IFERROR(LOOKUP(2,1/($U$24:U455&lt;&gt;""),$U$24:U455),$B$11))))</f>
        <v>152.664762476172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15.1033315511742</v>
      </c>
      <c r="J456" s="16" t="n">
        <f aca="false">IF(D456="","",$B$12)</f>
        <v>0.432</v>
      </c>
      <c r="K456" s="16" t="n">
        <f aca="false">IF(J456="","",J456*$B$15)</f>
        <v>1.119744</v>
      </c>
      <c r="L456" s="16" t="n">
        <f aca="false">IF(D456="","",H456+E456-K456-G456*I456)</f>
        <v>165.060183923003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15.9660281432043</v>
      </c>
      <c r="N456" s="16" t="n">
        <f aca="false">IF(D456="","",(I456+M456)/2)</f>
        <v>15.5346798471893</v>
      </c>
      <c r="O456" s="16" t="n">
        <f aca="false">IF(D456="","",G456*N456)</f>
        <v>2.93605449111877</v>
      </c>
      <c r="P456" s="16" t="n">
        <f aca="false">IF(D456="","",H456+E456-K456-O456)</f>
        <v>164.978659095056</v>
      </c>
      <c r="Q456" s="16" t="n">
        <f aca="false">IF(D456="","",IF(P456&gt;=0,K456,MAX(0,K456+P456)))</f>
        <v>1.119744</v>
      </c>
      <c r="R456" s="16" t="n">
        <f aca="false">IF(D456="","",Q456/$B$15)</f>
        <v>0.432</v>
      </c>
      <c r="S456" s="16" t="n">
        <f aca="false">IF(D456="","",MAX(0,J456-R456))</f>
        <v>0</v>
      </c>
      <c r="T456" s="16" t="n">
        <f aca="false">IF(D456="","",MAX(0,Z456-$B$8))</f>
        <v>2.97865909505575</v>
      </c>
      <c r="U456" s="16" t="n">
        <f aca="false">IF(D456="","",MAX(0,MIN($B$8,Z456)))</f>
        <v>162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100</v>
      </c>
      <c r="Z456" s="18" t="n">
        <f aca="false">IF(D456="","",MAX(0,IF(P456&gt;=0,P456,IF(K456+P456&gt;=0,0,P456+K456))))</f>
        <v>164.978659095056</v>
      </c>
      <c r="AA456" s="18" t="n">
        <f aca="false">IF(D456="","",IF(H456&lt;=$B$16,1,IF(H456&gt;=$B$17,$B$21,MATCH(H456,Aux_CAV!$A$2:$A$121,1))))</f>
        <v>22</v>
      </c>
      <c r="AB456" s="18" t="n">
        <f aca="false">IF(D456="","",IF(L456&lt;=$B$16,1,IF(L456&gt;=$B$17,$B$21,MATCH(L456,Aux_CAV!$A$2:$A$121,1))))</f>
        <v>23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5.99173645504149</v>
      </c>
      <c r="E457" s="16" t="n">
        <f aca="false">IF(D457="","",D457*$B$15)</f>
        <v>15.5305808914675</v>
      </c>
      <c r="F457" s="16" t="n">
        <f aca="false" t="array" ref="F457:F457">IF(D457="","",IFERROR(INDEX(Dados_Evap!$C$2:$N$15,MATCH($B$9,Dados_Evap!$A$2:$A$15,0),C457),0))</f>
        <v>136.9</v>
      </c>
      <c r="G457" s="16" t="n">
        <f aca="false">IF(F457="","",F457/1000)</f>
        <v>0.1369</v>
      </c>
      <c r="H457" s="16" t="n">
        <f aca="false">IF(D457="","",MAX(0,MIN($B$8,IFERROR(LOOKUP(2,1/($U$24:U456&lt;&gt;""),$U$24:U456),$B$11))))</f>
        <v>162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15.783</v>
      </c>
      <c r="J457" s="16" t="n">
        <f aca="false">IF(D457="","",$B$12)</f>
        <v>0.432</v>
      </c>
      <c r="K457" s="16" t="n">
        <f aca="false">IF(J457="","",J457*$B$15)</f>
        <v>1.119744</v>
      </c>
      <c r="L457" s="16" t="n">
        <f aca="false">IF(D457="","",H457+E457-K457-G457*I457)</f>
        <v>174.250144191468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16.5156752906897</v>
      </c>
      <c r="N457" s="16" t="n">
        <f aca="false">IF(D457="","",(I457+M457)/2)</f>
        <v>16.1493376453448</v>
      </c>
      <c r="O457" s="16" t="n">
        <f aca="false">IF(D457="","",G457*N457)</f>
        <v>2.21084432364771</v>
      </c>
      <c r="P457" s="16" t="n">
        <f aca="false">IF(D457="","",H457+E457-K457-O457)</f>
        <v>174.19999256782</v>
      </c>
      <c r="Q457" s="16" t="n">
        <f aca="false">IF(D457="","",IF(P457&gt;=0,K457,MAX(0,K457+P457)))</f>
        <v>1.119744</v>
      </c>
      <c r="R457" s="16" t="n">
        <f aca="false">IF(D457="","",Q457/$B$15)</f>
        <v>0.432</v>
      </c>
      <c r="S457" s="16" t="n">
        <f aca="false">IF(D457="","",MAX(0,J457-R457))</f>
        <v>0</v>
      </c>
      <c r="T457" s="16" t="n">
        <f aca="false">IF(D457="","",MAX(0,Z457-$B$8))</f>
        <v>12.1999925678198</v>
      </c>
      <c r="U457" s="16" t="n">
        <f aca="false">IF(D457="","",MAX(0,MIN($B$8,Z457)))</f>
        <v>162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100</v>
      </c>
      <c r="Z457" s="18" t="n">
        <f aca="false">IF(D457="","",MAX(0,IF(P457&gt;=0,P457,IF(K457+P457&gt;=0,0,P457+K457))))</f>
        <v>174.19999256782</v>
      </c>
      <c r="AA457" s="18" t="n">
        <f aca="false">IF(D457="","",IF(H457&lt;=$B$16,1,IF(H457&gt;=$B$17,$B$21,MATCH(H457,Aux_CAV!$A$2:$A$121,1))))</f>
        <v>23</v>
      </c>
      <c r="AB457" s="18" t="n">
        <f aca="false">IF(D457="","",IF(L457&lt;=$B$16,1,IF(L457&gt;=$B$17,$B$21,MATCH(L457,Aux_CAV!$A$2:$A$121,1))))</f>
        <v>23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9.35760872828396</v>
      </c>
      <c r="E458" s="16" t="n">
        <f aca="false">IF(D458="","",D458*$B$15)</f>
        <v>24.254921823712</v>
      </c>
      <c r="F458" s="16" t="n">
        <f aca="false" t="array" ref="F458:F458">IF(D458="","",IFERROR(INDEX(Dados_Evap!$C$2:$N$15,MATCH($B$9,Dados_Evap!$A$2:$A$15,0),C458),0))</f>
        <v>102.9</v>
      </c>
      <c r="G458" s="16" t="n">
        <f aca="false">IF(F458="","",F458/1000)</f>
        <v>0.1029</v>
      </c>
      <c r="H458" s="16" t="n">
        <f aca="false">IF(D458="","",MAX(0,MIN($B$8,IFERROR(LOOKUP(2,1/($U$24:U457&lt;&gt;""),$U$24:U457),$B$11))))</f>
        <v>162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15.783</v>
      </c>
      <c r="J458" s="16" t="n">
        <f aca="false">IF(D458="","",$B$12)</f>
        <v>0.432</v>
      </c>
      <c r="K458" s="16" t="n">
        <f aca="false">IF(J458="","",J458*$B$15)</f>
        <v>1.119744</v>
      </c>
      <c r="L458" s="16" t="n">
        <f aca="false">IF(D458="","",H458+E458-K458-G458*I458)</f>
        <v>183.511107123712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17.0695690736849</v>
      </c>
      <c r="N458" s="16" t="n">
        <f aca="false">IF(D458="","",(I458+M458)/2)</f>
        <v>16.4262845368424</v>
      </c>
      <c r="O458" s="16" t="n">
        <f aca="false">IF(D458="","",G458*N458)</f>
        <v>1.69026467884109</v>
      </c>
      <c r="P458" s="16" t="n">
        <f aca="false">IF(D458="","",H458+E458-K458-O458)</f>
        <v>183.444913144871</v>
      </c>
      <c r="Q458" s="16" t="n">
        <f aca="false">IF(D458="","",IF(P458&gt;=0,K458,MAX(0,K458+P458)))</f>
        <v>1.119744</v>
      </c>
      <c r="R458" s="16" t="n">
        <f aca="false">IF(D458="","",Q458/$B$15)</f>
        <v>0.432</v>
      </c>
      <c r="S458" s="16" t="n">
        <f aca="false">IF(D458="","",MAX(0,J458-R458))</f>
        <v>0</v>
      </c>
      <c r="T458" s="16" t="n">
        <f aca="false">IF(D458="","",MAX(0,Z458-$B$8))</f>
        <v>21.444913144871</v>
      </c>
      <c r="U458" s="16" t="n">
        <f aca="false">IF(D458="","",MAX(0,MIN($B$8,Z458)))</f>
        <v>162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100</v>
      </c>
      <c r="Z458" s="18" t="n">
        <f aca="false">IF(D458="","",MAX(0,IF(P458&gt;=0,P458,IF(K458+P458&gt;=0,0,P458+K458))))</f>
        <v>183.444913144871</v>
      </c>
      <c r="AA458" s="18" t="n">
        <f aca="false">IF(D458="","",IF(H458&lt;=$B$16,1,IF(H458&gt;=$B$17,$B$21,MATCH(H458,Aux_CAV!$A$2:$A$121,1))))</f>
        <v>23</v>
      </c>
      <c r="AB458" s="18" t="n">
        <f aca="false">IF(D458="","",IF(L458&lt;=$B$16,1,IF(L458&gt;=$B$17,$B$21,MATCH(L458,Aux_CAV!$A$2:$A$121,1))))</f>
        <v>23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15.0957265668141</v>
      </c>
      <c r="E459" s="16" t="n">
        <f aca="false">IF(D459="","",D459*$B$15)</f>
        <v>39.1281232611822</v>
      </c>
      <c r="F459" s="16" t="n">
        <f aca="false" t="array" ref="F459:F459">IF(D459="","",IFERROR(INDEX(Dados_Evap!$C$2:$N$15,MATCH($B$9,Dados_Evap!$A$2:$A$15,0),C459),0))</f>
        <v>81.8</v>
      </c>
      <c r="G459" s="16" t="n">
        <f aca="false">IF(F459="","",F459/1000)</f>
        <v>0.0818</v>
      </c>
      <c r="H459" s="16" t="n">
        <f aca="false">IF(D459="","",MAX(0,MIN($B$8,IFERROR(LOOKUP(2,1/($U$24:U458&lt;&gt;""),$U$24:U458),$B$11))))</f>
        <v>162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15.783</v>
      </c>
      <c r="J459" s="16" t="n">
        <f aca="false">IF(D459="","",$B$12)</f>
        <v>0.432</v>
      </c>
      <c r="K459" s="16" t="n">
        <f aca="false">IF(J459="","",J459*$B$15)</f>
        <v>1.119744</v>
      </c>
      <c r="L459" s="16" t="n">
        <f aca="false">IF(D459="","",H459+E459-K459-G459*I459)</f>
        <v>198.717329861182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17.9790460145545</v>
      </c>
      <c r="N459" s="16" t="n">
        <f aca="false">IF(D459="","",(I459+M459)/2)</f>
        <v>16.8810230072773</v>
      </c>
      <c r="O459" s="16" t="n">
        <f aca="false">IF(D459="","",G459*N459)</f>
        <v>1.38086768199528</v>
      </c>
      <c r="P459" s="16" t="n">
        <f aca="false">IF(D459="","",H459+E459-K459-O459)</f>
        <v>198.627511579187</v>
      </c>
      <c r="Q459" s="16" t="n">
        <f aca="false">IF(D459="","",IF(P459&gt;=0,K459,MAX(0,K459+P459)))</f>
        <v>1.119744</v>
      </c>
      <c r="R459" s="16" t="n">
        <f aca="false">IF(D459="","",Q459/$B$15)</f>
        <v>0.432</v>
      </c>
      <c r="S459" s="16" t="n">
        <f aca="false">IF(D459="","",MAX(0,J459-R459))</f>
        <v>0</v>
      </c>
      <c r="T459" s="16" t="n">
        <f aca="false">IF(D459="","",MAX(0,Z459-$B$8))</f>
        <v>36.6275115791869</v>
      </c>
      <c r="U459" s="16" t="n">
        <f aca="false">IF(D459="","",MAX(0,MIN($B$8,Z459)))</f>
        <v>162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100</v>
      </c>
      <c r="Z459" s="18" t="n">
        <f aca="false">IF(D459="","",MAX(0,IF(P459&gt;=0,P459,IF(K459+P459&gt;=0,0,P459+K459))))</f>
        <v>198.627511579187</v>
      </c>
      <c r="AA459" s="18" t="n">
        <f aca="false">IF(D459="","",IF(H459&lt;=$B$16,1,IF(H459&gt;=$B$17,$B$21,MATCH(H459,Aux_CAV!$A$2:$A$121,1))))</f>
        <v>23</v>
      </c>
      <c r="AB459" s="18" t="n">
        <f aca="false">IF(D459="","",IF(L459&lt;=$B$16,1,IF(L459&gt;=$B$17,$B$21,MATCH(L459,Aux_CAV!$A$2:$A$121,1))))</f>
        <v>23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3.96979938076741</v>
      </c>
      <c r="E460" s="16" t="n">
        <f aca="false">IF(D460="","",D460*$B$15)</f>
        <v>10.2897199949491</v>
      </c>
      <c r="F460" s="16" t="n">
        <f aca="false" t="array" ref="F460:F460">IF(D460="","",IFERROR(INDEX(Dados_Evap!$C$2:$N$15,MATCH($B$9,Dados_Evap!$A$2:$A$15,0),C460),0))</f>
        <v>83.6</v>
      </c>
      <c r="G460" s="16" t="n">
        <f aca="false">IF(F460="","",F460/1000)</f>
        <v>0.0836</v>
      </c>
      <c r="H460" s="16" t="n">
        <f aca="false">IF(D460="","",MAX(0,MIN($B$8,IFERROR(LOOKUP(2,1/($U$24:U459&lt;&gt;""),$U$24:U459),$B$11))))</f>
        <v>162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15.783</v>
      </c>
      <c r="J460" s="16" t="n">
        <f aca="false">IF(D460="","",$B$12)</f>
        <v>0.432</v>
      </c>
      <c r="K460" s="16" t="n">
        <f aca="false">IF(J460="","",J460*$B$15)</f>
        <v>1.119744</v>
      </c>
      <c r="L460" s="16" t="n">
        <f aca="false">IF(D460="","",H460+E460-K460-G460*I460)</f>
        <v>169.850517194949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16.2525356950884</v>
      </c>
      <c r="N460" s="16" t="n">
        <f aca="false">IF(D460="","",(I460+M460)/2)</f>
        <v>16.0177678475442</v>
      </c>
      <c r="O460" s="16" t="n">
        <f aca="false">IF(D460="","",G460*N460)</f>
        <v>1.33908539205469</v>
      </c>
      <c r="P460" s="16" t="n">
        <f aca="false">IF(D460="","",H460+E460-K460-O460)</f>
        <v>169.830890602894</v>
      </c>
      <c r="Q460" s="16" t="n">
        <f aca="false">IF(D460="","",IF(P460&gt;=0,K460,MAX(0,K460+P460)))</f>
        <v>1.119744</v>
      </c>
      <c r="R460" s="16" t="n">
        <f aca="false">IF(D460="","",Q460/$B$15)</f>
        <v>0.432</v>
      </c>
      <c r="S460" s="16" t="n">
        <f aca="false">IF(D460="","",MAX(0,J460-R460))</f>
        <v>0</v>
      </c>
      <c r="T460" s="16" t="n">
        <f aca="false">IF(D460="","",MAX(0,Z460-$B$8))</f>
        <v>7.83089060289444</v>
      </c>
      <c r="U460" s="16" t="n">
        <f aca="false">IF(D460="","",MAX(0,MIN($B$8,Z460)))</f>
        <v>162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100</v>
      </c>
      <c r="Z460" s="18" t="n">
        <f aca="false">IF(D460="","",MAX(0,IF(P460&gt;=0,P460,IF(K460+P460&gt;=0,0,P460+K460))))</f>
        <v>169.830890602894</v>
      </c>
      <c r="AA460" s="18" t="n">
        <f aca="false">IF(D460="","",IF(H460&lt;=$B$16,1,IF(H460&gt;=$B$17,$B$21,MATCH(H460,Aux_CAV!$A$2:$A$121,1))))</f>
        <v>23</v>
      </c>
      <c r="AB460" s="18" t="n">
        <f aca="false">IF(D460="","",IF(L460&lt;=$B$16,1,IF(L460&gt;=$B$17,$B$21,MATCH(L460,Aux_CAV!$A$2:$A$121,1))))</f>
        <v>23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2.93905090479063</v>
      </c>
      <c r="E461" s="16" t="n">
        <f aca="false">IF(D461="","",D461*$B$15)</f>
        <v>7.61801994521731</v>
      </c>
      <c r="F461" s="16" t="n">
        <f aca="false" t="array" ref="F461:F461">IF(D461="","",IFERROR(INDEX(Dados_Evap!$C$2:$N$15,MATCH($B$9,Dados_Evap!$A$2:$A$15,0),C461),0))</f>
        <v>108.2</v>
      </c>
      <c r="G461" s="16" t="n">
        <f aca="false">IF(F461="","",F461/1000)</f>
        <v>0.1082</v>
      </c>
      <c r="H461" s="16" t="n">
        <f aca="false">IF(D461="","",MAX(0,MIN($B$8,IFERROR(LOOKUP(2,1/($U$24:U460&lt;&gt;""),$U$24:U460),$B$11))))</f>
        <v>162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15.783</v>
      </c>
      <c r="J461" s="16" t="n">
        <f aca="false">IF(D461="","",$B$12)</f>
        <v>0.432</v>
      </c>
      <c r="K461" s="16" t="n">
        <f aca="false">IF(J461="","",J461*$B$15)</f>
        <v>1.119744</v>
      </c>
      <c r="L461" s="16" t="n">
        <f aca="false">IF(D461="","",H461+E461-K461-G461*I461)</f>
        <v>166.790555345217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16.0695208339806</v>
      </c>
      <c r="N461" s="16" t="n">
        <f aca="false">IF(D461="","",(I461+M461)/2)</f>
        <v>15.9262604169903</v>
      </c>
      <c r="O461" s="16" t="n">
        <f aca="false">IF(D461="","",G461*N461)</f>
        <v>1.72322137711835</v>
      </c>
      <c r="P461" s="16" t="n">
        <f aca="false">IF(D461="","",H461+E461-K461-O461)</f>
        <v>166.775054568099</v>
      </c>
      <c r="Q461" s="16" t="n">
        <f aca="false">IF(D461="","",IF(P461&gt;=0,K461,MAX(0,K461+P461)))</f>
        <v>1.119744</v>
      </c>
      <c r="R461" s="16" t="n">
        <f aca="false">IF(D461="","",Q461/$B$15)</f>
        <v>0.432</v>
      </c>
      <c r="S461" s="16" t="n">
        <f aca="false">IF(D461="","",MAX(0,J461-R461))</f>
        <v>0</v>
      </c>
      <c r="T461" s="16" t="n">
        <f aca="false">IF(D461="","",MAX(0,Z461-$B$8))</f>
        <v>4.77505456809897</v>
      </c>
      <c r="U461" s="16" t="n">
        <f aca="false">IF(D461="","",MAX(0,MIN($B$8,Z461)))</f>
        <v>162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100</v>
      </c>
      <c r="Z461" s="18" t="n">
        <f aca="false">IF(D461="","",MAX(0,IF(P461&gt;=0,P461,IF(K461+P461&gt;=0,0,P461+K461))))</f>
        <v>166.775054568099</v>
      </c>
      <c r="AA461" s="18" t="n">
        <f aca="false">IF(D461="","",IF(H461&lt;=$B$16,1,IF(H461&gt;=$B$17,$B$21,MATCH(H461,Aux_CAV!$A$2:$A$121,1))))</f>
        <v>23</v>
      </c>
      <c r="AB461" s="18" t="n">
        <f aca="false">IF(D461="","",IF(L461&lt;=$B$16,1,IF(L461&gt;=$B$17,$B$21,MATCH(L461,Aux_CAV!$A$2:$A$121,1))))</f>
        <v>23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0.76800202173016</v>
      </c>
      <c r="E462" s="16" t="n">
        <f aca="false">IF(D462="","",D462*$B$15)</f>
        <v>1.99066124032457</v>
      </c>
      <c r="F462" s="16" t="n">
        <f aca="false" t="array" ref="F462:F462">IF(D462="","",IFERROR(INDEX(Dados_Evap!$C$2:$N$15,MATCH($B$9,Dados_Evap!$A$2:$A$15,0),C462),0))</f>
        <v>149</v>
      </c>
      <c r="G462" s="16" t="n">
        <f aca="false">IF(F462="","",F462/1000)</f>
        <v>0.149</v>
      </c>
      <c r="H462" s="16" t="n">
        <f aca="false">IF(D462="","",MAX(0,MIN($B$8,IFERROR(LOOKUP(2,1/($U$24:U461&lt;&gt;""),$U$24:U461),$B$11))))</f>
        <v>162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15.783</v>
      </c>
      <c r="J462" s="16" t="n">
        <f aca="false">IF(D462="","",$B$12)</f>
        <v>0.432</v>
      </c>
      <c r="K462" s="16" t="n">
        <f aca="false">IF(J462="","",J462*$B$15)</f>
        <v>1.119744</v>
      </c>
      <c r="L462" s="16" t="n">
        <f aca="false">IF(D462="","",H462+E462-K462-G462*I462)</f>
        <v>160.519250240325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15.6751913995558</v>
      </c>
      <c r="N462" s="16" t="n">
        <f aca="false">IF(D462="","",(I462+M462)/2)</f>
        <v>15.7290956997779</v>
      </c>
      <c r="O462" s="16" t="n">
        <f aca="false">IF(D462="","",G462*N462)</f>
        <v>2.34363525926691</v>
      </c>
      <c r="P462" s="16" t="n">
        <f aca="false">IF(D462="","",H462+E462-K462-O462)</f>
        <v>160.527281981058</v>
      </c>
      <c r="Q462" s="16" t="n">
        <f aca="false">IF(D462="","",IF(P462&gt;=0,K462,MAX(0,K462+P462)))</f>
        <v>1.119744</v>
      </c>
      <c r="R462" s="16" t="n">
        <f aca="false">IF(D462="","",Q462/$B$15)</f>
        <v>0.432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160.527281981058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99.090914803122</v>
      </c>
      <c r="Z462" s="18" t="n">
        <f aca="false">IF(D462="","",MAX(0,IF(P462&gt;=0,P462,IF(K462+P462&gt;=0,0,P462+K462))))</f>
        <v>160.527281981058</v>
      </c>
      <c r="AA462" s="18" t="n">
        <f aca="false">IF(D462="","",IF(H462&lt;=$B$16,1,IF(H462&gt;=$B$17,$B$21,MATCH(H462,Aux_CAV!$A$2:$A$121,1))))</f>
        <v>23</v>
      </c>
      <c r="AB462" s="18" t="n">
        <f aca="false">IF(D462="","",IF(L462&lt;=$B$16,1,IF(L462&gt;=$B$17,$B$21,MATCH(L462,Aux_CAV!$A$2:$A$121,1))))</f>
        <v>22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0.71369979829901</v>
      </c>
      <c r="E463" s="16" t="n">
        <f aca="false">IF(D463="","",D463*$B$15)</f>
        <v>1.84990987719103</v>
      </c>
      <c r="F463" s="16" t="n">
        <f aca="false" t="array" ref="F463:F463">IF(D463="","",IFERROR(INDEX(Dados_Evap!$C$2:$N$15,MATCH($B$9,Dados_Evap!$A$2:$A$15,0),C463),0))</f>
        <v>206.8</v>
      </c>
      <c r="G463" s="16" t="n">
        <f aca="false">IF(F463="","",F463/1000)</f>
        <v>0.2068</v>
      </c>
      <c r="H463" s="16" t="n">
        <f aca="false">IF(D463="","",MAX(0,MIN($B$8,IFERROR(LOOKUP(2,1/($U$24:U462&lt;&gt;""),$U$24:U462),$B$11))))</f>
        <v>160.527281981058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15.6757761646195</v>
      </c>
      <c r="J463" s="16" t="n">
        <f aca="false">IF(D463="","",$B$12)</f>
        <v>0.432</v>
      </c>
      <c r="K463" s="16" t="n">
        <f aca="false">IF(J463="","",J463*$B$15)</f>
        <v>1.119744</v>
      </c>
      <c r="L463" s="16" t="n">
        <f aca="false">IF(D463="","",H463+E463-K463-G463*I463)</f>
        <v>158.015697347405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15.4929158112871</v>
      </c>
      <c r="N463" s="16" t="n">
        <f aca="false">IF(D463="","",(I463+M463)/2)</f>
        <v>15.5843459879533</v>
      </c>
      <c r="O463" s="16" t="n">
        <f aca="false">IF(D463="","",G463*N463)</f>
        <v>3.22284275030875</v>
      </c>
      <c r="P463" s="16" t="n">
        <f aca="false">IF(D463="","",H463+E463-K463-O463)</f>
        <v>158.03460510794</v>
      </c>
      <c r="Q463" s="16" t="n">
        <f aca="false">IF(D463="","",IF(P463&gt;=0,K463,MAX(0,K463+P463)))</f>
        <v>1.119744</v>
      </c>
      <c r="R463" s="16" t="n">
        <f aca="false">IF(D463="","",Q463/$B$15)</f>
        <v>0.432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158.03460510794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97.5522253752716</v>
      </c>
      <c r="Z463" s="18" t="n">
        <f aca="false">IF(D463="","",MAX(0,IF(P463&gt;=0,P463,IF(K463+P463&gt;=0,0,P463+K463))))</f>
        <v>158.03460510794</v>
      </c>
      <c r="AA463" s="18" t="n">
        <f aca="false">IF(D463="","",IF(H463&lt;=$B$16,1,IF(H463&gt;=$B$17,$B$21,MATCH(H463,Aux_CAV!$A$2:$A$121,1))))</f>
        <v>22</v>
      </c>
      <c r="AB463" s="18" t="n">
        <f aca="false">IF(D463="","",IF(L463&lt;=$B$16,1,IF(L463&gt;=$B$17,$B$21,MATCH(L463,Aux_CAV!$A$2:$A$121,1))))</f>
        <v>22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0.655866179084345</v>
      </c>
      <c r="E464" s="16" t="n">
        <f aca="false">IF(D464="","",D464*$B$15)</f>
        <v>1.70000513618662</v>
      </c>
      <c r="F464" s="16" t="n">
        <f aca="false" t="array" ref="F464:F464">IF(D464="","",IFERROR(INDEX(Dados_Evap!$C$2:$N$15,MATCH($B$9,Dados_Evap!$A$2:$A$15,0),C464),0))</f>
        <v>245.9</v>
      </c>
      <c r="G464" s="16" t="n">
        <f aca="false">IF(F464="","",F464/1000)</f>
        <v>0.2459</v>
      </c>
      <c r="H464" s="16" t="n">
        <f aca="false">IF(D464="","",MAX(0,MIN($B$8,IFERROR(LOOKUP(2,1/($U$24:U463&lt;&gt;""),$U$24:U463),$B$11))))</f>
        <v>158.03460510794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15.4942924241736</v>
      </c>
      <c r="J464" s="16" t="n">
        <f aca="false">IF(D464="","",$B$12)</f>
        <v>0.432</v>
      </c>
      <c r="K464" s="16" t="n">
        <f aca="false">IF(J464="","",J464*$B$15)</f>
        <v>1.119744</v>
      </c>
      <c r="L464" s="16" t="n">
        <f aca="false">IF(D464="","",H464+E464-K464-G464*I464)</f>
        <v>154.804819737022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15.2591421982164</v>
      </c>
      <c r="N464" s="16" t="n">
        <f aca="false">IF(D464="","",(I464+M464)/2)</f>
        <v>15.376717311195</v>
      </c>
      <c r="O464" s="16" t="n">
        <f aca="false">IF(D464="","",G464*N464)</f>
        <v>3.78113478682285</v>
      </c>
      <c r="P464" s="16" t="n">
        <f aca="false">IF(D464="","",H464+E464-K464-O464)</f>
        <v>154.833731457304</v>
      </c>
      <c r="Q464" s="16" t="n">
        <f aca="false">IF(D464="","",IF(P464&gt;=0,K464,MAX(0,K464+P464)))</f>
        <v>1.119744</v>
      </c>
      <c r="R464" s="16" t="n">
        <f aca="false">IF(D464="","",Q464/$B$15)</f>
        <v>0.432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154.833731457304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95.5763774427801</v>
      </c>
      <c r="Z464" s="18" t="n">
        <f aca="false">IF(D464="","",MAX(0,IF(P464&gt;=0,P464,IF(K464+P464&gt;=0,0,P464+K464))))</f>
        <v>154.833731457304</v>
      </c>
      <c r="AA464" s="18" t="n">
        <f aca="false">IF(D464="","",IF(H464&lt;=$B$16,1,IF(H464&gt;=$B$17,$B$21,MATCH(H464,Aux_CAV!$A$2:$A$121,1))))</f>
        <v>22</v>
      </c>
      <c r="AB464" s="18" t="n">
        <f aca="false">IF(D464="","",IF(L464&lt;=$B$16,1,IF(L464&gt;=$B$17,$B$21,MATCH(L464,Aux_CAV!$A$2:$A$121,1))))</f>
        <v>22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0.593710445494837</v>
      </c>
      <c r="E465" s="16" t="n">
        <f aca="false">IF(D465="","",D465*$B$15)</f>
        <v>1.53889747472262</v>
      </c>
      <c r="F465" s="16" t="n">
        <f aca="false" t="array" ref="F465:F465">IF(D465="","",IFERROR(INDEX(Dados_Evap!$C$2:$N$15,MATCH($B$9,Dados_Evap!$A$2:$A$15,0),C465),0))</f>
        <v>282.3</v>
      </c>
      <c r="G465" s="16" t="n">
        <f aca="false">IF(F465="","",F465/1000)</f>
        <v>0.2823</v>
      </c>
      <c r="H465" s="16" t="n">
        <f aca="false">IF(D465="","",MAX(0,MIN($B$8,IFERROR(LOOKUP(2,1/($U$24:U464&lt;&gt;""),$U$24:U464),$B$11))))</f>
        <v>154.833731457304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15.2612471670537</v>
      </c>
      <c r="J465" s="16" t="n">
        <f aca="false">IF(D465="","",$B$12)</f>
        <v>0.432</v>
      </c>
      <c r="K465" s="16" t="n">
        <f aca="false">IF(J465="","",J465*$B$15)</f>
        <v>1.119744</v>
      </c>
      <c r="L465" s="16" t="n">
        <f aca="false">IF(D465="","",H465+E465-K465-G465*I465)</f>
        <v>150.944634856767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14.9780946230425</v>
      </c>
      <c r="N465" s="16" t="n">
        <f aca="false">IF(D465="","",(I465+M465)/2)</f>
        <v>15.1196708950481</v>
      </c>
      <c r="O465" s="16" t="n">
        <f aca="false">IF(D465="","",G465*N465)</f>
        <v>4.26828309367209</v>
      </c>
      <c r="P465" s="16" t="n">
        <f aca="false">IF(D465="","",H465+E465-K465-O465)</f>
        <v>150.984601838354</v>
      </c>
      <c r="Q465" s="16" t="n">
        <f aca="false">IF(D465="","",IF(P465&gt;=0,K465,MAX(0,K465+P465)))</f>
        <v>1.119744</v>
      </c>
      <c r="R465" s="16" t="n">
        <f aca="false">IF(D465="","",Q465/$B$15)</f>
        <v>0.432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150.984601838354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93.200371505157</v>
      </c>
      <c r="Z465" s="18" t="n">
        <f aca="false">IF(D465="","",MAX(0,IF(P465&gt;=0,P465,IF(K465+P465&gt;=0,0,P465+K465))))</f>
        <v>150.984601838354</v>
      </c>
      <c r="AA465" s="18" t="n">
        <f aca="false">IF(D465="","",IF(H465&lt;=$B$16,1,IF(H465&gt;=$B$17,$B$21,MATCH(H465,Aux_CAV!$A$2:$A$121,1))))</f>
        <v>22</v>
      </c>
      <c r="AB465" s="18" t="n">
        <f aca="false">IF(D465="","",IF(L465&lt;=$B$16,1,IF(L465&gt;=$B$17,$B$21,MATCH(L465,Aux_CAV!$A$2:$A$121,1))))</f>
        <v>22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0.517812245562216</v>
      </c>
      <c r="E466" s="16" t="n">
        <f aca="false">IF(D466="","",D466*$B$15)</f>
        <v>1.34216934049726</v>
      </c>
      <c r="F466" s="16" t="n">
        <f aca="false" t="array" ref="F466:F466">IF(D466="","",IFERROR(INDEX(Dados_Evap!$C$2:$N$15,MATCH($B$9,Dados_Evap!$A$2:$A$15,0),C466),0))</f>
        <v>241.3</v>
      </c>
      <c r="G466" s="16" t="n">
        <f aca="false">IF(F466="","",F466/1000)</f>
        <v>0.2413</v>
      </c>
      <c r="H466" s="16" t="n">
        <f aca="false">IF(D466="","",MAX(0,MIN($B$8,IFERROR(LOOKUP(2,1/($U$24:U465&lt;&gt;""),$U$24:U465),$B$11))))</f>
        <v>150.984601838354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14.9810044896967</v>
      </c>
      <c r="J466" s="16" t="n">
        <f aca="false">IF(D466="","",$B$12)</f>
        <v>0.432</v>
      </c>
      <c r="K466" s="16" t="n">
        <f aca="false">IF(J466="","",J466*$B$15)</f>
        <v>1.119744</v>
      </c>
      <c r="L466" s="16" t="n">
        <f aca="false">IF(D466="","",H466+E466-K466-G466*I466)</f>
        <v>147.592110795488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14.7340081900445</v>
      </c>
      <c r="N466" s="16" t="n">
        <f aca="false">IF(D466="","",(I466+M466)/2)</f>
        <v>14.8575063398706</v>
      </c>
      <c r="O466" s="16" t="n">
        <f aca="false">IF(D466="","",G466*N466)</f>
        <v>3.58511627981078</v>
      </c>
      <c r="P466" s="16" t="n">
        <f aca="false">IF(D466="","",H466+E466-K466-O466)</f>
        <v>147.621910899041</v>
      </c>
      <c r="Q466" s="16" t="n">
        <f aca="false">IF(D466="","",IF(P466&gt;=0,K466,MAX(0,K466+P466)))</f>
        <v>1.119744</v>
      </c>
      <c r="R466" s="16" t="n">
        <f aca="false">IF(D466="","",Q466/$B$15)</f>
        <v>0.432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147.621910899041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91.1246363574326</v>
      </c>
      <c r="Z466" s="18" t="n">
        <f aca="false">IF(D466="","",MAX(0,IF(P466&gt;=0,P466,IF(K466+P466&gt;=0,0,P466+K466))))</f>
        <v>147.621910899041</v>
      </c>
      <c r="AA466" s="18" t="n">
        <f aca="false">IF(D466="","",IF(H466&lt;=$B$16,1,IF(H466&gt;=$B$17,$B$21,MATCH(H466,Aux_CAV!$A$2:$A$121,1))))</f>
        <v>22</v>
      </c>
      <c r="AB466" s="18" t="n">
        <f aca="false">IF(D466="","",IF(L466&lt;=$B$16,1,IF(L466&gt;=$B$17,$B$21,MATCH(L466,Aux_CAV!$A$2:$A$121,1))))</f>
        <v>22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0.661681208016053</v>
      </c>
      <c r="E467" s="16" t="n">
        <f aca="false">IF(D467="","",D467*$B$15)</f>
        <v>1.71507769117761</v>
      </c>
      <c r="F467" s="16" t="n">
        <f aca="false" t="array" ref="F467:F467">IF(D467="","",IFERROR(INDEX(Dados_Evap!$C$2:$N$15,MATCH($B$9,Dados_Evap!$A$2:$A$15,0),C467),0))</f>
        <v>241.8</v>
      </c>
      <c r="G467" s="16" t="n">
        <f aca="false">IF(F467="","",F467/1000)</f>
        <v>0.2418</v>
      </c>
      <c r="H467" s="16" t="n">
        <f aca="false">IF(D467="","",MAX(0,MIN($B$8,IFERROR(LOOKUP(2,1/($U$24:U466&lt;&gt;""),$U$24:U466),$B$11))))</f>
        <v>147.621910899041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14.7361778391943</v>
      </c>
      <c r="J467" s="16" t="n">
        <f aca="false">IF(D467="","",$B$12)</f>
        <v>0.432</v>
      </c>
      <c r="K467" s="16" t="n">
        <f aca="false">IF(J467="","",J467*$B$15)</f>
        <v>1.119744</v>
      </c>
      <c r="L467" s="16" t="n">
        <f aca="false">IF(D467="","",H467+E467-K467-G467*I467)</f>
        <v>144.654036788701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14.520096524955</v>
      </c>
      <c r="N467" s="16" t="n">
        <f aca="false">IF(D467="","",(I467+M467)/2)</f>
        <v>14.6281371820746</v>
      </c>
      <c r="O467" s="16" t="n">
        <f aca="false">IF(D467="","",G467*N467)</f>
        <v>3.53708357062564</v>
      </c>
      <c r="P467" s="16" t="n">
        <f aca="false">IF(D467="","",H467+E467-K467-O467)</f>
        <v>144.680161019593</v>
      </c>
      <c r="Q467" s="16" t="n">
        <f aca="false">IF(D467="","",IF(P467&gt;=0,K467,MAX(0,K467+P467)))</f>
        <v>1.119744</v>
      </c>
      <c r="R467" s="16" t="n">
        <f aca="false">IF(D467="","",Q467/$B$15)</f>
        <v>0.432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144.680161019593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89.308741370119</v>
      </c>
      <c r="Z467" s="18" t="n">
        <f aca="false">IF(D467="","",MAX(0,IF(P467&gt;=0,P467,IF(K467+P467&gt;=0,0,P467+K467))))</f>
        <v>144.680161019593</v>
      </c>
      <c r="AA467" s="18" t="n">
        <f aca="false">IF(D467="","",IF(H467&lt;=$B$16,1,IF(H467&gt;=$B$17,$B$21,MATCH(H467,Aux_CAV!$A$2:$A$121,1))))</f>
        <v>22</v>
      </c>
      <c r="AB467" s="18" t="n">
        <f aca="false">IF(D467="","",IF(L467&lt;=$B$16,1,IF(L467&gt;=$B$17,$B$21,MATCH(L467,Aux_CAV!$A$2:$A$121,1))))</f>
        <v>22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0.55375751122291</v>
      </c>
      <c r="E468" s="16" t="n">
        <f aca="false">IF(D468="","",D468*$B$15)</f>
        <v>1.43533946908978</v>
      </c>
      <c r="F468" s="16" t="n">
        <f aca="false" t="array" ref="F468:F468">IF(D468="","",IFERROR(INDEX(Dados_Evap!$C$2:$N$15,MATCH($B$9,Dados_Evap!$A$2:$A$15,0),C468),0))</f>
        <v>189</v>
      </c>
      <c r="G468" s="16" t="n">
        <f aca="false">IF(F468="","",F468/1000)</f>
        <v>0.189</v>
      </c>
      <c r="H468" s="16" t="n">
        <f aca="false">IF(D468="","",MAX(0,MIN($B$8,IFERROR(LOOKUP(2,1/($U$24:U467&lt;&gt;""),$U$24:U467),$B$11))))</f>
        <v>144.680161019593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14.5219985457061</v>
      </c>
      <c r="J468" s="16" t="n">
        <f aca="false">IF(D468="","",$B$12)</f>
        <v>0.432</v>
      </c>
      <c r="K468" s="16" t="n">
        <f aca="false">IF(J468="","",J468*$B$15)</f>
        <v>1.119744</v>
      </c>
      <c r="L468" s="16" t="n">
        <f aca="false">IF(D468="","",H468+E468-K468-G468*I468)</f>
        <v>142.251098763544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14.3451463797643</v>
      </c>
      <c r="N468" s="16" t="n">
        <f aca="false">IF(D468="","",(I468+M468)/2)</f>
        <v>14.4335724627352</v>
      </c>
      <c r="O468" s="16" t="n">
        <f aca="false">IF(D468="","",G468*N468)</f>
        <v>2.72794519545695</v>
      </c>
      <c r="P468" s="16" t="n">
        <f aca="false">IF(D468="","",H468+E468-K468-O468)</f>
        <v>142.267811293226</v>
      </c>
      <c r="Q468" s="16" t="n">
        <f aca="false">IF(D468="","",IF(P468&gt;=0,K468,MAX(0,K468+P468)))</f>
        <v>1.119744</v>
      </c>
      <c r="R468" s="16" t="n">
        <f aca="false">IF(D468="","",Q468/$B$15)</f>
        <v>0.432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142.267811293226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87.8196366007565</v>
      </c>
      <c r="Z468" s="18" t="n">
        <f aca="false">IF(D468="","",MAX(0,IF(P468&gt;=0,P468,IF(K468+P468&gt;=0,0,P468+K468))))</f>
        <v>142.267811293226</v>
      </c>
      <c r="AA468" s="18" t="n">
        <f aca="false">IF(D468="","",IF(H468&lt;=$B$16,1,IF(H468&gt;=$B$17,$B$21,MATCH(H468,Aux_CAV!$A$2:$A$121,1))))</f>
        <v>22</v>
      </c>
      <c r="AB468" s="18" t="n">
        <f aca="false">IF(D468="","",IF(L468&lt;=$B$16,1,IF(L468&gt;=$B$17,$B$21,MATCH(L468,Aux_CAV!$A$2:$A$121,1))))</f>
        <v>22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1.12448400341489</v>
      </c>
      <c r="E469" s="16" t="n">
        <f aca="false">IF(D469="","",D469*$B$15)</f>
        <v>2.91466253685139</v>
      </c>
      <c r="F469" s="16" t="n">
        <f aca="false" t="array" ref="F469:F469">IF(D469="","",IFERROR(INDEX(Dados_Evap!$C$2:$N$15,MATCH($B$9,Dados_Evap!$A$2:$A$15,0),C469),0))</f>
        <v>136.9</v>
      </c>
      <c r="G469" s="16" t="n">
        <f aca="false">IF(F469="","",F469/1000)</f>
        <v>0.1369</v>
      </c>
      <c r="H469" s="16" t="n">
        <f aca="false">IF(D469="","",MAX(0,MIN($B$8,IFERROR(LOOKUP(2,1/($U$24:U468&lt;&gt;""),$U$24:U468),$B$11))))</f>
        <v>142.267811293226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14.3463631649929</v>
      </c>
      <c r="J469" s="16" t="n">
        <f aca="false">IF(D469="","",$B$12)</f>
        <v>0.432</v>
      </c>
      <c r="K469" s="16" t="n">
        <f aca="false">IF(J469="","",J469*$B$15)</f>
        <v>1.119744</v>
      </c>
      <c r="L469" s="16" t="n">
        <f aca="false">IF(D469="","",H469+E469-K469-G469*I469)</f>
        <v>142.098712712789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14.334051644309</v>
      </c>
      <c r="N469" s="16" t="n">
        <f aca="false">IF(D469="","",(I469+M469)/2)</f>
        <v>14.340207404651</v>
      </c>
      <c r="O469" s="16" t="n">
        <f aca="false">IF(D469="","",G469*N469)</f>
        <v>1.96317439369672</v>
      </c>
      <c r="P469" s="16" t="n">
        <f aca="false">IF(D469="","",H469+E469-K469-O469)</f>
        <v>142.09955543638</v>
      </c>
      <c r="Q469" s="16" t="n">
        <f aca="false">IF(D469="","",IF(P469&gt;=0,K469,MAX(0,K469+P469)))</f>
        <v>1.119744</v>
      </c>
      <c r="R469" s="16" t="n">
        <f aca="false">IF(D469="","",Q469/$B$15)</f>
        <v>0.432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142.09955543638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87.7157749607285</v>
      </c>
      <c r="Z469" s="18" t="n">
        <f aca="false">IF(D469="","",MAX(0,IF(P469&gt;=0,P469,IF(K469+P469&gt;=0,0,P469+K469))))</f>
        <v>142.09955543638</v>
      </c>
      <c r="AA469" s="18" t="n">
        <f aca="false">IF(D469="","",IF(H469&lt;=$B$16,1,IF(H469&gt;=$B$17,$B$21,MATCH(H469,Aux_CAV!$A$2:$A$121,1))))</f>
        <v>22</v>
      </c>
      <c r="AB469" s="18" t="n">
        <f aca="false">IF(D469="","",IF(L469&lt;=$B$16,1,IF(L469&gt;=$B$17,$B$21,MATCH(L469,Aux_CAV!$A$2:$A$121,1))))</f>
        <v>22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2.30067672032622</v>
      </c>
      <c r="E470" s="16" t="n">
        <f aca="false">IF(D470="","",D470*$B$15)</f>
        <v>5.96335405908556</v>
      </c>
      <c r="F470" s="16" t="n">
        <f aca="false" t="array" ref="F470:F470">IF(D470="","",IFERROR(INDEX(Dados_Evap!$C$2:$N$15,MATCH($B$9,Dados_Evap!$A$2:$A$15,0),C470),0))</f>
        <v>102.9</v>
      </c>
      <c r="G470" s="16" t="n">
        <f aca="false">IF(F470="","",F470/1000)</f>
        <v>0.1029</v>
      </c>
      <c r="H470" s="16" t="n">
        <f aca="false">IF(D470="","",MAX(0,MIN($B$8,IFERROR(LOOKUP(2,1/($U$24:U469&lt;&gt;""),$U$24:U469),$B$11))))</f>
        <v>142.09955543638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14.3341130002878</v>
      </c>
      <c r="J470" s="16" t="n">
        <f aca="false">IF(D470="","",$B$12)</f>
        <v>0.432</v>
      </c>
      <c r="K470" s="16" t="n">
        <f aca="false">IF(J470="","",J470*$B$15)</f>
        <v>1.119744</v>
      </c>
      <c r="L470" s="16" t="n">
        <f aca="false">IF(D470="","",H470+E470-K470-G470*I470)</f>
        <v>145.468185267736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14.5793720423103</v>
      </c>
      <c r="N470" s="16" t="n">
        <f aca="false">IF(D470="","",(I470+M470)/2)</f>
        <v>14.456742521299</v>
      </c>
      <c r="O470" s="16" t="n">
        <f aca="false">IF(D470="","",G470*N470)</f>
        <v>1.48759880544167</v>
      </c>
      <c r="P470" s="16" t="n">
        <f aca="false">IF(D470="","",H470+E470-K470-O470)</f>
        <v>145.455566690024</v>
      </c>
      <c r="Q470" s="16" t="n">
        <f aca="false">IF(D470="","",IF(P470&gt;=0,K470,MAX(0,K470+P470)))</f>
        <v>1.119744</v>
      </c>
      <c r="R470" s="16" t="n">
        <f aca="false">IF(D470="","",Q470/$B$15)</f>
        <v>0.432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145.455566690024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89.7873868456939</v>
      </c>
      <c r="Z470" s="18" t="n">
        <f aca="false">IF(D470="","",MAX(0,IF(P470&gt;=0,P470,IF(K470+P470&gt;=0,0,P470+K470))))</f>
        <v>145.455566690024</v>
      </c>
      <c r="AA470" s="18" t="n">
        <f aca="false">IF(D470="","",IF(H470&lt;=$B$16,1,IF(H470&gt;=$B$17,$B$21,MATCH(H470,Aux_CAV!$A$2:$A$121,1))))</f>
        <v>22</v>
      </c>
      <c r="AB470" s="18" t="n">
        <f aca="false">IF(D470="","",IF(L470&lt;=$B$16,1,IF(L470&gt;=$B$17,$B$21,MATCH(L470,Aux_CAV!$A$2:$A$121,1))))</f>
        <v>22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3.78990569646525</v>
      </c>
      <c r="E471" s="16" t="n">
        <f aca="false">IF(D471="","",D471*$B$15)</f>
        <v>9.82343556523793</v>
      </c>
      <c r="F471" s="16" t="n">
        <f aca="false" t="array" ref="F471:F471">IF(D471="","",IFERROR(INDEX(Dados_Evap!$C$2:$N$15,MATCH($B$9,Dados_Evap!$A$2:$A$15,0),C471),0))</f>
        <v>81.8</v>
      </c>
      <c r="G471" s="16" t="n">
        <f aca="false">IF(F471="","",F471/1000)</f>
        <v>0.0818</v>
      </c>
      <c r="H471" s="16" t="n">
        <f aca="false">IF(D471="","",MAX(0,MIN($B$8,IFERROR(LOOKUP(2,1/($U$24:U470&lt;&gt;""),$U$24:U470),$B$11))))</f>
        <v>145.455566690024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14.5784533244825</v>
      </c>
      <c r="J471" s="16" t="n">
        <f aca="false">IF(D471="","",$B$12)</f>
        <v>0.432</v>
      </c>
      <c r="K471" s="16" t="n">
        <f aca="false">IF(J471="","",J471*$B$15)</f>
        <v>1.119744</v>
      </c>
      <c r="L471" s="16" t="n">
        <f aca="false">IF(D471="","",H471+E471-K471-G471*I471)</f>
        <v>152.966740773319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15.1253176142259</v>
      </c>
      <c r="N471" s="16" t="n">
        <f aca="false">IF(D471="","",(I471+M471)/2)</f>
        <v>14.8518854693542</v>
      </c>
      <c r="O471" s="16" t="n">
        <f aca="false">IF(D471="","",G471*N471)</f>
        <v>1.21488423139317</v>
      </c>
      <c r="P471" s="16" t="n">
        <f aca="false">IF(D471="","",H471+E471-K471-O471)</f>
        <v>152.944374023869</v>
      </c>
      <c r="Q471" s="16" t="n">
        <f aca="false">IF(D471="","",IF(P471&gt;=0,K471,MAX(0,K471+P471)))</f>
        <v>1.119744</v>
      </c>
      <c r="R471" s="16" t="n">
        <f aca="false">IF(D471="","",Q471/$B$15)</f>
        <v>0.432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152.944374023869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94.4101074221413</v>
      </c>
      <c r="Z471" s="18" t="n">
        <f aca="false">IF(D471="","",MAX(0,IF(P471&gt;=0,P471,IF(K471+P471&gt;=0,0,P471+K471))))</f>
        <v>152.944374023869</v>
      </c>
      <c r="AA471" s="18" t="n">
        <f aca="false">IF(D471="","",IF(H471&lt;=$B$16,1,IF(H471&gt;=$B$17,$B$21,MATCH(H471,Aux_CAV!$A$2:$A$121,1))))</f>
        <v>22</v>
      </c>
      <c r="AB471" s="18" t="n">
        <f aca="false">IF(D471="","",IF(L471&lt;=$B$16,1,IF(L471&gt;=$B$17,$B$21,MATCH(L471,Aux_CAV!$A$2:$A$121,1))))</f>
        <v>22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4.08008406978425</v>
      </c>
      <c r="E472" s="16" t="n">
        <f aca="false">IF(D472="","",D472*$B$15)</f>
        <v>10.5755779088808</v>
      </c>
      <c r="F472" s="16" t="n">
        <f aca="false" t="array" ref="F472:F472">IF(D472="","",IFERROR(INDEX(Dados_Evap!$C$2:$N$15,MATCH($B$9,Dados_Evap!$A$2:$A$15,0),C472),0))</f>
        <v>83.6</v>
      </c>
      <c r="G472" s="16" t="n">
        <f aca="false">IF(F472="","",F472/1000)</f>
        <v>0.0836</v>
      </c>
      <c r="H472" s="16" t="n">
        <f aca="false">IF(D472="","",MAX(0,MIN($B$8,IFERROR(LOOKUP(2,1/($U$24:U471&lt;&gt;""),$U$24:U471),$B$11))))</f>
        <v>152.944374023869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15.1236891635447</v>
      </c>
      <c r="J472" s="16" t="n">
        <f aca="false">IF(D472="","",$B$12)</f>
        <v>0.432</v>
      </c>
      <c r="K472" s="16" t="n">
        <f aca="false">IF(J472="","",J472*$B$15)</f>
        <v>1.119744</v>
      </c>
      <c r="L472" s="16" t="n">
        <f aca="false">IF(D472="","",H472+E472-K472-G472*I472)</f>
        <v>161.135867518677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15.7200853091138</v>
      </c>
      <c r="N472" s="16" t="n">
        <f aca="false">IF(D472="","",(I472+M472)/2)</f>
        <v>15.4218872363293</v>
      </c>
      <c r="O472" s="16" t="n">
        <f aca="false">IF(D472="","",G472*N472)</f>
        <v>1.28926977295713</v>
      </c>
      <c r="P472" s="16" t="n">
        <f aca="false">IF(D472="","",H472+E472-K472-O472)</f>
        <v>161.110938159793</v>
      </c>
      <c r="Q472" s="16" t="n">
        <f aca="false">IF(D472="","",IF(P472&gt;=0,K472,MAX(0,K472+P472)))</f>
        <v>1.119744</v>
      </c>
      <c r="R472" s="16" t="n">
        <f aca="false">IF(D472="","",Q472/$B$15)</f>
        <v>0.432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161.110938159793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99.4511963949337</v>
      </c>
      <c r="Z472" s="18" t="n">
        <f aca="false">IF(D472="","",MAX(0,IF(P472&gt;=0,P472,IF(K472+P472&gt;=0,0,P472+K472))))</f>
        <v>161.110938159793</v>
      </c>
      <c r="AA472" s="18" t="n">
        <f aca="false">IF(D472="","",IF(H472&lt;=$B$16,1,IF(H472&gt;=$B$17,$B$21,MATCH(H472,Aux_CAV!$A$2:$A$121,1))))</f>
        <v>22</v>
      </c>
      <c r="AB472" s="18" t="n">
        <f aca="false">IF(D472="","",IF(L472&lt;=$B$16,1,IF(L472&gt;=$B$17,$B$21,MATCH(L472,Aux_CAV!$A$2:$A$121,1))))</f>
        <v>22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1.67202711395697</v>
      </c>
      <c r="E473" s="16" t="n">
        <f aca="false">IF(D473="","",D473*$B$15)</f>
        <v>4.33389427937647</v>
      </c>
      <c r="F473" s="16" t="n">
        <f aca="false" t="array" ref="F473:F473">IF(D473="","",IFERROR(INDEX(Dados_Evap!$C$2:$N$15,MATCH($B$9,Dados_Evap!$A$2:$A$15,0),C473),0))</f>
        <v>108.2</v>
      </c>
      <c r="G473" s="16" t="n">
        <f aca="false">IF(F473="","",F473/1000)</f>
        <v>0.1082</v>
      </c>
      <c r="H473" s="16" t="n">
        <f aca="false">IF(D473="","",MAX(0,MIN($B$8,IFERROR(LOOKUP(2,1/($U$24:U472&lt;&gt;""),$U$24:U472),$B$11))))</f>
        <v>161.110938159793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15.7182702831287</v>
      </c>
      <c r="J473" s="16" t="n">
        <f aca="false">IF(D473="","",$B$12)</f>
        <v>0.432</v>
      </c>
      <c r="K473" s="16" t="n">
        <f aca="false">IF(J473="","",J473*$B$15)</f>
        <v>1.119744</v>
      </c>
      <c r="L473" s="16" t="n">
        <f aca="false">IF(D473="","",H473+E473-K473-G473*I473)</f>
        <v>162.624371594534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15.8203433677493</v>
      </c>
      <c r="N473" s="16" t="n">
        <f aca="false">IF(D473="","",(I473+M473)/2)</f>
        <v>15.769306825439</v>
      </c>
      <c r="O473" s="16" t="n">
        <f aca="false">IF(D473="","",G473*N473)</f>
        <v>1.7062389985125</v>
      </c>
      <c r="P473" s="16" t="n">
        <f aca="false">IF(D473="","",H473+E473-K473-O473)</f>
        <v>162.618849440656</v>
      </c>
      <c r="Q473" s="16" t="n">
        <f aca="false">IF(D473="","",IF(P473&gt;=0,K473,MAX(0,K473+P473)))</f>
        <v>1.119744</v>
      </c>
      <c r="R473" s="16" t="n">
        <f aca="false">IF(D473="","",Q473/$B$15)</f>
        <v>0.432</v>
      </c>
      <c r="S473" s="16" t="n">
        <f aca="false">IF(D473="","",MAX(0,J473-R473))</f>
        <v>0</v>
      </c>
      <c r="T473" s="16" t="n">
        <f aca="false">IF(D473="","",MAX(0,Z473-$B$8))</f>
        <v>0.618849440656476</v>
      </c>
      <c r="U473" s="16" t="n">
        <f aca="false">IF(D473="","",MAX(0,MIN($B$8,Z473)))</f>
        <v>162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100</v>
      </c>
      <c r="Z473" s="18" t="n">
        <f aca="false">IF(D473="","",MAX(0,IF(P473&gt;=0,P473,IF(K473+P473&gt;=0,0,P473+K473))))</f>
        <v>162.618849440656</v>
      </c>
      <c r="AA473" s="18" t="n">
        <f aca="false">IF(D473="","",IF(H473&lt;=$B$16,1,IF(H473&gt;=$B$17,$B$21,MATCH(H473,Aux_CAV!$A$2:$A$121,1))))</f>
        <v>22</v>
      </c>
      <c r="AB473" s="18" t="n">
        <f aca="false">IF(D473="","",IF(L473&lt;=$B$16,1,IF(L473&gt;=$B$17,$B$21,MATCH(L473,Aux_CAV!$A$2:$A$121,1))))</f>
        <v>23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0.743136714337527</v>
      </c>
      <c r="E474" s="16" t="n">
        <f aca="false">IF(D474="","",D474*$B$15)</f>
        <v>1.92621036356287</v>
      </c>
      <c r="F474" s="16" t="n">
        <f aca="false" t="array" ref="F474:F474">IF(D474="","",IFERROR(INDEX(Dados_Evap!$C$2:$N$15,MATCH($B$9,Dados_Evap!$A$2:$A$15,0),C474),0))</f>
        <v>149</v>
      </c>
      <c r="G474" s="16" t="n">
        <f aca="false">IF(F474="","",F474/1000)</f>
        <v>0.149</v>
      </c>
      <c r="H474" s="16" t="n">
        <f aca="false">IF(D474="","",MAX(0,MIN($B$8,IFERROR(LOOKUP(2,1/($U$24:U473&lt;&gt;""),$U$24:U473),$B$11))))</f>
        <v>162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15.783</v>
      </c>
      <c r="J474" s="16" t="n">
        <f aca="false">IF(D474="","",$B$12)</f>
        <v>0.432</v>
      </c>
      <c r="K474" s="16" t="n">
        <f aca="false">IF(J474="","",J474*$B$15)</f>
        <v>1.119744</v>
      </c>
      <c r="L474" s="16" t="n">
        <f aca="false">IF(D474="","",H474+E474-K474-G474*I474)</f>
        <v>160.454799363563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15.6704989396883</v>
      </c>
      <c r="N474" s="16" t="n">
        <f aca="false">IF(D474="","",(I474+M474)/2)</f>
        <v>15.7267494698442</v>
      </c>
      <c r="O474" s="16" t="n">
        <f aca="false">IF(D474="","",G474*N474)</f>
        <v>2.34328567100678</v>
      </c>
      <c r="P474" s="16" t="n">
        <f aca="false">IF(D474="","",H474+E474-K474-O474)</f>
        <v>160.463180692556</v>
      </c>
      <c r="Q474" s="16" t="n">
        <f aca="false">IF(D474="","",IF(P474&gt;=0,K474,MAX(0,K474+P474)))</f>
        <v>1.119744</v>
      </c>
      <c r="R474" s="16" t="n">
        <f aca="false">IF(D474="","",Q474/$B$15)</f>
        <v>0.432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160.463180692556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99.0513461065161</v>
      </c>
      <c r="Z474" s="18" t="n">
        <f aca="false">IF(D474="","",MAX(0,IF(P474&gt;=0,P474,IF(K474+P474&gt;=0,0,P474+K474))))</f>
        <v>160.463180692556</v>
      </c>
      <c r="AA474" s="18" t="n">
        <f aca="false">IF(D474="","",IF(H474&lt;=$B$16,1,IF(H474&gt;=$B$17,$B$21,MATCH(H474,Aux_CAV!$A$2:$A$121,1))))</f>
        <v>23</v>
      </c>
      <c r="AB474" s="18" t="n">
        <f aca="false">IF(D474="","",IF(L474&lt;=$B$16,1,IF(L474&gt;=$B$17,$B$21,MATCH(L474,Aux_CAV!$A$2:$A$121,1))))</f>
        <v>22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0.361159506570203</v>
      </c>
      <c r="E475" s="16" t="n">
        <f aca="false">IF(D475="","",D475*$B$15)</f>
        <v>0.936125441029966</v>
      </c>
      <c r="F475" s="16" t="n">
        <f aca="false" t="array" ref="F475:F475">IF(D475="","",IFERROR(INDEX(Dados_Evap!$C$2:$N$15,MATCH($B$9,Dados_Evap!$A$2:$A$15,0),C475),0))</f>
        <v>206.8</v>
      </c>
      <c r="G475" s="16" t="n">
        <f aca="false">IF(F475="","",F475/1000)</f>
        <v>0.2068</v>
      </c>
      <c r="H475" s="16" t="n">
        <f aca="false">IF(D475="","",MAX(0,MIN($B$8,IFERROR(LOOKUP(2,1/($U$24:U474&lt;&gt;""),$U$24:U474),$B$11))))</f>
        <v>160.463180692556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15.6711091571425</v>
      </c>
      <c r="J475" s="16" t="n">
        <f aca="false">IF(D475="","",$B$12)</f>
        <v>0.432</v>
      </c>
      <c r="K475" s="16" t="n">
        <f aca="false">IF(J475="","",J475*$B$15)</f>
        <v>1.119744</v>
      </c>
      <c r="L475" s="16" t="n">
        <f aca="false">IF(D475="","",H475+E475-K475-G475*I475)</f>
        <v>157.038776759889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15.4217893832077</v>
      </c>
      <c r="N475" s="16" t="n">
        <f aca="false">IF(D475="","",(I475+M475)/2)</f>
        <v>15.5464492701751</v>
      </c>
      <c r="O475" s="16" t="n">
        <f aca="false">IF(D475="","",G475*N475)</f>
        <v>3.21500570907221</v>
      </c>
      <c r="P475" s="16" t="n">
        <f aca="false">IF(D475="","",H475+E475-K475-O475)</f>
        <v>157.064556424514</v>
      </c>
      <c r="Q475" s="16" t="n">
        <f aca="false">IF(D475="","",IF(P475&gt;=0,K475,MAX(0,K475+P475)))</f>
        <v>1.119744</v>
      </c>
      <c r="R475" s="16" t="n">
        <f aca="false">IF(D475="","",Q475/$B$15)</f>
        <v>0.432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157.064556424514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96.9534298916752</v>
      </c>
      <c r="Z475" s="18" t="n">
        <f aca="false">IF(D475="","",MAX(0,IF(P475&gt;=0,P475,IF(K475+P475&gt;=0,0,P475+K475))))</f>
        <v>157.064556424514</v>
      </c>
      <c r="AA475" s="18" t="n">
        <f aca="false">IF(D475="","",IF(H475&lt;=$B$16,1,IF(H475&gt;=$B$17,$B$21,MATCH(H475,Aux_CAV!$A$2:$A$121,1))))</f>
        <v>22</v>
      </c>
      <c r="AB475" s="18" t="n">
        <f aca="false">IF(D475="","",IF(L475&lt;=$B$16,1,IF(L475&gt;=$B$17,$B$21,MATCH(L475,Aux_CAV!$A$2:$A$121,1))))</f>
        <v>22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0.425223336079929</v>
      </c>
      <c r="E476" s="16" t="n">
        <f aca="false">IF(D476="","",D476*$B$15)</f>
        <v>1.10217888711918</v>
      </c>
      <c r="F476" s="16" t="n">
        <f aca="false" t="array" ref="F476:F476">IF(D476="","",IFERROR(INDEX(Dados_Evap!$C$2:$N$15,MATCH($B$9,Dados_Evap!$A$2:$A$15,0),C476),0))</f>
        <v>245.9</v>
      </c>
      <c r="G476" s="16" t="n">
        <f aca="false">IF(F476="","",F476/1000)</f>
        <v>0.2459</v>
      </c>
      <c r="H476" s="16" t="n">
        <f aca="false">IF(D476="","",MAX(0,MIN($B$8,IFERROR(LOOKUP(2,1/($U$24:U475&lt;&gt;""),$U$24:U475),$B$11))))</f>
        <v>157.064556424514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15.4236663172034</v>
      </c>
      <c r="J476" s="16" t="n">
        <f aca="false">IF(D476="","",$B$12)</f>
        <v>0.432</v>
      </c>
      <c r="K476" s="16" t="n">
        <f aca="false">IF(J476="","",J476*$B$15)</f>
        <v>1.119744</v>
      </c>
      <c r="L476" s="16" t="n">
        <f aca="false">IF(D476="","",H476+E476-K476-G476*I476)</f>
        <v>153.254311764233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15.1462547279118</v>
      </c>
      <c r="N476" s="16" t="n">
        <f aca="false">IF(D476="","",(I476+M476)/2)</f>
        <v>15.2849605225576</v>
      </c>
      <c r="O476" s="16" t="n">
        <f aca="false">IF(D476="","",G476*N476)</f>
        <v>3.75857179249691</v>
      </c>
      <c r="P476" s="16" t="n">
        <f aca="false">IF(D476="","",H476+E476-K476-O476)</f>
        <v>153.288419519136</v>
      </c>
      <c r="Q476" s="16" t="n">
        <f aca="false">IF(D476="","",IF(P476&gt;=0,K476,MAX(0,K476+P476)))</f>
        <v>1.119744</v>
      </c>
      <c r="R476" s="16" t="n">
        <f aca="false">IF(D476="","",Q476/$B$15)</f>
        <v>0.432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153.288419519136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94.6224811846519</v>
      </c>
      <c r="Z476" s="18" t="n">
        <f aca="false">IF(D476="","",MAX(0,IF(P476&gt;=0,P476,IF(K476+P476&gt;=0,0,P476+K476))))</f>
        <v>153.288419519136</v>
      </c>
      <c r="AA476" s="18" t="n">
        <f aca="false">IF(D476="","",IF(H476&lt;=$B$16,1,IF(H476&gt;=$B$17,$B$21,MATCH(H476,Aux_CAV!$A$2:$A$121,1))))</f>
        <v>22</v>
      </c>
      <c r="AB476" s="18" t="n">
        <f aca="false">IF(D476="","",IF(L476&lt;=$B$16,1,IF(L476&gt;=$B$17,$B$21,MATCH(L476,Aux_CAV!$A$2:$A$121,1))))</f>
        <v>22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0.328678379383144</v>
      </c>
      <c r="E477" s="16" t="n">
        <f aca="false">IF(D477="","",D477*$B$15)</f>
        <v>0.851934359361109</v>
      </c>
      <c r="F477" s="16" t="n">
        <f aca="false" t="array" ref="F477:F477">IF(D477="","",IFERROR(INDEX(Dados_Evap!$C$2:$N$15,MATCH($B$9,Dados_Evap!$A$2:$A$15,0),C477),0))</f>
        <v>282.3</v>
      </c>
      <c r="G477" s="16" t="n">
        <f aca="false">IF(F477="","",F477/1000)</f>
        <v>0.2823</v>
      </c>
      <c r="H477" s="16" t="n">
        <f aca="false">IF(D477="","",MAX(0,MIN($B$8,IFERROR(LOOKUP(2,1/($U$24:U476&lt;&gt;""),$U$24:U476),$B$11))))</f>
        <v>153.288419519136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15.1487380032231</v>
      </c>
      <c r="J477" s="16" t="n">
        <f aca="false">IF(D477="","",$B$12)</f>
        <v>0.432</v>
      </c>
      <c r="K477" s="16" t="n">
        <f aca="false">IF(J477="","",J477*$B$15)</f>
        <v>1.119744</v>
      </c>
      <c r="L477" s="16" t="n">
        <f aca="false">IF(D477="","",H477+E477-K477-G477*I477)</f>
        <v>148.744121140187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14.817882337008</v>
      </c>
      <c r="N477" s="16" t="n">
        <f aca="false">IF(D477="","",(I477+M477)/2)</f>
        <v>14.9833101701155</v>
      </c>
      <c r="O477" s="16" t="n">
        <f aca="false">IF(D477="","",G477*N477)</f>
        <v>4.22978846102362</v>
      </c>
      <c r="P477" s="16" t="n">
        <f aca="false">IF(D477="","",H477+E477-K477-O477)</f>
        <v>148.790821417474</v>
      </c>
      <c r="Q477" s="16" t="n">
        <f aca="false">IF(D477="","",IF(P477&gt;=0,K477,MAX(0,K477+P477)))</f>
        <v>1.119744</v>
      </c>
      <c r="R477" s="16" t="n">
        <f aca="false">IF(D477="","",Q477/$B$15)</f>
        <v>0.432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148.790821417474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91.8461860601689</v>
      </c>
      <c r="Z477" s="18" t="n">
        <f aca="false">IF(D477="","",MAX(0,IF(P477&gt;=0,P477,IF(K477+P477&gt;=0,0,P477+K477))))</f>
        <v>148.790821417474</v>
      </c>
      <c r="AA477" s="18" t="n">
        <f aca="false">IF(D477="","",IF(H477&lt;=$B$16,1,IF(H477&gt;=$B$17,$B$21,MATCH(H477,Aux_CAV!$A$2:$A$121,1))))</f>
        <v>22</v>
      </c>
      <c r="AB477" s="18" t="n">
        <f aca="false">IF(D477="","",IF(L477&lt;=$B$16,1,IF(L477&gt;=$B$17,$B$21,MATCH(L477,Aux_CAV!$A$2:$A$121,1))))</f>
        <v>22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0.752562643911937</v>
      </c>
      <c r="E478" s="16" t="n">
        <f aca="false">IF(D478="","",D478*$B$15)</f>
        <v>1.95064237301974</v>
      </c>
      <c r="F478" s="16" t="n">
        <f aca="false" t="array" ref="F478:F478">IF(D478="","",IFERROR(INDEX(Dados_Evap!$C$2:$N$15,MATCH($B$9,Dados_Evap!$A$2:$A$15,0),C478),0))</f>
        <v>241.3</v>
      </c>
      <c r="G478" s="16" t="n">
        <f aca="false">IF(F478="","",F478/1000)</f>
        <v>0.2413</v>
      </c>
      <c r="H478" s="16" t="n">
        <f aca="false">IF(D478="","",MAX(0,MIN($B$8,IFERROR(LOOKUP(2,1/($U$24:U477&lt;&gt;""),$U$24:U477),$B$11))))</f>
        <v>148.790821417474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14.8212824331429</v>
      </c>
      <c r="J478" s="16" t="n">
        <f aca="false">IF(D478="","",$B$12)</f>
        <v>0.432</v>
      </c>
      <c r="K478" s="16" t="n">
        <f aca="false">IF(J478="","",J478*$B$15)</f>
        <v>1.119744</v>
      </c>
      <c r="L478" s="16" t="n">
        <f aca="false">IF(D478="","",H478+E478-K478-G478*I478)</f>
        <v>146.045344339376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14.621393127467</v>
      </c>
      <c r="N478" s="16" t="n">
        <f aca="false">IF(D478="","",(I478+M478)/2)</f>
        <v>14.721337780305</v>
      </c>
      <c r="O478" s="16" t="n">
        <f aca="false">IF(D478="","",G478*N478)</f>
        <v>3.55225880638759</v>
      </c>
      <c r="P478" s="16" t="n">
        <f aca="false">IF(D478="","",H478+E478-K478-O478)</f>
        <v>146.069460984106</v>
      </c>
      <c r="Q478" s="16" t="n">
        <f aca="false">IF(D478="","",IF(P478&gt;=0,K478,MAX(0,K478+P478)))</f>
        <v>1.119744</v>
      </c>
      <c r="R478" s="16" t="n">
        <f aca="false">IF(D478="","",Q478/$B$15)</f>
        <v>0.432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146.069460984106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90.166333940806</v>
      </c>
      <c r="Z478" s="18" t="n">
        <f aca="false">IF(D478="","",MAX(0,IF(P478&gt;=0,P478,IF(K478+P478&gt;=0,0,P478+K478))))</f>
        <v>146.069460984106</v>
      </c>
      <c r="AA478" s="18" t="n">
        <f aca="false">IF(D478="","",IF(H478&lt;=$B$16,1,IF(H478&gt;=$B$17,$B$21,MATCH(H478,Aux_CAV!$A$2:$A$121,1))))</f>
        <v>22</v>
      </c>
      <c r="AB478" s="18" t="n">
        <f aca="false">IF(D478="","",IF(L478&lt;=$B$16,1,IF(L478&gt;=$B$17,$B$21,MATCH(L478,Aux_CAV!$A$2:$A$121,1))))</f>
        <v>22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0.473813009934677</v>
      </c>
      <c r="E479" s="16" t="n">
        <f aca="false">IF(D479="","",D479*$B$15)</f>
        <v>1.22812332175068</v>
      </c>
      <c r="F479" s="16" t="n">
        <f aca="false" t="array" ref="F479:F479">IF(D479="","",IFERROR(INDEX(Dados_Evap!$C$2:$N$15,MATCH($B$9,Dados_Evap!$A$2:$A$15,0),C479),0))</f>
        <v>241.8</v>
      </c>
      <c r="G479" s="16" t="n">
        <f aca="false">IF(F479="","",F479/1000)</f>
        <v>0.2418</v>
      </c>
      <c r="H479" s="16" t="n">
        <f aca="false">IF(D479="","",MAX(0,MIN($B$8,IFERROR(LOOKUP(2,1/($U$24:U478&lt;&gt;""),$U$24:U478),$B$11))))</f>
        <v>146.069460984106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14.6231489823633</v>
      </c>
      <c r="J479" s="16" t="n">
        <f aca="false">IF(D479="","",$B$12)</f>
        <v>0.432</v>
      </c>
      <c r="K479" s="16" t="n">
        <f aca="false">IF(J479="","",J479*$B$15)</f>
        <v>1.119744</v>
      </c>
      <c r="L479" s="16" t="n">
        <f aca="false">IF(D479="","",H479+E479-K479-G479*I479)</f>
        <v>142.641962881921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14.3736039319541</v>
      </c>
      <c r="N479" s="16" t="n">
        <f aca="false">IF(D479="","",(I479+M479)/2)</f>
        <v>14.4983764571587</v>
      </c>
      <c r="O479" s="16" t="n">
        <f aca="false">IF(D479="","",G479*N479)</f>
        <v>3.50570742734098</v>
      </c>
      <c r="P479" s="16" t="n">
        <f aca="false">IF(D479="","",H479+E479-K479-O479)</f>
        <v>142.672132878515</v>
      </c>
      <c r="Q479" s="16" t="n">
        <f aca="false">IF(D479="","",IF(P479&gt;=0,K479,MAX(0,K479+P479)))</f>
        <v>1.119744</v>
      </c>
      <c r="R479" s="16" t="n">
        <f aca="false">IF(D479="","",Q479/$B$15)</f>
        <v>0.432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142.672132878515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88.0692178262441</v>
      </c>
      <c r="Z479" s="18" t="n">
        <f aca="false">IF(D479="","",MAX(0,IF(P479&gt;=0,P479,IF(K479+P479&gt;=0,0,P479+K479))))</f>
        <v>142.672132878515</v>
      </c>
      <c r="AA479" s="18" t="n">
        <f aca="false">IF(D479="","",IF(H479&lt;=$B$16,1,IF(H479&gt;=$B$17,$B$21,MATCH(H479,Aux_CAV!$A$2:$A$121,1))))</f>
        <v>22</v>
      </c>
      <c r="AB479" s="18" t="n">
        <f aca="false">IF(D479="","",IF(L479&lt;=$B$16,1,IF(L479&gt;=$B$17,$B$21,MATCH(L479,Aux_CAV!$A$2:$A$121,1))))</f>
        <v>22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0.776939831568733</v>
      </c>
      <c r="E480" s="16" t="n">
        <f aca="false">IF(D480="","",D480*$B$15)</f>
        <v>2.01382804342616</v>
      </c>
      <c r="F480" s="16" t="n">
        <f aca="false" t="array" ref="F480:F480">IF(D480="","",IFERROR(INDEX(Dados_Evap!$C$2:$N$15,MATCH($B$9,Dados_Evap!$A$2:$A$15,0),C480),0))</f>
        <v>189</v>
      </c>
      <c r="G480" s="16" t="n">
        <f aca="false">IF(F480="","",F480/1000)</f>
        <v>0.189</v>
      </c>
      <c r="H480" s="16" t="n">
        <f aca="false">IF(D480="","",MAX(0,MIN($B$8,IFERROR(LOOKUP(2,1/($U$24:U479&lt;&gt;""),$U$24:U479),$B$11))))</f>
        <v>142.672132878515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14.3758005118198</v>
      </c>
      <c r="J480" s="16" t="n">
        <f aca="false">IF(D480="","",$B$12)</f>
        <v>0.432</v>
      </c>
      <c r="K480" s="16" t="n">
        <f aca="false">IF(J480="","",J480*$B$15)</f>
        <v>1.119744</v>
      </c>
      <c r="L480" s="16" t="n">
        <f aca="false">IF(D480="","",H480+E480-K480-G480*I480)</f>
        <v>140.849190625208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14.2430779827527</v>
      </c>
      <c r="N480" s="16" t="n">
        <f aca="false">IF(D480="","",(I480+M480)/2)</f>
        <v>14.3094392472863</v>
      </c>
      <c r="O480" s="16" t="n">
        <f aca="false">IF(D480="","",G480*N480)</f>
        <v>2.70448401773711</v>
      </c>
      <c r="P480" s="16" t="n">
        <f aca="false">IF(D480="","",H480+E480-K480-O480)</f>
        <v>140.861732904204</v>
      </c>
      <c r="Q480" s="16" t="n">
        <f aca="false">IF(D480="","",IF(P480&gt;=0,K480,MAX(0,K480+P480)))</f>
        <v>1.119744</v>
      </c>
      <c r="R480" s="16" t="n">
        <f aca="false">IF(D480="","",Q480/$B$15)</f>
        <v>0.432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140.861732904204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86.951686977904</v>
      </c>
      <c r="Z480" s="18" t="n">
        <f aca="false">IF(D480="","",MAX(0,IF(P480&gt;=0,P480,IF(K480+P480&gt;=0,0,P480+K480))))</f>
        <v>140.861732904204</v>
      </c>
      <c r="AA480" s="18" t="n">
        <f aca="false">IF(D480="","",IF(H480&lt;=$B$16,1,IF(H480&gt;=$B$17,$B$21,MATCH(H480,Aux_CAV!$A$2:$A$121,1))))</f>
        <v>22</v>
      </c>
      <c r="AB480" s="18" t="n">
        <f aca="false">IF(D480="","",IF(L480&lt;=$B$16,1,IF(L480&gt;=$B$17,$B$21,MATCH(L480,Aux_CAV!$A$2:$A$121,1))))</f>
        <v>22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0.79025786184284</v>
      </c>
      <c r="E481" s="16" t="n">
        <f aca="false">IF(D481="","",D481*$B$15)</f>
        <v>2.04834837789664</v>
      </c>
      <c r="F481" s="16" t="n">
        <f aca="false" t="array" ref="F481:F481">IF(D481="","",IFERROR(INDEX(Dados_Evap!$C$2:$N$15,MATCH($B$9,Dados_Evap!$A$2:$A$15,0),C481),0))</f>
        <v>136.9</v>
      </c>
      <c r="G481" s="16" t="n">
        <f aca="false">IF(F481="","",F481/1000)</f>
        <v>0.1369</v>
      </c>
      <c r="H481" s="16" t="n">
        <f aca="false">IF(D481="","",MAX(0,MIN($B$8,IFERROR(LOOKUP(2,1/($U$24:U480&lt;&gt;""),$U$24:U480),$B$11))))</f>
        <v>140.861732904204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14.2439911455179</v>
      </c>
      <c r="J481" s="16" t="n">
        <f aca="false">IF(D481="","",$B$12)</f>
        <v>0.432</v>
      </c>
      <c r="K481" s="16" t="n">
        <f aca="false">IF(J481="","",J481*$B$15)</f>
        <v>1.119744</v>
      </c>
      <c r="L481" s="16" t="n">
        <f aca="false">IF(D481="","",H481+E481-K481-G481*I481)</f>
        <v>139.84033489428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14.1696264601772</v>
      </c>
      <c r="N481" s="16" t="n">
        <f aca="false">IF(D481="","",(I481+M481)/2)</f>
        <v>14.2068088028476</v>
      </c>
      <c r="O481" s="16" t="n">
        <f aca="false">IF(D481="","",G481*N481)</f>
        <v>1.94491212510983</v>
      </c>
      <c r="P481" s="16" t="n">
        <f aca="false">IF(D481="","",H481+E481-K481-O481)</f>
        <v>139.845425156991</v>
      </c>
      <c r="Q481" s="16" t="n">
        <f aca="false">IF(D481="","",IF(P481&gt;=0,K481,MAX(0,K481+P481)))</f>
        <v>1.119744</v>
      </c>
      <c r="R481" s="16" t="n">
        <f aca="false">IF(D481="","",Q481/$B$15)</f>
        <v>0.432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139.845425156991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86.3243365166613</v>
      </c>
      <c r="Z481" s="18" t="n">
        <f aca="false">IF(D481="","",MAX(0,IF(P481&gt;=0,P481,IF(K481+P481&gt;=0,0,P481+K481))))</f>
        <v>139.845425156991</v>
      </c>
      <c r="AA481" s="18" t="n">
        <f aca="false">IF(D481="","",IF(H481&lt;=$B$16,1,IF(H481&gt;=$B$17,$B$21,MATCH(H481,Aux_CAV!$A$2:$A$121,1))))</f>
        <v>22</v>
      </c>
      <c r="AB481" s="18" t="n">
        <f aca="false">IF(D481="","",IF(L481&lt;=$B$16,1,IF(L481&gt;=$B$17,$B$21,MATCH(L481,Aux_CAV!$A$2:$A$121,1))))</f>
        <v>22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3.74537800782733</v>
      </c>
      <c r="E482" s="16" t="n">
        <f aca="false">IF(D482="","",D482*$B$15)</f>
        <v>9.70801979628844</v>
      </c>
      <c r="F482" s="16" t="n">
        <f aca="false" t="array" ref="F482:F482">IF(D482="","",IFERROR(INDEX(Dados_Evap!$C$2:$N$15,MATCH($B$9,Dados_Evap!$A$2:$A$15,0),C482),0))</f>
        <v>102.9</v>
      </c>
      <c r="G482" s="16" t="n">
        <f aca="false">IF(F482="","",F482/1000)</f>
        <v>0.1029</v>
      </c>
      <c r="H482" s="16" t="n">
        <f aca="false">IF(D482="","",MAX(0,MIN($B$8,IFERROR(LOOKUP(2,1/($U$24:U481&lt;&gt;""),$U$24:U481),$B$11))))</f>
        <v>139.845425156991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14.1699970657406</v>
      </c>
      <c r="J482" s="16" t="n">
        <f aca="false">IF(D482="","",$B$12)</f>
        <v>0.432</v>
      </c>
      <c r="K482" s="16" t="n">
        <f aca="false">IF(J482="","",J482*$B$15)</f>
        <v>1.119744</v>
      </c>
      <c r="L482" s="16" t="n">
        <f aca="false">IF(D482="","",H482+E482-K482-G482*I482)</f>
        <v>146.975608255215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14.6891226341949</v>
      </c>
      <c r="N482" s="16" t="n">
        <f aca="false">IF(D482="","",(I482+M482)/2)</f>
        <v>14.4295598499678</v>
      </c>
      <c r="O482" s="16" t="n">
        <f aca="false">IF(D482="","",G482*N482)</f>
        <v>1.48480170856168</v>
      </c>
      <c r="P482" s="16" t="n">
        <f aca="false">IF(D482="","",H482+E482-K482-O482)</f>
        <v>146.948899244718</v>
      </c>
      <c r="Q482" s="16" t="n">
        <f aca="false">IF(D482="","",IF(P482&gt;=0,K482,MAX(0,K482+P482)))</f>
        <v>1.119744</v>
      </c>
      <c r="R482" s="16" t="n">
        <f aca="false">IF(D482="","",Q482/$B$15)</f>
        <v>0.432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146.948899244718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90.7091970646408</v>
      </c>
      <c r="Z482" s="18" t="n">
        <f aca="false">IF(D482="","",MAX(0,IF(P482&gt;=0,P482,IF(K482+P482&gt;=0,0,P482+K482))))</f>
        <v>146.948899244718</v>
      </c>
      <c r="AA482" s="18" t="n">
        <f aca="false">IF(D482="","",IF(H482&lt;=$B$16,1,IF(H482&gt;=$B$17,$B$21,MATCH(H482,Aux_CAV!$A$2:$A$121,1))))</f>
        <v>22</v>
      </c>
      <c r="AB482" s="18" t="n">
        <f aca="false">IF(D482="","",IF(L482&lt;=$B$16,1,IF(L482&gt;=$B$17,$B$21,MATCH(L482,Aux_CAV!$A$2:$A$121,1))))</f>
        <v>22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4.48617520040958</v>
      </c>
      <c r="E483" s="16" t="n">
        <f aca="false">IF(D483="","",D483*$B$15)</f>
        <v>11.6281661194616</v>
      </c>
      <c r="F483" s="16" t="n">
        <f aca="false" t="array" ref="F483:F483">IF(D483="","",IFERROR(INDEX(Dados_Evap!$C$2:$N$15,MATCH($B$9,Dados_Evap!$A$2:$A$15,0),C483),0))</f>
        <v>81.8</v>
      </c>
      <c r="G483" s="16" t="n">
        <f aca="false">IF(F483="","",F483/1000)</f>
        <v>0.0818</v>
      </c>
      <c r="H483" s="16" t="n">
        <f aca="false">IF(D483="","",MAX(0,MIN($B$8,IFERROR(LOOKUP(2,1/($U$24:U482&lt;&gt;""),$U$24:U482),$B$11))))</f>
        <v>146.948899244718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14.6871780375323</v>
      </c>
      <c r="J483" s="16" t="n">
        <f aca="false">IF(D483="","",$B$12)</f>
        <v>0.432</v>
      </c>
      <c r="K483" s="16" t="n">
        <f aca="false">IF(J483="","",J483*$B$15)</f>
        <v>1.119744</v>
      </c>
      <c r="L483" s="16" t="n">
        <f aca="false">IF(D483="","",H483+E483-K483-G483*I483)</f>
        <v>156.25591020071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15.3647914012541</v>
      </c>
      <c r="N483" s="16" t="n">
        <f aca="false">IF(D483="","",(I483+M483)/2)</f>
        <v>15.0259847193932</v>
      </c>
      <c r="O483" s="16" t="n">
        <f aca="false">IF(D483="","",G483*N483)</f>
        <v>1.22912555004636</v>
      </c>
      <c r="P483" s="16" t="n">
        <f aca="false">IF(D483="","",H483+E483-K483-O483)</f>
        <v>156.228195814133</v>
      </c>
      <c r="Q483" s="16" t="n">
        <f aca="false">IF(D483="","",IF(P483&gt;=0,K483,MAX(0,K483+P483)))</f>
        <v>1.119744</v>
      </c>
      <c r="R483" s="16" t="n">
        <f aca="false">IF(D483="","",Q483/$B$15)</f>
        <v>0.432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156.228195814133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96.4371579099588</v>
      </c>
      <c r="Z483" s="18" t="n">
        <f aca="false">IF(D483="","",MAX(0,IF(P483&gt;=0,P483,IF(K483+P483&gt;=0,0,P483+K483))))</f>
        <v>156.228195814133</v>
      </c>
      <c r="AA483" s="18" t="n">
        <f aca="false">IF(D483="","",IF(H483&lt;=$B$16,1,IF(H483&gt;=$B$17,$B$21,MATCH(H483,Aux_CAV!$A$2:$A$121,1))))</f>
        <v>22</v>
      </c>
      <c r="AB483" s="18" t="n">
        <f aca="false">IF(D483="","",IF(L483&lt;=$B$16,1,IF(L483&gt;=$B$17,$B$21,MATCH(L483,Aux_CAV!$A$2:$A$121,1))))</f>
        <v>22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6.11369956509378</v>
      </c>
      <c r="E484" s="16" t="n">
        <f aca="false">IF(D484="","",D484*$B$15)</f>
        <v>15.8467092727231</v>
      </c>
      <c r="F484" s="16" t="n">
        <f aca="false" t="array" ref="F484:F484">IF(D484="","",IFERROR(INDEX(Dados_Evap!$C$2:$N$15,MATCH($B$9,Dados_Evap!$A$2:$A$15,0),C484),0))</f>
        <v>83.6</v>
      </c>
      <c r="G484" s="16" t="n">
        <f aca="false">IF(F484="","",F484/1000)</f>
        <v>0.0836</v>
      </c>
      <c r="H484" s="16" t="n">
        <f aca="false">IF(D484="","",MAX(0,MIN($B$8,IFERROR(LOOKUP(2,1/($U$24:U483&lt;&gt;""),$U$24:U483),$B$11))))</f>
        <v>156.228195814133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15.3627736064111</v>
      </c>
      <c r="J484" s="16" t="n">
        <f aca="false">IF(D484="","",$B$12)</f>
        <v>0.432</v>
      </c>
      <c r="K484" s="16" t="n">
        <f aca="false">IF(J484="","",J484*$B$15)</f>
        <v>1.119744</v>
      </c>
      <c r="L484" s="16" t="n">
        <f aca="false">IF(D484="","",H484+E484-K484-G484*I484)</f>
        <v>169.67083321336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16.2417888817134</v>
      </c>
      <c r="N484" s="16" t="n">
        <f aca="false">IF(D484="","",(I484+M484)/2)</f>
        <v>15.8022812440622</v>
      </c>
      <c r="O484" s="16" t="n">
        <f aca="false">IF(D484="","",G484*N484)</f>
        <v>1.3210707120036</v>
      </c>
      <c r="P484" s="16" t="n">
        <f aca="false">IF(D484="","",H484+E484-K484-O484)</f>
        <v>169.634090374853</v>
      </c>
      <c r="Q484" s="16" t="n">
        <f aca="false">IF(D484="","",IF(P484&gt;=0,K484,MAX(0,K484+P484)))</f>
        <v>1.119744</v>
      </c>
      <c r="R484" s="16" t="n">
        <f aca="false">IF(D484="","",Q484/$B$15)</f>
        <v>0.432</v>
      </c>
      <c r="S484" s="16" t="n">
        <f aca="false">IF(D484="","",MAX(0,J484-R484))</f>
        <v>0</v>
      </c>
      <c r="T484" s="16" t="n">
        <f aca="false">IF(D484="","",MAX(0,Z484-$B$8))</f>
        <v>7.63409037485278</v>
      </c>
      <c r="U484" s="16" t="n">
        <f aca="false">IF(D484="","",MAX(0,MIN($B$8,Z484)))</f>
        <v>162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100</v>
      </c>
      <c r="Z484" s="18" t="n">
        <f aca="false">IF(D484="","",MAX(0,IF(P484&gt;=0,P484,IF(K484+P484&gt;=0,0,P484+K484))))</f>
        <v>169.634090374853</v>
      </c>
      <c r="AA484" s="18" t="n">
        <f aca="false">IF(D484="","",IF(H484&lt;=$B$16,1,IF(H484&gt;=$B$17,$B$21,MATCH(H484,Aux_CAV!$A$2:$A$121,1))))</f>
        <v>22</v>
      </c>
      <c r="AB484" s="18" t="n">
        <f aca="false">IF(D484="","",IF(L484&lt;=$B$16,1,IF(L484&gt;=$B$17,$B$21,MATCH(L484,Aux_CAV!$A$2:$A$121,1))))</f>
        <v>23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4.10000947249087</v>
      </c>
      <c r="E485" s="16" t="n">
        <f aca="false">IF(D485="","",D485*$B$15)</f>
        <v>10.6272245526963</v>
      </c>
      <c r="F485" s="16" t="n">
        <f aca="false" t="array" ref="F485:F485">IF(D485="","",IFERROR(INDEX(Dados_Evap!$C$2:$N$15,MATCH($B$9,Dados_Evap!$A$2:$A$15,0),C485),0))</f>
        <v>108.2</v>
      </c>
      <c r="G485" s="16" t="n">
        <f aca="false">IF(F485="","",F485/1000)</f>
        <v>0.1082</v>
      </c>
      <c r="H485" s="16" t="n">
        <f aca="false">IF(D485="","",MAX(0,MIN($B$8,IFERROR(LOOKUP(2,1/($U$24:U484&lt;&gt;""),$U$24:U484),$B$11))))</f>
        <v>162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15.783</v>
      </c>
      <c r="J485" s="16" t="n">
        <f aca="false">IF(D485="","",$B$12)</f>
        <v>0.432</v>
      </c>
      <c r="K485" s="16" t="n">
        <f aca="false">IF(J485="","",J485*$B$15)</f>
        <v>1.119744</v>
      </c>
      <c r="L485" s="16" t="n">
        <f aca="false">IF(D485="","",H485+E485-K485-G485*I485)</f>
        <v>169.799759952696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16.2494999285994</v>
      </c>
      <c r="N485" s="16" t="n">
        <f aca="false">IF(D485="","",(I485+M485)/2)</f>
        <v>16.0162499642997</v>
      </c>
      <c r="O485" s="16" t="n">
        <f aca="false">IF(D485="","",G485*N485)</f>
        <v>1.73295824613723</v>
      </c>
      <c r="P485" s="16" t="n">
        <f aca="false">IF(D485="","",H485+E485-K485-O485)</f>
        <v>169.774522306559</v>
      </c>
      <c r="Q485" s="16" t="n">
        <f aca="false">IF(D485="","",IF(P485&gt;=0,K485,MAX(0,K485+P485)))</f>
        <v>1.119744</v>
      </c>
      <c r="R485" s="16" t="n">
        <f aca="false">IF(D485="","",Q485/$B$15)</f>
        <v>0.432</v>
      </c>
      <c r="S485" s="16" t="n">
        <f aca="false">IF(D485="","",MAX(0,J485-R485))</f>
        <v>0</v>
      </c>
      <c r="T485" s="16" t="n">
        <f aca="false">IF(D485="","",MAX(0,Z485-$B$8))</f>
        <v>7.77452230655911</v>
      </c>
      <c r="U485" s="16" t="n">
        <f aca="false">IF(D485="","",MAX(0,MIN($B$8,Z485)))</f>
        <v>162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100</v>
      </c>
      <c r="Z485" s="18" t="n">
        <f aca="false">IF(D485="","",MAX(0,IF(P485&gt;=0,P485,IF(K485+P485&gt;=0,0,P485+K485))))</f>
        <v>169.774522306559</v>
      </c>
      <c r="AA485" s="18" t="n">
        <f aca="false">IF(D485="","",IF(H485&lt;=$B$16,1,IF(H485&gt;=$B$17,$B$21,MATCH(H485,Aux_CAV!$A$2:$A$121,1))))</f>
        <v>23</v>
      </c>
      <c r="AB485" s="18" t="n">
        <f aca="false">IF(D485="","",IF(L485&lt;=$B$16,1,IF(L485&gt;=$B$17,$B$21,MATCH(L485,Aux_CAV!$A$2:$A$121,1))))</f>
        <v>23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2.60844700177624</v>
      </c>
      <c r="E486" s="16" t="n">
        <f aca="false">IF(D486="","",D486*$B$15)</f>
        <v>6.76109462860401</v>
      </c>
      <c r="F486" s="16" t="n">
        <f aca="false" t="array" ref="F486:F486">IF(D486="","",IFERROR(INDEX(Dados_Evap!$C$2:$N$15,MATCH($B$9,Dados_Evap!$A$2:$A$15,0),C486),0))</f>
        <v>149</v>
      </c>
      <c r="G486" s="16" t="n">
        <f aca="false">IF(F486="","",F486/1000)</f>
        <v>0.149</v>
      </c>
      <c r="H486" s="16" t="n">
        <f aca="false">IF(D486="","",MAX(0,MIN($B$8,IFERROR(LOOKUP(2,1/($U$24:U485&lt;&gt;""),$U$24:U485),$B$11))))</f>
        <v>162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15.783</v>
      </c>
      <c r="J486" s="16" t="n">
        <f aca="false">IF(D486="","",$B$12)</f>
        <v>0.432</v>
      </c>
      <c r="K486" s="16" t="n">
        <f aca="false">IF(J486="","",J486*$B$15)</f>
        <v>1.119744</v>
      </c>
      <c r="L486" s="16" t="n">
        <f aca="false">IF(D486="","",H486+E486-K486-G486*I486)</f>
        <v>165.289683628604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15.9797544113108</v>
      </c>
      <c r="N486" s="16" t="n">
        <f aca="false">IF(D486="","",(I486+M486)/2)</f>
        <v>15.8813772056554</v>
      </c>
      <c r="O486" s="16" t="n">
        <f aca="false">IF(D486="","",G486*N486)</f>
        <v>2.36632520364265</v>
      </c>
      <c r="P486" s="16" t="n">
        <f aca="false">IF(D486="","",H486+E486-K486-O486)</f>
        <v>165.275025424961</v>
      </c>
      <c r="Q486" s="16" t="n">
        <f aca="false">IF(D486="","",IF(P486&gt;=0,K486,MAX(0,K486+P486)))</f>
        <v>1.119744</v>
      </c>
      <c r="R486" s="16" t="n">
        <f aca="false">IF(D486="","",Q486/$B$15)</f>
        <v>0.432</v>
      </c>
      <c r="S486" s="16" t="n">
        <f aca="false">IF(D486="","",MAX(0,J486-R486))</f>
        <v>0</v>
      </c>
      <c r="T486" s="16" t="n">
        <f aca="false">IF(D486="","",MAX(0,Z486-$B$8))</f>
        <v>3.27502542496137</v>
      </c>
      <c r="U486" s="16" t="n">
        <f aca="false">IF(D486="","",MAX(0,MIN($B$8,Z486)))</f>
        <v>162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100</v>
      </c>
      <c r="Z486" s="18" t="n">
        <f aca="false">IF(D486="","",MAX(0,IF(P486&gt;=0,P486,IF(K486+P486&gt;=0,0,P486+K486))))</f>
        <v>165.275025424961</v>
      </c>
      <c r="AA486" s="18" t="n">
        <f aca="false">IF(D486="","",IF(H486&lt;=$B$16,1,IF(H486&gt;=$B$17,$B$21,MATCH(H486,Aux_CAV!$A$2:$A$121,1))))</f>
        <v>23</v>
      </c>
      <c r="AB486" s="18" t="n">
        <f aca="false">IF(D486="","",IF(L486&lt;=$B$16,1,IF(L486&gt;=$B$17,$B$21,MATCH(L486,Aux_CAV!$A$2:$A$121,1))))</f>
        <v>23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0.536037003571066</v>
      </c>
      <c r="E487" s="16" t="n">
        <f aca="false">IF(D487="","",D487*$B$15)</f>
        <v>1.3894079132562</v>
      </c>
      <c r="F487" s="16" t="n">
        <f aca="false" t="array" ref="F487:F487">IF(D487="","",IFERROR(INDEX(Dados_Evap!$C$2:$N$15,MATCH($B$9,Dados_Evap!$A$2:$A$15,0),C487),0))</f>
        <v>206.8</v>
      </c>
      <c r="G487" s="16" t="n">
        <f aca="false">IF(F487="","",F487/1000)</f>
        <v>0.2068</v>
      </c>
      <c r="H487" s="16" t="n">
        <f aca="false">IF(D487="","",MAX(0,MIN($B$8,IFERROR(LOOKUP(2,1/($U$24:U486&lt;&gt;""),$U$24:U486),$B$11))))</f>
        <v>162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15.783</v>
      </c>
      <c r="J487" s="16" t="n">
        <f aca="false">IF(D487="","",$B$12)</f>
        <v>0.432</v>
      </c>
      <c r="K487" s="16" t="n">
        <f aca="false">IF(J487="","",J487*$B$15)</f>
        <v>1.119744</v>
      </c>
      <c r="L487" s="16" t="n">
        <f aca="false">IF(D487="","",H487+E487-K487-G487*I487)</f>
        <v>159.005739513256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15.5649975790427</v>
      </c>
      <c r="N487" s="16" t="n">
        <f aca="false">IF(D487="","",(I487+M487)/2)</f>
        <v>15.6739987895214</v>
      </c>
      <c r="O487" s="16" t="n">
        <f aca="false">IF(D487="","",G487*N487)</f>
        <v>3.24138294967302</v>
      </c>
      <c r="P487" s="16" t="n">
        <f aca="false">IF(D487="","",H487+E487-K487-O487)</f>
        <v>159.028280963583</v>
      </c>
      <c r="Q487" s="16" t="n">
        <f aca="false">IF(D487="","",IF(P487&gt;=0,K487,MAX(0,K487+P487)))</f>
        <v>1.119744</v>
      </c>
      <c r="R487" s="16" t="n">
        <f aca="false">IF(D487="","",Q487/$B$15)</f>
        <v>0.432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159.028280963583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98.1656055330761</v>
      </c>
      <c r="Z487" s="18" t="n">
        <f aca="false">IF(D487="","",MAX(0,IF(P487&gt;=0,P487,IF(K487+P487&gt;=0,0,P487+K487))))</f>
        <v>159.028280963583</v>
      </c>
      <c r="AA487" s="18" t="n">
        <f aca="false">IF(D487="","",IF(H487&lt;=$B$16,1,IF(H487&gt;=$B$17,$B$21,MATCH(H487,Aux_CAV!$A$2:$A$121,1))))</f>
        <v>23</v>
      </c>
      <c r="AB487" s="18" t="n">
        <f aca="false">IF(D487="","",IF(L487&lt;=$B$16,1,IF(L487&gt;=$B$17,$B$21,MATCH(L487,Aux_CAV!$A$2:$A$121,1))))</f>
        <v>22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0.458693686331552</v>
      </c>
      <c r="E488" s="16" t="n">
        <f aca="false">IF(D488="","",D488*$B$15)</f>
        <v>1.18893403497138</v>
      </c>
      <c r="F488" s="16" t="n">
        <f aca="false" t="array" ref="F488:F488">IF(D488="","",IFERROR(INDEX(Dados_Evap!$C$2:$N$15,MATCH($B$9,Dados_Evap!$A$2:$A$15,0),C488),0))</f>
        <v>245.9</v>
      </c>
      <c r="G488" s="16" t="n">
        <f aca="false">IF(F488="","",F488/1000)</f>
        <v>0.2459</v>
      </c>
      <c r="H488" s="16" t="n">
        <f aca="false">IF(D488="","",MAX(0,MIN($B$8,IFERROR(LOOKUP(2,1/($U$24:U487&lt;&gt;""),$U$24:U487),$B$11))))</f>
        <v>159.028280963583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15.5666387491296</v>
      </c>
      <c r="J488" s="16" t="n">
        <f aca="false">IF(D488="","",$B$12)</f>
        <v>0.432</v>
      </c>
      <c r="K488" s="16" t="n">
        <f aca="false">IF(J488="","",J488*$B$15)</f>
        <v>1.119744</v>
      </c>
      <c r="L488" s="16" t="n">
        <f aca="false">IF(D488="","",H488+E488-K488-G488*I488)</f>
        <v>155.269634530144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15.2929838598373</v>
      </c>
      <c r="N488" s="16" t="n">
        <f aca="false">IF(D488="","",(I488+M488)/2)</f>
        <v>15.4298113044835</v>
      </c>
      <c r="O488" s="16" t="n">
        <f aca="false">IF(D488="","",G488*N488)</f>
        <v>3.79419059977248</v>
      </c>
      <c r="P488" s="16" t="n">
        <f aca="false">IF(D488="","",H488+E488-K488-O488)</f>
        <v>155.303280398782</v>
      </c>
      <c r="Q488" s="16" t="n">
        <f aca="false">IF(D488="","",IF(P488&gt;=0,K488,MAX(0,K488+P488)))</f>
        <v>1.119744</v>
      </c>
      <c r="R488" s="16" t="n">
        <f aca="false">IF(D488="","",Q488/$B$15)</f>
        <v>0.432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155.303280398782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95.866222468384</v>
      </c>
      <c r="Z488" s="18" t="n">
        <f aca="false">IF(D488="","",MAX(0,IF(P488&gt;=0,P488,IF(K488+P488&gt;=0,0,P488+K488))))</f>
        <v>155.303280398782</v>
      </c>
      <c r="AA488" s="18" t="n">
        <f aca="false">IF(D488="","",IF(H488&lt;=$B$16,1,IF(H488&gt;=$B$17,$B$21,MATCH(H488,Aux_CAV!$A$2:$A$121,1))))</f>
        <v>22</v>
      </c>
      <c r="AB488" s="18" t="n">
        <f aca="false">IF(D488="","",IF(L488&lt;=$B$16,1,IF(L488&gt;=$B$17,$B$21,MATCH(L488,Aux_CAV!$A$2:$A$121,1))))</f>
        <v>22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0.445701438655657</v>
      </c>
      <c r="E489" s="16" t="n">
        <f aca="false">IF(D489="","",D489*$B$15)</f>
        <v>1.15525812899546</v>
      </c>
      <c r="F489" s="16" t="n">
        <f aca="false" t="array" ref="F489:F489">IF(D489="","",IFERROR(INDEX(Dados_Evap!$C$2:$N$15,MATCH($B$9,Dados_Evap!$A$2:$A$15,0),C489),0))</f>
        <v>282.3</v>
      </c>
      <c r="G489" s="16" t="n">
        <f aca="false">IF(F489="","",F489/1000)</f>
        <v>0.2823</v>
      </c>
      <c r="H489" s="16" t="n">
        <f aca="false">IF(D489="","",MAX(0,MIN($B$8,IFERROR(LOOKUP(2,1/($U$24:U488&lt;&gt;""),$U$24:U488),$B$11))))</f>
        <v>155.303280398782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15.2954335067037</v>
      </c>
      <c r="J489" s="16" t="n">
        <f aca="false">IF(D489="","",$B$12)</f>
        <v>0.432</v>
      </c>
      <c r="K489" s="16" t="n">
        <f aca="false">IF(J489="","",J489*$B$15)</f>
        <v>1.119744</v>
      </c>
      <c r="L489" s="16" t="n">
        <f aca="false">IF(D489="","",H489+E489-K489-G489*I489)</f>
        <v>151.020893648835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14.9836467790302</v>
      </c>
      <c r="N489" s="16" t="n">
        <f aca="false">IF(D489="","",(I489+M489)/2)</f>
        <v>15.1395401428669</v>
      </c>
      <c r="O489" s="16" t="n">
        <f aca="false">IF(D489="","",G489*N489)</f>
        <v>4.27389218233134</v>
      </c>
      <c r="P489" s="16" t="n">
        <f aca="false">IF(D489="","",H489+E489-K489-O489)</f>
        <v>151.064902345446</v>
      </c>
      <c r="Q489" s="16" t="n">
        <f aca="false">IF(D489="","",IF(P489&gt;=0,K489,MAX(0,K489+P489)))</f>
        <v>1.119744</v>
      </c>
      <c r="R489" s="16" t="n">
        <f aca="false">IF(D489="","",Q489/$B$15)</f>
        <v>0.432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151.064902345446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93.2499397194113</v>
      </c>
      <c r="Z489" s="18" t="n">
        <f aca="false">IF(D489="","",MAX(0,IF(P489&gt;=0,P489,IF(K489+P489&gt;=0,0,P489+K489))))</f>
        <v>151.064902345446</v>
      </c>
      <c r="AA489" s="18" t="n">
        <f aca="false">IF(D489="","",IF(H489&lt;=$B$16,1,IF(H489&gt;=$B$17,$B$21,MATCH(H489,Aux_CAV!$A$2:$A$121,1))))</f>
        <v>22</v>
      </c>
      <c r="AB489" s="18" t="n">
        <f aca="false">IF(D489="","",IF(L489&lt;=$B$16,1,IF(L489&gt;=$B$17,$B$21,MATCH(L489,Aux_CAV!$A$2:$A$121,1))))</f>
        <v>22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0.38149157421844</v>
      </c>
      <c r="E490" s="16" t="n">
        <f aca="false">IF(D490="","",D490*$B$15)</f>
        <v>0.988826160374197</v>
      </c>
      <c r="F490" s="16" t="n">
        <f aca="false" t="array" ref="F490:F490">IF(D490="","",IFERROR(INDEX(Dados_Evap!$C$2:$N$15,MATCH($B$9,Dados_Evap!$A$2:$A$15,0),C490),0))</f>
        <v>241.3</v>
      </c>
      <c r="G490" s="16" t="n">
        <f aca="false">IF(F490="","",F490/1000)</f>
        <v>0.2413</v>
      </c>
      <c r="H490" s="16" t="n">
        <f aca="false">IF(D490="","",MAX(0,MIN($B$8,IFERROR(LOOKUP(2,1/($U$24:U489&lt;&gt;""),$U$24:U489),$B$11))))</f>
        <v>151.064902345446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14.9868509098822</v>
      </c>
      <c r="J490" s="16" t="n">
        <f aca="false">IF(D490="","",$B$12)</f>
        <v>0.432</v>
      </c>
      <c r="K490" s="16" t="n">
        <f aca="false">IF(J490="","",J490*$B$15)</f>
        <v>1.119744</v>
      </c>
      <c r="L490" s="16" t="n">
        <f aca="false">IF(D490="","",H490+E490-K490-G490*I490)</f>
        <v>147.317657381266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14.714026124688</v>
      </c>
      <c r="N490" s="16" t="n">
        <f aca="false">IF(D490="","",(I490+M490)/2)</f>
        <v>14.8504385172851</v>
      </c>
      <c r="O490" s="16" t="n">
        <f aca="false">IF(D490="","",G490*N490)</f>
        <v>3.58341081422089</v>
      </c>
      <c r="P490" s="16" t="n">
        <f aca="false">IF(D490="","",H490+E490-K490-O490)</f>
        <v>147.3505736916</v>
      </c>
      <c r="Q490" s="16" t="n">
        <f aca="false">IF(D490="","",IF(P490&gt;=0,K490,MAX(0,K490+P490)))</f>
        <v>1.119744</v>
      </c>
      <c r="R490" s="16" t="n">
        <f aca="false">IF(D490="","",Q490/$B$15)</f>
        <v>0.432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147.3505736916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90.9571442540738</v>
      </c>
      <c r="Z490" s="18" t="n">
        <f aca="false">IF(D490="","",MAX(0,IF(P490&gt;=0,P490,IF(K490+P490&gt;=0,0,P490+K490))))</f>
        <v>147.3505736916</v>
      </c>
      <c r="AA490" s="18" t="n">
        <f aca="false">IF(D490="","",IF(H490&lt;=$B$16,1,IF(H490&gt;=$B$17,$B$21,MATCH(H490,Aux_CAV!$A$2:$A$121,1))))</f>
        <v>22</v>
      </c>
      <c r="AB490" s="18" t="n">
        <f aca="false">IF(D490="","",IF(L490&lt;=$B$16,1,IF(L490&gt;=$B$17,$B$21,MATCH(L490,Aux_CAV!$A$2:$A$121,1))))</f>
        <v>22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0.360498782988383</v>
      </c>
      <c r="E491" s="16" t="n">
        <f aca="false">IF(D491="","",D491*$B$15)</f>
        <v>0.934412845505889</v>
      </c>
      <c r="F491" s="16" t="n">
        <f aca="false" t="array" ref="F491:F491">IF(D491="","",IFERROR(INDEX(Dados_Evap!$C$2:$N$15,MATCH($B$9,Dados_Evap!$A$2:$A$15,0),C491),0))</f>
        <v>241.8</v>
      </c>
      <c r="G491" s="16" t="n">
        <f aca="false">IF(F491="","",F491/1000)</f>
        <v>0.2418</v>
      </c>
      <c r="H491" s="16" t="n">
        <f aca="false">IF(D491="","",MAX(0,MIN($B$8,IFERROR(LOOKUP(2,1/($U$24:U490&lt;&gt;""),$U$24:U490),$B$11))))</f>
        <v>147.3505736916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14.716422654774</v>
      </c>
      <c r="J491" s="16" t="n">
        <f aca="false">IF(D491="","",$B$12)</f>
        <v>0.432</v>
      </c>
      <c r="K491" s="16" t="n">
        <f aca="false">IF(J491="","",J491*$B$15)</f>
        <v>1.119744</v>
      </c>
      <c r="L491" s="16" t="n">
        <f aca="false">IF(D491="","",H491+E491-K491-G491*I491)</f>
        <v>143.606811539181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14.4438514418389</v>
      </c>
      <c r="N491" s="16" t="n">
        <f aca="false">IF(D491="","",(I491+M491)/2)</f>
        <v>14.5801370483064</v>
      </c>
      <c r="O491" s="16" t="n">
        <f aca="false">IF(D491="","",G491*N491)</f>
        <v>3.5254771382805</v>
      </c>
      <c r="P491" s="16" t="n">
        <f aca="false">IF(D491="","",H491+E491-K491-O491)</f>
        <v>143.639765398825</v>
      </c>
      <c r="Q491" s="16" t="n">
        <f aca="false">IF(D491="","",IF(P491&gt;=0,K491,MAX(0,K491+P491)))</f>
        <v>1.119744</v>
      </c>
      <c r="R491" s="16" t="n">
        <f aca="false">IF(D491="","",Q491/$B$15)</f>
        <v>0.432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143.639765398825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88.6665218511265</v>
      </c>
      <c r="Z491" s="18" t="n">
        <f aca="false">IF(D491="","",MAX(0,IF(P491&gt;=0,P491,IF(K491+P491&gt;=0,0,P491+K491))))</f>
        <v>143.639765398825</v>
      </c>
      <c r="AA491" s="18" t="n">
        <f aca="false">IF(D491="","",IF(H491&lt;=$B$16,1,IF(H491&gt;=$B$17,$B$21,MATCH(H491,Aux_CAV!$A$2:$A$121,1))))</f>
        <v>22</v>
      </c>
      <c r="AB491" s="18" t="n">
        <f aca="false">IF(D491="","",IF(L491&lt;=$B$16,1,IF(L491&gt;=$B$17,$B$21,MATCH(L491,Aux_CAV!$A$2:$A$121,1))))</f>
        <v>22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0.339961359840613</v>
      </c>
      <c r="E492" s="16" t="n">
        <f aca="false">IF(D492="","",D492*$B$15)</f>
        <v>0.881179844706869</v>
      </c>
      <c r="F492" s="16" t="n">
        <f aca="false" t="array" ref="F492:F492">IF(D492="","",IFERROR(INDEX(Dados_Evap!$C$2:$N$15,MATCH($B$9,Dados_Evap!$A$2:$A$15,0),C492),0))</f>
        <v>189</v>
      </c>
      <c r="G492" s="16" t="n">
        <f aca="false">IF(F492="","",F492/1000)</f>
        <v>0.189</v>
      </c>
      <c r="H492" s="16" t="n">
        <f aca="false">IF(D492="","",MAX(0,MIN($B$8,IFERROR(LOOKUP(2,1/($U$24:U491&lt;&gt;""),$U$24:U491),$B$11))))</f>
        <v>143.639765398825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14.4462507057687</v>
      </c>
      <c r="J492" s="16" t="n">
        <f aca="false">IF(D492="","",$B$12)</f>
        <v>0.432</v>
      </c>
      <c r="K492" s="16" t="n">
        <f aca="false">IF(J492="","",J492*$B$15)</f>
        <v>1.119744</v>
      </c>
      <c r="L492" s="16" t="n">
        <f aca="false">IF(D492="","",H492+E492-K492-G492*I492)</f>
        <v>140.670859860142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14.2300942965679</v>
      </c>
      <c r="N492" s="16" t="n">
        <f aca="false">IF(D492="","",(I492+M492)/2)</f>
        <v>14.3381725011683</v>
      </c>
      <c r="O492" s="16" t="n">
        <f aca="false">IF(D492="","",G492*N492)</f>
        <v>2.7099146027208</v>
      </c>
      <c r="P492" s="16" t="n">
        <f aca="false">IF(D492="","",H492+E492-K492-O492)</f>
        <v>140.691286640811</v>
      </c>
      <c r="Q492" s="16" t="n">
        <f aca="false">IF(D492="","",IF(P492&gt;=0,K492,MAX(0,K492+P492)))</f>
        <v>1.119744</v>
      </c>
      <c r="R492" s="16" t="n">
        <f aca="false">IF(D492="","",Q492/$B$15)</f>
        <v>0.432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140.691286640811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86.8464732350685</v>
      </c>
      <c r="Z492" s="18" t="n">
        <f aca="false">IF(D492="","",MAX(0,IF(P492&gt;=0,P492,IF(K492+P492&gt;=0,0,P492+K492))))</f>
        <v>140.691286640811</v>
      </c>
      <c r="AA492" s="18" t="n">
        <f aca="false">IF(D492="","",IF(H492&lt;=$B$16,1,IF(H492&gt;=$B$17,$B$21,MATCH(H492,Aux_CAV!$A$2:$A$121,1))))</f>
        <v>22</v>
      </c>
      <c r="AB492" s="18" t="n">
        <f aca="false">IF(D492="","",IF(L492&lt;=$B$16,1,IF(L492&gt;=$B$17,$B$21,MATCH(L492,Aux_CAV!$A$2:$A$121,1))))</f>
        <v>22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0.970286130849373</v>
      </c>
      <c r="E493" s="16" t="n">
        <f aca="false">IF(D493="","",D493*$B$15)</f>
        <v>2.51498165116158</v>
      </c>
      <c r="F493" s="16" t="n">
        <f aca="false" t="array" ref="F493:F493">IF(D493="","",IFERROR(INDEX(Dados_Evap!$C$2:$N$15,MATCH($B$9,Dados_Evap!$A$2:$A$15,0),C493),0))</f>
        <v>136.9</v>
      </c>
      <c r="G493" s="16" t="n">
        <f aca="false">IF(F493="","",F493/1000)</f>
        <v>0.1369</v>
      </c>
      <c r="H493" s="16" t="n">
        <f aca="false">IF(D493="","",MAX(0,MIN($B$8,IFERROR(LOOKUP(2,1/($U$24:U492&lt;&gt;""),$U$24:U492),$B$11))))</f>
        <v>140.691286640811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14.231581504397</v>
      </c>
      <c r="J493" s="16" t="n">
        <f aca="false">IF(D493="","",$B$12)</f>
        <v>0.432</v>
      </c>
      <c r="K493" s="16" t="n">
        <f aca="false">IF(J493="","",J493*$B$15)</f>
        <v>1.119744</v>
      </c>
      <c r="L493" s="16" t="n">
        <f aca="false">IF(D493="","",H493+E493-K493-G493*I493)</f>
        <v>140.138220784021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14.1913145682827</v>
      </c>
      <c r="N493" s="16" t="n">
        <f aca="false">IF(D493="","",(I493+M493)/2)</f>
        <v>14.2114480363399</v>
      </c>
      <c r="O493" s="16" t="n">
        <f aca="false">IF(D493="","",G493*N493)</f>
        <v>1.94554723617493</v>
      </c>
      <c r="P493" s="16" t="n">
        <f aca="false">IF(D493="","",H493+E493-K493-O493)</f>
        <v>140.140977055798</v>
      </c>
      <c r="Q493" s="16" t="n">
        <f aca="false">IF(D493="","",IF(P493&gt;=0,K493,MAX(0,K493+P493)))</f>
        <v>1.119744</v>
      </c>
      <c r="R493" s="16" t="n">
        <f aca="false">IF(D493="","",Q493/$B$15)</f>
        <v>0.432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140.140977055798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86.5067759603689</v>
      </c>
      <c r="Z493" s="18" t="n">
        <f aca="false">IF(D493="","",MAX(0,IF(P493&gt;=0,P493,IF(K493+P493&gt;=0,0,P493+K493))))</f>
        <v>140.140977055798</v>
      </c>
      <c r="AA493" s="18" t="n">
        <f aca="false">IF(D493="","",IF(H493&lt;=$B$16,1,IF(H493&gt;=$B$17,$B$21,MATCH(H493,Aux_CAV!$A$2:$A$121,1))))</f>
        <v>22</v>
      </c>
      <c r="AB493" s="18" t="n">
        <f aca="false">IF(D493="","",IF(L493&lt;=$B$16,1,IF(L493&gt;=$B$17,$B$21,MATCH(L493,Aux_CAV!$A$2:$A$121,1))))</f>
        <v>22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4.03440948078796</v>
      </c>
      <c r="E494" s="16" t="n">
        <f aca="false">IF(D494="","",D494*$B$15)</f>
        <v>10.4571893742024</v>
      </c>
      <c r="F494" s="16" t="n">
        <f aca="false" t="array" ref="F494:F494">IF(D494="","",IFERROR(INDEX(Dados_Evap!$C$2:$N$15,MATCH($B$9,Dados_Evap!$A$2:$A$15,0),C494),0))</f>
        <v>102.9</v>
      </c>
      <c r="G494" s="16" t="n">
        <f aca="false">IF(F494="","",F494/1000)</f>
        <v>0.1029</v>
      </c>
      <c r="H494" s="16" t="n">
        <f aca="false">IF(D494="","",MAX(0,MIN($B$8,IFERROR(LOOKUP(2,1/($U$24:U493&lt;&gt;""),$U$24:U493),$B$11))))</f>
        <v>140.140977055798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14.1915152435155</v>
      </c>
      <c r="J494" s="16" t="n">
        <f aca="false">IF(D494="","",$B$12)</f>
        <v>0.432</v>
      </c>
      <c r="K494" s="16" t="n">
        <f aca="false">IF(J494="","",J494*$B$15)</f>
        <v>1.119744</v>
      </c>
      <c r="L494" s="16" t="n">
        <f aca="false">IF(D494="","",H494+E494-K494-G494*I494)</f>
        <v>148.018115511442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14.7650242154799</v>
      </c>
      <c r="N494" s="16" t="n">
        <f aca="false">IF(D494="","",(I494+M494)/2)</f>
        <v>14.4782697294977</v>
      </c>
      <c r="O494" s="16" t="n">
        <f aca="false">IF(D494="","",G494*N494)</f>
        <v>1.48981395516532</v>
      </c>
      <c r="P494" s="16" t="n">
        <f aca="false">IF(D494="","",H494+E494-K494-O494)</f>
        <v>147.988608474835</v>
      </c>
      <c r="Q494" s="16" t="n">
        <f aca="false">IF(D494="","",IF(P494&gt;=0,K494,MAX(0,K494+P494)))</f>
        <v>1.119744</v>
      </c>
      <c r="R494" s="16" t="n">
        <f aca="false">IF(D494="","",Q494/$B$15)</f>
        <v>0.432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147.988608474835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91.3509928857005</v>
      </c>
      <c r="Z494" s="18" t="n">
        <f aca="false">IF(D494="","",MAX(0,IF(P494&gt;=0,P494,IF(K494+P494&gt;=0,0,P494+K494))))</f>
        <v>147.988608474835</v>
      </c>
      <c r="AA494" s="18" t="n">
        <f aca="false">IF(D494="","",IF(H494&lt;=$B$16,1,IF(H494&gt;=$B$17,$B$21,MATCH(H494,Aux_CAV!$A$2:$A$121,1))))</f>
        <v>22</v>
      </c>
      <c r="AB494" s="18" t="n">
        <f aca="false">IF(D494="","",IF(L494&lt;=$B$16,1,IF(L494&gt;=$B$17,$B$21,MATCH(L494,Aux_CAV!$A$2:$A$121,1))))</f>
        <v>22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9.6459070934071</v>
      </c>
      <c r="E495" s="16" t="n">
        <f aca="false">IF(D495="","",D495*$B$15)</f>
        <v>25.0021911861112</v>
      </c>
      <c r="F495" s="16" t="n">
        <f aca="false" t="array" ref="F495:F495">IF(D495="","",IFERROR(INDEX(Dados_Evap!$C$2:$N$15,MATCH($B$9,Dados_Evap!$A$2:$A$15,0),C495),0))</f>
        <v>81.8</v>
      </c>
      <c r="G495" s="16" t="n">
        <f aca="false">IF(F495="","",F495/1000)</f>
        <v>0.0818</v>
      </c>
      <c r="H495" s="16" t="n">
        <f aca="false">IF(D495="","",MAX(0,MIN($B$8,IFERROR(LOOKUP(2,1/($U$24:U494&lt;&gt;""),$U$24:U494),$B$11))))</f>
        <v>147.988608474835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14.7628759035865</v>
      </c>
      <c r="J495" s="16" t="n">
        <f aca="false">IF(D495="","",$B$12)</f>
        <v>0.432</v>
      </c>
      <c r="K495" s="16" t="n">
        <f aca="false">IF(J495="","",J495*$B$15)</f>
        <v>1.119744</v>
      </c>
      <c r="L495" s="16" t="n">
        <f aca="false">IF(D495="","",H495+E495-K495-G495*I495)</f>
        <v>170.663452412033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16.3011569633101</v>
      </c>
      <c r="N495" s="16" t="n">
        <f aca="false">IF(D495="","",(I495+M495)/2)</f>
        <v>15.5320164334483</v>
      </c>
      <c r="O495" s="16" t="n">
        <f aca="false">IF(D495="","",G495*N495)</f>
        <v>1.27051894425607</v>
      </c>
      <c r="P495" s="16" t="n">
        <f aca="false">IF(D495="","",H495+E495-K495-O495)</f>
        <v>170.60053671669</v>
      </c>
      <c r="Q495" s="16" t="n">
        <f aca="false">IF(D495="","",IF(P495&gt;=0,K495,MAX(0,K495+P495)))</f>
        <v>1.119744</v>
      </c>
      <c r="R495" s="16" t="n">
        <f aca="false">IF(D495="","",Q495/$B$15)</f>
        <v>0.432</v>
      </c>
      <c r="S495" s="16" t="n">
        <f aca="false">IF(D495="","",MAX(0,J495-R495))</f>
        <v>0</v>
      </c>
      <c r="T495" s="16" t="n">
        <f aca="false">IF(D495="","",MAX(0,Z495-$B$8))</f>
        <v>8.60053671668985</v>
      </c>
      <c r="U495" s="16" t="n">
        <f aca="false">IF(D495="","",MAX(0,MIN($B$8,Z495)))</f>
        <v>162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100</v>
      </c>
      <c r="Z495" s="18" t="n">
        <f aca="false">IF(D495="","",MAX(0,IF(P495&gt;=0,P495,IF(K495+P495&gt;=0,0,P495+K495))))</f>
        <v>170.60053671669</v>
      </c>
      <c r="AA495" s="18" t="n">
        <f aca="false">IF(D495="","",IF(H495&lt;=$B$16,1,IF(H495&gt;=$B$17,$B$21,MATCH(H495,Aux_CAV!$A$2:$A$121,1))))</f>
        <v>22</v>
      </c>
      <c r="AB495" s="18" t="n">
        <f aca="false">IF(D495="","",IF(L495&lt;=$B$16,1,IF(L495&gt;=$B$17,$B$21,MATCH(L495,Aux_CAV!$A$2:$A$121,1))))</f>
        <v>23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15.5746547318039</v>
      </c>
      <c r="E496" s="16" t="n">
        <f aca="false">IF(D496="","",D496*$B$15)</f>
        <v>40.3695050648357</v>
      </c>
      <c r="F496" s="16" t="n">
        <f aca="false" t="array" ref="F496:F496">IF(D496="","",IFERROR(INDEX(Dados_Evap!$C$2:$N$15,MATCH($B$9,Dados_Evap!$A$2:$A$15,0),C496),0))</f>
        <v>83.6</v>
      </c>
      <c r="G496" s="16" t="n">
        <f aca="false">IF(F496="","",F496/1000)</f>
        <v>0.0836</v>
      </c>
      <c r="H496" s="16" t="n">
        <f aca="false">IF(D496="","",MAX(0,MIN($B$8,IFERROR(LOOKUP(2,1/($U$24:U495&lt;&gt;""),$U$24:U495),$B$11))))</f>
        <v>162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15.783</v>
      </c>
      <c r="J496" s="16" t="n">
        <f aca="false">IF(D496="","",$B$12)</f>
        <v>0.432</v>
      </c>
      <c r="K496" s="16" t="n">
        <f aca="false">IF(J496="","",J496*$B$15)</f>
        <v>1.119744</v>
      </c>
      <c r="L496" s="16" t="n">
        <f aca="false">IF(D496="","",H496+E496-K496-G496*I496)</f>
        <v>199.930302264836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18.0515933164111</v>
      </c>
      <c r="N496" s="16" t="n">
        <f aca="false">IF(D496="","",(I496+M496)/2)</f>
        <v>16.9172966582056</v>
      </c>
      <c r="O496" s="16" t="n">
        <f aca="false">IF(D496="","",G496*N496)</f>
        <v>1.41428600062598</v>
      </c>
      <c r="P496" s="16" t="n">
        <f aca="false">IF(D496="","",H496+E496-K496-O496)</f>
        <v>199.83547506421</v>
      </c>
      <c r="Q496" s="16" t="n">
        <f aca="false">IF(D496="","",IF(P496&gt;=0,K496,MAX(0,K496+P496)))</f>
        <v>1.119744</v>
      </c>
      <c r="R496" s="16" t="n">
        <f aca="false">IF(D496="","",Q496/$B$15)</f>
        <v>0.432</v>
      </c>
      <c r="S496" s="16" t="n">
        <f aca="false">IF(D496="","",MAX(0,J496-R496))</f>
        <v>0</v>
      </c>
      <c r="T496" s="16" t="n">
        <f aca="false">IF(D496="","",MAX(0,Z496-$B$8))</f>
        <v>37.8354750642097</v>
      </c>
      <c r="U496" s="16" t="n">
        <f aca="false">IF(D496="","",MAX(0,MIN($B$8,Z496)))</f>
        <v>162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100</v>
      </c>
      <c r="Z496" s="18" t="n">
        <f aca="false">IF(D496="","",MAX(0,IF(P496&gt;=0,P496,IF(K496+P496&gt;=0,0,P496+K496))))</f>
        <v>199.83547506421</v>
      </c>
      <c r="AA496" s="18" t="n">
        <f aca="false">IF(D496="","",IF(H496&lt;=$B$16,1,IF(H496&gt;=$B$17,$B$21,MATCH(H496,Aux_CAV!$A$2:$A$121,1))))</f>
        <v>23</v>
      </c>
      <c r="AB496" s="18" t="n">
        <f aca="false">IF(D496="","",IF(L496&lt;=$B$16,1,IF(L496&gt;=$B$17,$B$21,MATCH(L496,Aux_CAV!$A$2:$A$121,1))))</f>
        <v>23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4.36449261514599</v>
      </c>
      <c r="E497" s="16" t="n">
        <f aca="false">IF(D497="","",D497*$B$15)</f>
        <v>11.3127648584584</v>
      </c>
      <c r="F497" s="16" t="n">
        <f aca="false" t="array" ref="F497:F497">IF(D497="","",IFERROR(INDEX(Dados_Evap!$C$2:$N$15,MATCH($B$9,Dados_Evap!$A$2:$A$15,0),C497),0))</f>
        <v>108.2</v>
      </c>
      <c r="G497" s="16" t="n">
        <f aca="false">IF(F497="","",F497/1000)</f>
        <v>0.1082</v>
      </c>
      <c r="H497" s="16" t="n">
        <f aca="false">IF(D497="","",MAX(0,MIN($B$8,IFERROR(LOOKUP(2,1/($U$24:U496&lt;&gt;""),$U$24:U496),$B$11))))</f>
        <v>162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15.783</v>
      </c>
      <c r="J497" s="16" t="n">
        <f aca="false">IF(D497="","",$B$12)</f>
        <v>0.432</v>
      </c>
      <c r="K497" s="16" t="n">
        <f aca="false">IF(J497="","",J497*$B$15)</f>
        <v>1.119744</v>
      </c>
      <c r="L497" s="16" t="n">
        <f aca="false">IF(D497="","",H497+E497-K497-G497*I497)</f>
        <v>170.485300258458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16.2905017678392</v>
      </c>
      <c r="N497" s="16" t="n">
        <f aca="false">IF(D497="","",(I497+M497)/2)</f>
        <v>16.0367508839196</v>
      </c>
      <c r="O497" s="16" t="n">
        <f aca="false">IF(D497="","",G497*N497)</f>
        <v>1.7351764456401</v>
      </c>
      <c r="P497" s="16" t="n">
        <f aca="false">IF(D497="","",H497+E497-K497-O497)</f>
        <v>170.457844412818</v>
      </c>
      <c r="Q497" s="16" t="n">
        <f aca="false">IF(D497="","",IF(P497&gt;=0,K497,MAX(0,K497+P497)))</f>
        <v>1.119744</v>
      </c>
      <c r="R497" s="16" t="n">
        <f aca="false">IF(D497="","",Q497/$B$15)</f>
        <v>0.432</v>
      </c>
      <c r="S497" s="16" t="n">
        <f aca="false">IF(D497="","",MAX(0,J497-R497))</f>
        <v>0</v>
      </c>
      <c r="T497" s="16" t="n">
        <f aca="false">IF(D497="","",MAX(0,Z497-$B$8))</f>
        <v>8.45784441281833</v>
      </c>
      <c r="U497" s="16" t="n">
        <f aca="false">IF(D497="","",MAX(0,MIN($B$8,Z497)))</f>
        <v>162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100</v>
      </c>
      <c r="Z497" s="18" t="n">
        <f aca="false">IF(D497="","",MAX(0,IF(P497&gt;=0,P497,IF(K497+P497&gt;=0,0,P497+K497))))</f>
        <v>170.457844412818</v>
      </c>
      <c r="AA497" s="18" t="n">
        <f aca="false">IF(D497="","",IF(H497&lt;=$B$16,1,IF(H497&gt;=$B$17,$B$21,MATCH(H497,Aux_CAV!$A$2:$A$121,1))))</f>
        <v>23</v>
      </c>
      <c r="AB497" s="18" t="n">
        <f aca="false">IF(D497="","",IF(L497&lt;=$B$16,1,IF(L497&gt;=$B$17,$B$21,MATCH(L497,Aux_CAV!$A$2:$A$121,1))))</f>
        <v>23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1.46881109676014</v>
      </c>
      <c r="E498" s="16" t="n">
        <f aca="false">IF(D498="","",D498*$B$15)</f>
        <v>3.80715836280228</v>
      </c>
      <c r="F498" s="16" t="n">
        <f aca="false" t="array" ref="F498:F498">IF(D498="","",IFERROR(INDEX(Dados_Evap!$C$2:$N$15,MATCH($B$9,Dados_Evap!$A$2:$A$15,0),C498),0))</f>
        <v>149</v>
      </c>
      <c r="G498" s="16" t="n">
        <f aca="false">IF(F498="","",F498/1000)</f>
        <v>0.149</v>
      </c>
      <c r="H498" s="16" t="n">
        <f aca="false">IF(D498="","",MAX(0,MIN($B$8,IFERROR(LOOKUP(2,1/($U$24:U497&lt;&gt;""),$U$24:U497),$B$11))))</f>
        <v>162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15.783</v>
      </c>
      <c r="J498" s="16" t="n">
        <f aca="false">IF(D498="","",$B$12)</f>
        <v>0.432</v>
      </c>
      <c r="K498" s="16" t="n">
        <f aca="false">IF(J498="","",J498*$B$15)</f>
        <v>1.119744</v>
      </c>
      <c r="L498" s="16" t="n">
        <f aca="false">IF(D498="","",H498+E498-K498-G498*I498)</f>
        <v>162.335747362802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15.8030808898895</v>
      </c>
      <c r="N498" s="16" t="n">
        <f aca="false">IF(D498="","",(I498+M498)/2)</f>
        <v>15.7930404449448</v>
      </c>
      <c r="O498" s="16" t="n">
        <f aca="false">IF(D498="","",G498*N498)</f>
        <v>2.35316302629677</v>
      </c>
      <c r="P498" s="16" t="n">
        <f aca="false">IF(D498="","",H498+E498-K498-O498)</f>
        <v>162.334251336506</v>
      </c>
      <c r="Q498" s="16" t="n">
        <f aca="false">IF(D498="","",IF(P498&gt;=0,K498,MAX(0,K498+P498)))</f>
        <v>1.119744</v>
      </c>
      <c r="R498" s="16" t="n">
        <f aca="false">IF(D498="","",Q498/$B$15)</f>
        <v>0.432</v>
      </c>
      <c r="S498" s="16" t="n">
        <f aca="false">IF(D498="","",MAX(0,J498-R498))</f>
        <v>0</v>
      </c>
      <c r="T498" s="16" t="n">
        <f aca="false">IF(D498="","",MAX(0,Z498-$B$8))</f>
        <v>0.334251336505531</v>
      </c>
      <c r="U498" s="16" t="n">
        <f aca="false">IF(D498="","",MAX(0,MIN($B$8,Z498)))</f>
        <v>162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100</v>
      </c>
      <c r="Z498" s="18" t="n">
        <f aca="false">IF(D498="","",MAX(0,IF(P498&gt;=0,P498,IF(K498+P498&gt;=0,0,P498+K498))))</f>
        <v>162.334251336506</v>
      </c>
      <c r="AA498" s="18" t="n">
        <f aca="false">IF(D498="","",IF(H498&lt;=$B$16,1,IF(H498&gt;=$B$17,$B$21,MATCH(H498,Aux_CAV!$A$2:$A$121,1))))</f>
        <v>23</v>
      </c>
      <c r="AB498" s="18" t="n">
        <f aca="false">IF(D498="","",IF(L498&lt;=$B$16,1,IF(L498&gt;=$B$17,$B$21,MATCH(L498,Aux_CAV!$A$2:$A$121,1))))</f>
        <v>23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1.37395697497437</v>
      </c>
      <c r="E499" s="16" t="n">
        <f aca="false">IF(D499="","",D499*$B$15)</f>
        <v>3.56129647913357</v>
      </c>
      <c r="F499" s="16" t="n">
        <f aca="false" t="array" ref="F499:F499">IF(D499="","",IFERROR(INDEX(Dados_Evap!$C$2:$N$15,MATCH($B$9,Dados_Evap!$A$2:$A$15,0),C499),0))</f>
        <v>206.8</v>
      </c>
      <c r="G499" s="16" t="n">
        <f aca="false">IF(F499="","",F499/1000)</f>
        <v>0.2068</v>
      </c>
      <c r="H499" s="16" t="n">
        <f aca="false">IF(D499="","",MAX(0,MIN($B$8,IFERROR(LOOKUP(2,1/($U$24:U498&lt;&gt;""),$U$24:U498),$B$11))))</f>
        <v>162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15.783</v>
      </c>
      <c r="J499" s="16" t="n">
        <f aca="false">IF(D499="","",$B$12)</f>
        <v>0.432</v>
      </c>
      <c r="K499" s="16" t="n">
        <f aca="false">IF(J499="","",J499*$B$15)</f>
        <v>1.119744</v>
      </c>
      <c r="L499" s="16" t="n">
        <f aca="false">IF(D499="","",H499+E499-K499-G499*I499)</f>
        <v>161.177628079134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15.7231257604441</v>
      </c>
      <c r="N499" s="16" t="n">
        <f aca="false">IF(D499="","",(I499+M499)/2)</f>
        <v>15.753062880222</v>
      </c>
      <c r="O499" s="16" t="n">
        <f aca="false">IF(D499="","",G499*N499)</f>
        <v>3.25773340362992</v>
      </c>
      <c r="P499" s="16" t="n">
        <f aca="false">IF(D499="","",H499+E499-K499-O499)</f>
        <v>161.183819075504</v>
      </c>
      <c r="Q499" s="16" t="n">
        <f aca="false">IF(D499="","",IF(P499&gt;=0,K499,MAX(0,K499+P499)))</f>
        <v>1.119744</v>
      </c>
      <c r="R499" s="16" t="n">
        <f aca="false">IF(D499="","",Q499/$B$15)</f>
        <v>0.432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161.183819075504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99.4961846145084</v>
      </c>
      <c r="Z499" s="18" t="n">
        <f aca="false">IF(D499="","",MAX(0,IF(P499&gt;=0,P499,IF(K499+P499&gt;=0,0,P499+K499))))</f>
        <v>161.183819075504</v>
      </c>
      <c r="AA499" s="18" t="n">
        <f aca="false">IF(D499="","",IF(H499&lt;=$B$16,1,IF(H499&gt;=$B$17,$B$21,MATCH(H499,Aux_CAV!$A$2:$A$121,1))))</f>
        <v>23</v>
      </c>
      <c r="AB499" s="18" t="n">
        <f aca="false">IF(D499="","",IF(L499&lt;=$B$16,1,IF(L499&gt;=$B$17,$B$21,MATCH(L499,Aux_CAV!$A$2:$A$121,1))))</f>
        <v>22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0.562439496960599</v>
      </c>
      <c r="E500" s="16" t="n">
        <f aca="false">IF(D500="","",D500*$B$15)</f>
        <v>1.45784317612187</v>
      </c>
      <c r="F500" s="16" t="n">
        <f aca="false" t="array" ref="F500:F500">IF(D500="","",IFERROR(INDEX(Dados_Evap!$C$2:$N$15,MATCH($B$9,Dados_Evap!$A$2:$A$15,0),C500),0))</f>
        <v>245.9</v>
      </c>
      <c r="G500" s="16" t="n">
        <f aca="false">IF(F500="","",F500/1000)</f>
        <v>0.2459</v>
      </c>
      <c r="H500" s="16" t="n">
        <f aca="false">IF(D500="","",MAX(0,MIN($B$8,IFERROR(LOOKUP(2,1/($U$24:U499&lt;&gt;""),$U$24:U499),$B$11))))</f>
        <v>161.183819075504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15.7235765068647</v>
      </c>
      <c r="J500" s="16" t="n">
        <f aca="false">IF(D500="","",$B$12)</f>
        <v>0.432</v>
      </c>
      <c r="K500" s="16" t="n">
        <f aca="false">IF(J500="","",J500*$B$15)</f>
        <v>1.119744</v>
      </c>
      <c r="L500" s="16" t="n">
        <f aca="false">IF(D500="","",H500+E500-K500-G500*I500)</f>
        <v>157.655490788588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15.4666903368454</v>
      </c>
      <c r="N500" s="16" t="n">
        <f aca="false">IF(D500="","",(I500+M500)/2)</f>
        <v>15.595133421855</v>
      </c>
      <c r="O500" s="16" t="n">
        <f aca="false">IF(D500="","",G500*N500)</f>
        <v>3.83484330843416</v>
      </c>
      <c r="P500" s="16" t="n">
        <f aca="false">IF(D500="","",H500+E500-K500-O500)</f>
        <v>157.687074943191</v>
      </c>
      <c r="Q500" s="16" t="n">
        <f aca="false">IF(D500="","",IF(P500&gt;=0,K500,MAX(0,K500+P500)))</f>
        <v>1.119744</v>
      </c>
      <c r="R500" s="16" t="n">
        <f aca="false">IF(D500="","",Q500/$B$15)</f>
        <v>0.432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157.687074943191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97.3377005822169</v>
      </c>
      <c r="Z500" s="18" t="n">
        <f aca="false">IF(D500="","",MAX(0,IF(P500&gt;=0,P500,IF(K500+P500&gt;=0,0,P500+K500))))</f>
        <v>157.687074943191</v>
      </c>
      <c r="AA500" s="18" t="n">
        <f aca="false">IF(D500="","",IF(H500&lt;=$B$16,1,IF(H500&gt;=$B$17,$B$21,MATCH(H500,Aux_CAV!$A$2:$A$121,1))))</f>
        <v>22</v>
      </c>
      <c r="AB500" s="18" t="n">
        <f aca="false">IF(D500="","",IF(L500&lt;=$B$16,1,IF(L500&gt;=$B$17,$B$21,MATCH(L500,Aux_CAV!$A$2:$A$121,1))))</f>
        <v>22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0.53065581686731</v>
      </c>
      <c r="E501" s="16" t="n">
        <f aca="false">IF(D501="","",D501*$B$15)</f>
        <v>1.37545987732007</v>
      </c>
      <c r="F501" s="16" t="n">
        <f aca="false" t="array" ref="F501:F501">IF(D501="","",IFERROR(INDEX(Dados_Evap!$C$2:$N$15,MATCH($B$9,Dados_Evap!$A$2:$A$15,0),C501),0))</f>
        <v>282.3</v>
      </c>
      <c r="G501" s="16" t="n">
        <f aca="false">IF(F501="","",F501/1000)</f>
        <v>0.2823</v>
      </c>
      <c r="H501" s="16" t="n">
        <f aca="false">IF(D501="","",MAX(0,MIN($B$8,IFERROR(LOOKUP(2,1/($U$24:U500&lt;&gt;""),$U$24:U500),$B$11))))</f>
        <v>157.687074943191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15.4689898769816</v>
      </c>
      <c r="J501" s="16" t="n">
        <f aca="false">IF(D501="","",$B$12)</f>
        <v>0.432</v>
      </c>
      <c r="K501" s="16" t="n">
        <f aca="false">IF(J501="","",J501*$B$15)</f>
        <v>1.119744</v>
      </c>
      <c r="L501" s="16" t="n">
        <f aca="false">IF(D501="","",H501+E501-K501-G501*I501)</f>
        <v>153.57589497824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15.1696681615469</v>
      </c>
      <c r="N501" s="16" t="n">
        <f aca="false">IF(D501="","",(I501+M501)/2)</f>
        <v>15.3193290192643</v>
      </c>
      <c r="O501" s="16" t="n">
        <f aca="false">IF(D501="","",G501*N501)</f>
        <v>4.3246465821383</v>
      </c>
      <c r="P501" s="16" t="n">
        <f aca="false">IF(D501="","",H501+E501-K501-O501)</f>
        <v>153.618144238373</v>
      </c>
      <c r="Q501" s="16" t="n">
        <f aca="false">IF(D501="","",IF(P501&gt;=0,K501,MAX(0,K501+P501)))</f>
        <v>1.119744</v>
      </c>
      <c r="R501" s="16" t="n">
        <f aca="false">IF(D501="","",Q501/$B$15)</f>
        <v>0.432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153.618144238373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94.8260149619587</v>
      </c>
      <c r="Z501" s="18" t="n">
        <f aca="false">IF(D501="","",MAX(0,IF(P501&gt;=0,P501,IF(K501+P501&gt;=0,0,P501+K501))))</f>
        <v>153.618144238373</v>
      </c>
      <c r="AA501" s="18" t="n">
        <f aca="false">IF(D501="","",IF(H501&lt;=$B$16,1,IF(H501&gt;=$B$17,$B$21,MATCH(H501,Aux_CAV!$A$2:$A$121,1))))</f>
        <v>22</v>
      </c>
      <c r="AB501" s="18" t="n">
        <f aca="false">IF(D501="","",IF(L501&lt;=$B$16,1,IF(L501&gt;=$B$17,$B$21,MATCH(L501,Aux_CAV!$A$2:$A$121,1))))</f>
        <v>22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1.02331000268066</v>
      </c>
      <c r="E502" s="16" t="n">
        <f aca="false">IF(D502="","",D502*$B$15)</f>
        <v>2.65241952694827</v>
      </c>
      <c r="F502" s="16" t="n">
        <f aca="false" t="array" ref="F502:F502">IF(D502="","",IFERROR(INDEX(Dados_Evap!$C$2:$N$15,MATCH($B$9,Dados_Evap!$A$2:$A$15,0),C502),0))</f>
        <v>241.3</v>
      </c>
      <c r="G502" s="16" t="n">
        <f aca="false">IF(F502="","",F502/1000)</f>
        <v>0.2413</v>
      </c>
      <c r="H502" s="16" t="n">
        <f aca="false">IF(D502="","",MAX(0,MIN($B$8,IFERROR(LOOKUP(2,1/($U$24:U501&lt;&gt;""),$U$24:U501),$B$11))))</f>
        <v>153.618144238373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15.1727441935199</v>
      </c>
      <c r="J502" s="16" t="n">
        <f aca="false">IF(D502="","",$B$12)</f>
        <v>0.432</v>
      </c>
      <c r="K502" s="16" t="n">
        <f aca="false">IF(J502="","",J502*$B$15)</f>
        <v>1.119744</v>
      </c>
      <c r="L502" s="16" t="n">
        <f aca="false">IF(D502="","",H502+E502-K502-G502*I502)</f>
        <v>151.489636591425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15.0177744365081</v>
      </c>
      <c r="N502" s="16" t="n">
        <f aca="false">IF(D502="","",(I502+M502)/2)</f>
        <v>15.095259315014</v>
      </c>
      <c r="O502" s="16" t="n">
        <f aca="false">IF(D502="","",G502*N502)</f>
        <v>3.64248607271288</v>
      </c>
      <c r="P502" s="16" t="n">
        <f aca="false">IF(D502="","",H502+E502-K502-O502)</f>
        <v>151.508333692609</v>
      </c>
      <c r="Q502" s="16" t="n">
        <f aca="false">IF(D502="","",IF(P502&gt;=0,K502,MAX(0,K502+P502)))</f>
        <v>1.119744</v>
      </c>
      <c r="R502" s="16" t="n">
        <f aca="false">IF(D502="","",Q502/$B$15)</f>
        <v>0.432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151.508333692609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93.5236627732152</v>
      </c>
      <c r="Z502" s="18" t="n">
        <f aca="false">IF(D502="","",MAX(0,IF(P502&gt;=0,P502,IF(K502+P502&gt;=0,0,P502+K502))))</f>
        <v>151.508333692609</v>
      </c>
      <c r="AA502" s="18" t="n">
        <f aca="false">IF(D502="","",IF(H502&lt;=$B$16,1,IF(H502&gt;=$B$17,$B$21,MATCH(H502,Aux_CAV!$A$2:$A$121,1))))</f>
        <v>22</v>
      </c>
      <c r="AB502" s="18" t="n">
        <f aca="false">IF(D502="","",IF(L502&lt;=$B$16,1,IF(L502&gt;=$B$17,$B$21,MATCH(L502,Aux_CAV!$A$2:$A$121,1))))</f>
        <v>22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0.474481713971262</v>
      </c>
      <c r="E503" s="16" t="n">
        <f aca="false">IF(D503="","",D503*$B$15)</f>
        <v>1.22985660261351</v>
      </c>
      <c r="F503" s="16" t="n">
        <f aca="false" t="array" ref="F503:F503">IF(D503="","",IFERROR(INDEX(Dados_Evap!$C$2:$N$15,MATCH($B$9,Dados_Evap!$A$2:$A$15,0),C503),0))</f>
        <v>241.8</v>
      </c>
      <c r="G503" s="16" t="n">
        <f aca="false">IF(F503="","",F503/1000)</f>
        <v>0.2418</v>
      </c>
      <c r="H503" s="16" t="n">
        <f aca="false">IF(D503="","",MAX(0,MIN($B$8,IFERROR(LOOKUP(2,1/($U$24:U502&lt;&gt;""),$U$24:U502),$B$11))))</f>
        <v>151.508333692609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15.0191357119686</v>
      </c>
      <c r="J503" s="16" t="n">
        <f aca="false">IF(D503="","",$B$12)</f>
        <v>0.432</v>
      </c>
      <c r="K503" s="16" t="n">
        <f aca="false">IF(J503="","",J503*$B$15)</f>
        <v>1.119744</v>
      </c>
      <c r="L503" s="16" t="n">
        <f aca="false">IF(D503="","",H503+E503-K503-G503*I503)</f>
        <v>147.986819280068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14.7627456381028</v>
      </c>
      <c r="N503" s="16" t="n">
        <f aca="false">IF(D503="","",(I503+M503)/2)</f>
        <v>14.8909406750357</v>
      </c>
      <c r="O503" s="16" t="n">
        <f aca="false">IF(D503="","",G503*N503)</f>
        <v>3.60062945522363</v>
      </c>
      <c r="P503" s="16" t="n">
        <f aca="false">IF(D503="","",H503+E503-K503-O503)</f>
        <v>148.017816839998</v>
      </c>
      <c r="Q503" s="16" t="n">
        <f aca="false">IF(D503="","",IF(P503&gt;=0,K503,MAX(0,K503+P503)))</f>
        <v>1.119744</v>
      </c>
      <c r="R503" s="16" t="n">
        <f aca="false">IF(D503="","",Q503/$B$15)</f>
        <v>0.432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148.017816839998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91.3690227407398</v>
      </c>
      <c r="Z503" s="18" t="n">
        <f aca="false">IF(D503="","",MAX(0,IF(P503&gt;=0,P503,IF(K503+P503&gt;=0,0,P503+K503))))</f>
        <v>148.017816839998</v>
      </c>
      <c r="AA503" s="18" t="n">
        <f aca="false">IF(D503="","",IF(H503&lt;=$B$16,1,IF(H503&gt;=$B$17,$B$21,MATCH(H503,Aux_CAV!$A$2:$A$121,1))))</f>
        <v>22</v>
      </c>
      <c r="AB503" s="18" t="n">
        <f aca="false">IF(D503="","",IF(L503&lt;=$B$16,1,IF(L503&gt;=$B$17,$B$21,MATCH(L503,Aux_CAV!$A$2:$A$121,1))))</f>
        <v>22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0.809891547268014</v>
      </c>
      <c r="E504" s="16" t="n">
        <f aca="false">IF(D504="","",D504*$B$15)</f>
        <v>2.09923889051869</v>
      </c>
      <c r="F504" s="16" t="n">
        <f aca="false" t="array" ref="F504:F504">IF(D504="","",IFERROR(INDEX(Dados_Evap!$C$2:$N$15,MATCH($B$9,Dados_Evap!$A$2:$A$15,0),C504),0))</f>
        <v>189</v>
      </c>
      <c r="G504" s="16" t="n">
        <f aca="false">IF(F504="","",F504/1000)</f>
        <v>0.189</v>
      </c>
      <c r="H504" s="16" t="n">
        <f aca="false">IF(D504="","",MAX(0,MIN($B$8,IFERROR(LOOKUP(2,1/($U$24:U503&lt;&gt;""),$U$24:U503),$B$11))))</f>
        <v>148.017816839998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14.7650024701782</v>
      </c>
      <c r="J504" s="16" t="n">
        <f aca="false">IF(D504="","",$B$12)</f>
        <v>0.432</v>
      </c>
      <c r="K504" s="16" t="n">
        <f aca="false">IF(J504="","",J504*$B$15)</f>
        <v>1.119744</v>
      </c>
      <c r="L504" s="16" t="n">
        <f aca="false">IF(D504="","",H504+E504-K504-G504*I504)</f>
        <v>146.206726263653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14.6331428233759</v>
      </c>
      <c r="N504" s="16" t="n">
        <f aca="false">IF(D504="","",(I504+M504)/2)</f>
        <v>14.699072646777</v>
      </c>
      <c r="O504" s="16" t="n">
        <f aca="false">IF(D504="","",G504*N504)</f>
        <v>2.77812473024086</v>
      </c>
      <c r="P504" s="16" t="n">
        <f aca="false">IF(D504="","",H504+E504-K504-O504)</f>
        <v>146.219187000276</v>
      </c>
      <c r="Q504" s="16" t="n">
        <f aca="false">IF(D504="","",IF(P504&gt;=0,K504,MAX(0,K504+P504)))</f>
        <v>1.119744</v>
      </c>
      <c r="R504" s="16" t="n">
        <f aca="false">IF(D504="","",Q504/$B$15)</f>
        <v>0.432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146.219187000276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90.258757407578</v>
      </c>
      <c r="Z504" s="18" t="n">
        <f aca="false">IF(D504="","",MAX(0,IF(P504&gt;=0,P504,IF(K504+P504&gt;=0,0,P504+K504))))</f>
        <v>146.219187000276</v>
      </c>
      <c r="AA504" s="18" t="n">
        <f aca="false">IF(D504="","",IF(H504&lt;=$B$16,1,IF(H504&gt;=$B$17,$B$21,MATCH(H504,Aux_CAV!$A$2:$A$121,1))))</f>
        <v>22</v>
      </c>
      <c r="AB504" s="18" t="n">
        <f aca="false">IF(D504="","",IF(L504&lt;=$B$16,1,IF(L504&gt;=$B$17,$B$21,MATCH(L504,Aux_CAV!$A$2:$A$121,1))))</f>
        <v>22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1.91042245316152</v>
      </c>
      <c r="E505" s="16" t="n">
        <f aca="false">IF(D505="","",D505*$B$15)</f>
        <v>4.95181499859466</v>
      </c>
      <c r="F505" s="16" t="n">
        <f aca="false" t="array" ref="F505:F505">IF(D505="","",IFERROR(INDEX(Dados_Evap!$C$2:$N$15,MATCH($B$9,Dados_Evap!$A$2:$A$15,0),C505),0))</f>
        <v>136.9</v>
      </c>
      <c r="G505" s="16" t="n">
        <f aca="false">IF(F505="","",F505/1000)</f>
        <v>0.1369</v>
      </c>
      <c r="H505" s="16" t="n">
        <f aca="false">IF(D505="","",MAX(0,MIN($B$8,IFERROR(LOOKUP(2,1/($U$24:U504&lt;&gt;""),$U$24:U504),$B$11))))</f>
        <v>146.219187000276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14.6340500493045</v>
      </c>
      <c r="J505" s="16" t="n">
        <f aca="false">IF(D505="","",$B$12)</f>
        <v>0.432</v>
      </c>
      <c r="K505" s="16" t="n">
        <f aca="false">IF(J505="","",J505*$B$15)</f>
        <v>1.119744</v>
      </c>
      <c r="L505" s="16" t="n">
        <f aca="false">IF(D505="","",H505+E505-K505-G505*I505)</f>
        <v>148.047856547121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14.7671895640889</v>
      </c>
      <c r="N505" s="16" t="n">
        <f aca="false">IF(D505="","",(I505+M505)/2)</f>
        <v>14.7006198066967</v>
      </c>
      <c r="O505" s="16" t="n">
        <f aca="false">IF(D505="","",G505*N505)</f>
        <v>2.01251485153678</v>
      </c>
      <c r="P505" s="16" t="n">
        <f aca="false">IF(D505="","",H505+E505-K505-O505)</f>
        <v>148.038743147334</v>
      </c>
      <c r="Q505" s="16" t="n">
        <f aca="false">IF(D505="","",IF(P505&gt;=0,K505,MAX(0,K505+P505)))</f>
        <v>1.119744</v>
      </c>
      <c r="R505" s="16" t="n">
        <f aca="false">IF(D505="","",Q505/$B$15)</f>
        <v>0.432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148.038743147334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91.3819402144038</v>
      </c>
      <c r="Z505" s="18" t="n">
        <f aca="false">IF(D505="","",MAX(0,IF(P505&gt;=0,P505,IF(K505+P505&gt;=0,0,P505+K505))))</f>
        <v>148.038743147334</v>
      </c>
      <c r="AA505" s="18" t="n">
        <f aca="false">IF(D505="","",IF(H505&lt;=$B$16,1,IF(H505&gt;=$B$17,$B$21,MATCH(H505,Aux_CAV!$A$2:$A$121,1))))</f>
        <v>22</v>
      </c>
      <c r="AB505" s="18" t="n">
        <f aca="false">IF(D505="","",IF(L505&lt;=$B$16,1,IF(L505&gt;=$B$17,$B$21,MATCH(L505,Aux_CAV!$A$2:$A$121,1))))</f>
        <v>22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8.49833977518419</v>
      </c>
      <c r="E506" s="16" t="n">
        <f aca="false">IF(D506="","",D506*$B$15)</f>
        <v>22.0276966972774</v>
      </c>
      <c r="F506" s="16" t="n">
        <f aca="false" t="array" ref="F506:F506">IF(D506="","",IFERROR(INDEX(Dados_Evap!$C$2:$N$15,MATCH($B$9,Dados_Evap!$A$2:$A$15,0),C506),0))</f>
        <v>102.9</v>
      </c>
      <c r="G506" s="16" t="n">
        <f aca="false">IF(F506="","",F506/1000)</f>
        <v>0.1029</v>
      </c>
      <c r="H506" s="16" t="n">
        <f aca="false">IF(D506="","",MAX(0,MIN($B$8,IFERROR(LOOKUP(2,1/($U$24:U505&lt;&gt;""),$U$24:U505),$B$11))))</f>
        <v>148.038743147334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14.7665260469281</v>
      </c>
      <c r="J506" s="16" t="n">
        <f aca="false">IF(D506="","",$B$12)</f>
        <v>0.432</v>
      </c>
      <c r="K506" s="16" t="n">
        <f aca="false">IF(J506="","",J506*$B$15)</f>
        <v>1.119744</v>
      </c>
      <c r="L506" s="16" t="n">
        <f aca="false">IF(D506="","",H506+E506-K506-G506*I506)</f>
        <v>167.427220314383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16.1075994626126</v>
      </c>
      <c r="N506" s="16" t="n">
        <f aca="false">IF(D506="","",(I506+M506)/2)</f>
        <v>15.4370627547704</v>
      </c>
      <c r="O506" s="16" t="n">
        <f aca="false">IF(D506="","",G506*N506)</f>
        <v>1.58847375746587</v>
      </c>
      <c r="P506" s="16" t="n">
        <f aca="false">IF(D506="","",H506+E506-K506-O506)</f>
        <v>167.358222087146</v>
      </c>
      <c r="Q506" s="16" t="n">
        <f aca="false">IF(D506="","",IF(P506&gt;=0,K506,MAX(0,K506+P506)))</f>
        <v>1.119744</v>
      </c>
      <c r="R506" s="16" t="n">
        <f aca="false">IF(D506="","",Q506/$B$15)</f>
        <v>0.432</v>
      </c>
      <c r="S506" s="16" t="n">
        <f aca="false">IF(D506="","",MAX(0,J506-R506))</f>
        <v>0</v>
      </c>
      <c r="T506" s="16" t="n">
        <f aca="false">IF(D506="","",MAX(0,Z506-$B$8))</f>
        <v>5.35822208714572</v>
      </c>
      <c r="U506" s="16" t="n">
        <f aca="false">IF(D506="","",MAX(0,MIN($B$8,Z506)))</f>
        <v>162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100</v>
      </c>
      <c r="Z506" s="18" t="n">
        <f aca="false">IF(D506="","",MAX(0,IF(P506&gt;=0,P506,IF(K506+P506&gt;=0,0,P506+K506))))</f>
        <v>167.358222087146</v>
      </c>
      <c r="AA506" s="18" t="n">
        <f aca="false">IF(D506="","",IF(H506&lt;=$B$16,1,IF(H506&gt;=$B$17,$B$21,MATCH(H506,Aux_CAV!$A$2:$A$121,1))))</f>
        <v>22</v>
      </c>
      <c r="AB506" s="18" t="n">
        <f aca="false">IF(D506="","",IF(L506&lt;=$B$16,1,IF(L506&gt;=$B$17,$B$21,MATCH(L506,Aux_CAV!$A$2:$A$121,1))))</f>
        <v>23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33.8447907107174</v>
      </c>
      <c r="E507" s="16" t="n">
        <f aca="false">IF(D507="","",D507*$B$15)</f>
        <v>87.7256975221795</v>
      </c>
      <c r="F507" s="16" t="n">
        <f aca="false" t="array" ref="F507:F507">IF(D507="","",IFERROR(INDEX(Dados_Evap!$C$2:$N$15,MATCH($B$9,Dados_Evap!$A$2:$A$15,0),C507),0))</f>
        <v>81.8</v>
      </c>
      <c r="G507" s="16" t="n">
        <f aca="false">IF(F507="","",F507/1000)</f>
        <v>0.0818</v>
      </c>
      <c r="H507" s="16" t="n">
        <f aca="false">IF(D507="","",MAX(0,MIN($B$8,IFERROR(LOOKUP(2,1/($U$24:U506&lt;&gt;""),$U$24:U506),$B$11))))</f>
        <v>162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15.783</v>
      </c>
      <c r="J507" s="16" t="n">
        <f aca="false">IF(D507="","",$B$12)</f>
        <v>0.432</v>
      </c>
      <c r="K507" s="16" t="n">
        <f aca="false">IF(J507="","",J507*$B$15)</f>
        <v>1.119744</v>
      </c>
      <c r="L507" s="16" t="n">
        <f aca="false">IF(D507="","",H507+E507-K507-G507*I507)</f>
        <v>247.31490412218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20.8856437894027</v>
      </c>
      <c r="N507" s="16" t="n">
        <f aca="false">IF(D507="","",(I507+M507)/2)</f>
        <v>18.3343218947014</v>
      </c>
      <c r="O507" s="16" t="n">
        <f aca="false">IF(D507="","",G507*N507)</f>
        <v>1.49974753098657</v>
      </c>
      <c r="P507" s="16" t="n">
        <f aca="false">IF(D507="","",H507+E507-K507-O507)</f>
        <v>247.106205991193</v>
      </c>
      <c r="Q507" s="16" t="n">
        <f aca="false">IF(D507="","",IF(P507&gt;=0,K507,MAX(0,K507+P507)))</f>
        <v>1.119744</v>
      </c>
      <c r="R507" s="16" t="n">
        <f aca="false">IF(D507="","",Q507/$B$15)</f>
        <v>0.432</v>
      </c>
      <c r="S507" s="16" t="n">
        <f aca="false">IF(D507="","",MAX(0,J507-R507))</f>
        <v>0</v>
      </c>
      <c r="T507" s="16" t="n">
        <f aca="false">IF(D507="","",MAX(0,Z507-$B$8))</f>
        <v>85.1062059911929</v>
      </c>
      <c r="U507" s="16" t="n">
        <f aca="false">IF(D507="","",MAX(0,MIN($B$8,Z507)))</f>
        <v>162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100</v>
      </c>
      <c r="Z507" s="18" t="n">
        <f aca="false">IF(D507="","",MAX(0,IF(P507&gt;=0,P507,IF(K507+P507&gt;=0,0,P507+K507))))</f>
        <v>247.106205991193</v>
      </c>
      <c r="AA507" s="18" t="n">
        <f aca="false">IF(D507="","",IF(H507&lt;=$B$16,1,IF(H507&gt;=$B$17,$B$21,MATCH(H507,Aux_CAV!$A$2:$A$121,1))))</f>
        <v>23</v>
      </c>
      <c r="AB507" s="18" t="n">
        <f aca="false">IF(D507="","",IF(L507&lt;=$B$16,1,IF(L507&gt;=$B$17,$B$21,MATCH(L507,Aux_CAV!$A$2:$A$121,1))))</f>
        <v>23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21.1890217733639</v>
      </c>
      <c r="E508" s="16" t="n">
        <f aca="false">IF(D508="","",D508*$B$15)</f>
        <v>54.9219444365592</v>
      </c>
      <c r="F508" s="16" t="n">
        <f aca="false" t="array" ref="F508:F508">IF(D508="","",IFERROR(INDEX(Dados_Evap!$C$2:$N$15,MATCH($B$9,Dados_Evap!$A$2:$A$15,0),C508),0))</f>
        <v>83.6</v>
      </c>
      <c r="G508" s="16" t="n">
        <f aca="false">IF(F508="","",F508/1000)</f>
        <v>0.0836</v>
      </c>
      <c r="H508" s="16" t="n">
        <f aca="false">IF(D508="","",MAX(0,MIN($B$8,IFERROR(LOOKUP(2,1/($U$24:U507&lt;&gt;""),$U$24:U507),$B$11))))</f>
        <v>162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15.783</v>
      </c>
      <c r="J508" s="16" t="n">
        <f aca="false">IF(D508="","",$B$12)</f>
        <v>0.432</v>
      </c>
      <c r="K508" s="16" t="n">
        <f aca="false">IF(J508="","",J508*$B$15)</f>
        <v>1.119744</v>
      </c>
      <c r="L508" s="16" t="n">
        <f aca="false">IF(D508="","",H508+E508-K508-G508*I508)</f>
        <v>214.482741636559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18.9219677855009</v>
      </c>
      <c r="N508" s="16" t="n">
        <f aca="false">IF(D508="","",(I508+M508)/2)</f>
        <v>17.3524838927504</v>
      </c>
      <c r="O508" s="16" t="n">
        <f aca="false">IF(D508="","",G508*N508)</f>
        <v>1.45066765343394</v>
      </c>
      <c r="P508" s="16" t="n">
        <f aca="false">IF(D508="","",H508+E508-K508-O508)</f>
        <v>214.351532783125</v>
      </c>
      <c r="Q508" s="16" t="n">
        <f aca="false">IF(D508="","",IF(P508&gt;=0,K508,MAX(0,K508+P508)))</f>
        <v>1.119744</v>
      </c>
      <c r="R508" s="16" t="n">
        <f aca="false">IF(D508="","",Q508/$B$15)</f>
        <v>0.432</v>
      </c>
      <c r="S508" s="16" t="n">
        <f aca="false">IF(D508="","",MAX(0,J508-R508))</f>
        <v>0</v>
      </c>
      <c r="T508" s="16" t="n">
        <f aca="false">IF(D508="","",MAX(0,Z508-$B$8))</f>
        <v>52.3515327831253</v>
      </c>
      <c r="U508" s="16" t="n">
        <f aca="false">IF(D508="","",MAX(0,MIN($B$8,Z508)))</f>
        <v>162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100</v>
      </c>
      <c r="Z508" s="18" t="n">
        <f aca="false">IF(D508="","",MAX(0,IF(P508&gt;=0,P508,IF(K508+P508&gt;=0,0,P508+K508))))</f>
        <v>214.351532783125</v>
      </c>
      <c r="AA508" s="18" t="n">
        <f aca="false">IF(D508="","",IF(H508&lt;=$B$16,1,IF(H508&gt;=$B$17,$B$21,MATCH(H508,Aux_CAV!$A$2:$A$121,1))))</f>
        <v>23</v>
      </c>
      <c r="AB508" s="18" t="n">
        <f aca="false">IF(D508="","",IF(L508&lt;=$B$16,1,IF(L508&gt;=$B$17,$B$21,MATCH(L508,Aux_CAV!$A$2:$A$121,1))))</f>
        <v>23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1.64969295479056</v>
      </c>
      <c r="E509" s="16" t="n">
        <f aca="false">IF(D509="","",D509*$B$15)</f>
        <v>4.27600413881713</v>
      </c>
      <c r="F509" s="16" t="n">
        <f aca="false" t="array" ref="F509:F509">IF(D509="","",IFERROR(INDEX(Dados_Evap!$C$2:$N$15,MATCH($B$9,Dados_Evap!$A$2:$A$15,0),C509),0))</f>
        <v>108.2</v>
      </c>
      <c r="G509" s="16" t="n">
        <f aca="false">IF(F509="","",F509/1000)</f>
        <v>0.1082</v>
      </c>
      <c r="H509" s="16" t="n">
        <f aca="false">IF(D509="","",MAX(0,MIN($B$8,IFERROR(LOOKUP(2,1/($U$24:U508&lt;&gt;""),$U$24:U508),$B$11))))</f>
        <v>162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15.783</v>
      </c>
      <c r="J509" s="16" t="n">
        <f aca="false">IF(D509="","",$B$12)</f>
        <v>0.432</v>
      </c>
      <c r="K509" s="16" t="n">
        <f aca="false">IF(J509="","",J509*$B$15)</f>
        <v>1.119744</v>
      </c>
      <c r="L509" s="16" t="n">
        <f aca="false">IF(D509="","",H509+E509-K509-G509*I509)</f>
        <v>163.448539538817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15.8696364600359</v>
      </c>
      <c r="N509" s="16" t="n">
        <f aca="false">IF(D509="","",(I509+M509)/2)</f>
        <v>15.826318230018</v>
      </c>
      <c r="O509" s="16" t="n">
        <f aca="false">IF(D509="","",G509*N509)</f>
        <v>1.71240763248794</v>
      </c>
      <c r="P509" s="16" t="n">
        <f aca="false">IF(D509="","",H509+E509-K509-O509)</f>
        <v>163.443852506329</v>
      </c>
      <c r="Q509" s="16" t="n">
        <f aca="false">IF(D509="","",IF(P509&gt;=0,K509,MAX(0,K509+P509)))</f>
        <v>1.119744</v>
      </c>
      <c r="R509" s="16" t="n">
        <f aca="false">IF(D509="","",Q509/$B$15)</f>
        <v>0.432</v>
      </c>
      <c r="S509" s="16" t="n">
        <f aca="false">IF(D509="","",MAX(0,J509-R509))</f>
        <v>0</v>
      </c>
      <c r="T509" s="16" t="n">
        <f aca="false">IF(D509="","",MAX(0,Z509-$B$8))</f>
        <v>1.44385250632919</v>
      </c>
      <c r="U509" s="16" t="n">
        <f aca="false">IF(D509="","",MAX(0,MIN($B$8,Z509)))</f>
        <v>162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100</v>
      </c>
      <c r="Z509" s="18" t="n">
        <f aca="false">IF(D509="","",MAX(0,IF(P509&gt;=0,P509,IF(K509+P509&gt;=0,0,P509+K509))))</f>
        <v>163.443852506329</v>
      </c>
      <c r="AA509" s="18" t="n">
        <f aca="false">IF(D509="","",IF(H509&lt;=$B$16,1,IF(H509&gt;=$B$17,$B$21,MATCH(H509,Aux_CAV!$A$2:$A$121,1))))</f>
        <v>23</v>
      </c>
      <c r="AB509" s="18" t="n">
        <f aca="false">IF(D509="","",IF(L509&lt;=$B$16,1,IF(L509&gt;=$B$17,$B$21,MATCH(L509,Aux_CAV!$A$2:$A$121,1))))</f>
        <v>23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1.41421089179755</v>
      </c>
      <c r="E510" s="16" t="n">
        <f aca="false">IF(D510="","",D510*$B$15)</f>
        <v>3.66563463153925</v>
      </c>
      <c r="F510" s="16" t="n">
        <f aca="false" t="array" ref="F510:F510">IF(D510="","",IFERROR(INDEX(Dados_Evap!$C$2:$N$15,MATCH($B$9,Dados_Evap!$A$2:$A$15,0),C510),0))</f>
        <v>149</v>
      </c>
      <c r="G510" s="16" t="n">
        <f aca="false">IF(F510="","",F510/1000)</f>
        <v>0.149</v>
      </c>
      <c r="H510" s="16" t="n">
        <f aca="false">IF(D510="","",MAX(0,MIN($B$8,IFERROR(LOOKUP(2,1/($U$24:U509&lt;&gt;""),$U$24:U509),$B$11))))</f>
        <v>162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15.783</v>
      </c>
      <c r="J510" s="16" t="n">
        <f aca="false">IF(D510="","",$B$12)</f>
        <v>0.432</v>
      </c>
      <c r="K510" s="16" t="n">
        <f aca="false">IF(J510="","",J510*$B$15)</f>
        <v>1.119744</v>
      </c>
      <c r="L510" s="16" t="n">
        <f aca="false">IF(D510="","",H510+E510-K510-G510*I510)</f>
        <v>162.194223631539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15.7946164229149</v>
      </c>
      <c r="N510" s="16" t="n">
        <f aca="false">IF(D510="","",(I510+M510)/2)</f>
        <v>15.7888082114575</v>
      </c>
      <c r="O510" s="16" t="n">
        <f aca="false">IF(D510="","",G510*N510)</f>
        <v>2.35253242350716</v>
      </c>
      <c r="P510" s="16" t="n">
        <f aca="false">IF(D510="","",H510+E510-K510-O510)</f>
        <v>162.193358208032</v>
      </c>
      <c r="Q510" s="16" t="n">
        <f aca="false">IF(D510="","",IF(P510&gt;=0,K510,MAX(0,K510+P510)))</f>
        <v>1.119744</v>
      </c>
      <c r="R510" s="16" t="n">
        <f aca="false">IF(D510="","",Q510/$B$15)</f>
        <v>0.432</v>
      </c>
      <c r="S510" s="16" t="n">
        <f aca="false">IF(D510="","",MAX(0,J510-R510))</f>
        <v>0</v>
      </c>
      <c r="T510" s="16" t="n">
        <f aca="false">IF(D510="","",MAX(0,Z510-$B$8))</f>
        <v>0.193358208032095</v>
      </c>
      <c r="U510" s="16" t="n">
        <f aca="false">IF(D510="","",MAX(0,MIN($B$8,Z510)))</f>
        <v>162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100</v>
      </c>
      <c r="Z510" s="18" t="n">
        <f aca="false">IF(D510="","",MAX(0,IF(P510&gt;=0,P510,IF(K510+P510&gt;=0,0,P510+K510))))</f>
        <v>162.193358208032</v>
      </c>
      <c r="AA510" s="18" t="n">
        <f aca="false">IF(D510="","",IF(H510&lt;=$B$16,1,IF(H510&gt;=$B$17,$B$21,MATCH(H510,Aux_CAV!$A$2:$A$121,1))))</f>
        <v>23</v>
      </c>
      <c r="AB510" s="18" t="n">
        <f aca="false">IF(D510="","",IF(L510&lt;=$B$16,1,IF(L510&gt;=$B$17,$B$21,MATCH(L510,Aux_CAV!$A$2:$A$121,1))))</f>
        <v>23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0.798161211358363</v>
      </c>
      <c r="E511" s="16" t="n">
        <f aca="false">IF(D511="","",D511*$B$15)</f>
        <v>2.06883385984088</v>
      </c>
      <c r="F511" s="16" t="n">
        <f aca="false" t="array" ref="F511:F511">IF(D511="","",IFERROR(INDEX(Dados_Evap!$C$2:$N$15,MATCH($B$9,Dados_Evap!$A$2:$A$15,0),C511),0))</f>
        <v>206.8</v>
      </c>
      <c r="G511" s="16" t="n">
        <f aca="false">IF(F511="","",F511/1000)</f>
        <v>0.2068</v>
      </c>
      <c r="H511" s="16" t="n">
        <f aca="false">IF(D511="","",MAX(0,MIN($B$8,IFERROR(LOOKUP(2,1/($U$24:U510&lt;&gt;""),$U$24:U510),$B$11))))</f>
        <v>162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15.783</v>
      </c>
      <c r="J511" s="16" t="n">
        <f aca="false">IF(D511="","",$B$12)</f>
        <v>0.432</v>
      </c>
      <c r="K511" s="16" t="n">
        <f aca="false">IF(J511="","",J511*$B$15)</f>
        <v>1.119744</v>
      </c>
      <c r="L511" s="16" t="n">
        <f aca="false">IF(D511="","",H511+E511-K511-G511*I511)</f>
        <v>159.685165459841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15.614464384577</v>
      </c>
      <c r="N511" s="16" t="n">
        <f aca="false">IF(D511="","",(I511+M511)/2)</f>
        <v>15.6987321922885</v>
      </c>
      <c r="O511" s="16" t="n">
        <f aca="false">IF(D511="","",G511*N511)</f>
        <v>3.24649781736526</v>
      </c>
      <c r="P511" s="16" t="n">
        <f aca="false">IF(D511="","",H511+E511-K511-O511)</f>
        <v>159.702592042476</v>
      </c>
      <c r="Q511" s="16" t="n">
        <f aca="false">IF(D511="","",IF(P511&gt;=0,K511,MAX(0,K511+P511)))</f>
        <v>1.119744</v>
      </c>
      <c r="R511" s="16" t="n">
        <f aca="false">IF(D511="","",Q511/$B$15)</f>
        <v>0.432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159.702592042476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98.5818469397998</v>
      </c>
      <c r="Z511" s="18" t="n">
        <f aca="false">IF(D511="","",MAX(0,IF(P511&gt;=0,P511,IF(K511+P511&gt;=0,0,P511+K511))))</f>
        <v>159.702592042476</v>
      </c>
      <c r="AA511" s="18" t="n">
        <f aca="false">IF(D511="","",IF(H511&lt;=$B$16,1,IF(H511&gt;=$B$17,$B$21,MATCH(H511,Aux_CAV!$A$2:$A$121,1))))</f>
        <v>23</v>
      </c>
      <c r="AB511" s="18" t="n">
        <f aca="false">IF(D511="","",IF(L511&lt;=$B$16,1,IF(L511&gt;=$B$17,$B$21,MATCH(L511,Aux_CAV!$A$2:$A$121,1))))</f>
        <v>22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0.814485970246279</v>
      </c>
      <c r="E512" s="16" t="n">
        <f aca="false">IF(D512="","",D512*$B$15)</f>
        <v>2.11114763487836</v>
      </c>
      <c r="F512" s="16" t="n">
        <f aca="false" t="array" ref="F512:F512">IF(D512="","",IFERROR(INDEX(Dados_Evap!$C$2:$N$15,MATCH($B$9,Dados_Evap!$A$2:$A$15,0),C512),0))</f>
        <v>245.9</v>
      </c>
      <c r="G512" s="16" t="n">
        <f aca="false">IF(F512="","",F512/1000)</f>
        <v>0.2459</v>
      </c>
      <c r="H512" s="16" t="n">
        <f aca="false">IF(D512="","",MAX(0,MIN($B$8,IFERROR(LOOKUP(2,1/($U$24:U511&lt;&gt;""),$U$24:U511),$B$11))))</f>
        <v>159.702592042476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15.6157331576915</v>
      </c>
      <c r="J512" s="16" t="n">
        <f aca="false">IF(D512="","",$B$12)</f>
        <v>0.432</v>
      </c>
      <c r="K512" s="16" t="n">
        <f aca="false">IF(J512="","",J512*$B$15)</f>
        <v>1.119744</v>
      </c>
      <c r="L512" s="16" t="n">
        <f aca="false">IF(D512="","",H512+E512-K512-G512*I512)</f>
        <v>156.854086893878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15.4083427114518</v>
      </c>
      <c r="N512" s="16" t="n">
        <f aca="false">IF(D512="","",(I512+M512)/2)</f>
        <v>15.5120379345717</v>
      </c>
      <c r="O512" s="16" t="n">
        <f aca="false">IF(D512="","",G512*N512)</f>
        <v>3.81441012811117</v>
      </c>
      <c r="P512" s="16" t="n">
        <f aca="false">IF(D512="","",H512+E512-K512-O512)</f>
        <v>156.879585549243</v>
      </c>
      <c r="Q512" s="16" t="n">
        <f aca="false">IF(D512="","",IF(P512&gt;=0,K512,MAX(0,K512+P512)))</f>
        <v>1.119744</v>
      </c>
      <c r="R512" s="16" t="n">
        <f aca="false">IF(D512="","",Q512/$B$15)</f>
        <v>0.432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156.879585549243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96.8392503390388</v>
      </c>
      <c r="Z512" s="18" t="n">
        <f aca="false">IF(D512="","",MAX(0,IF(P512&gt;=0,P512,IF(K512+P512&gt;=0,0,P512+K512))))</f>
        <v>156.879585549243</v>
      </c>
      <c r="AA512" s="18" t="n">
        <f aca="false">IF(D512="","",IF(H512&lt;=$B$16,1,IF(H512&gt;=$B$17,$B$21,MATCH(H512,Aux_CAV!$A$2:$A$121,1))))</f>
        <v>22</v>
      </c>
      <c r="AB512" s="18" t="n">
        <f aca="false">IF(D512="","",IF(L512&lt;=$B$16,1,IF(L512&gt;=$B$17,$B$21,MATCH(L512,Aux_CAV!$A$2:$A$121,1))))</f>
        <v>22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0.949580148705934</v>
      </c>
      <c r="E513" s="16" t="n">
        <f aca="false">IF(D513="","",D513*$B$15)</f>
        <v>2.46131174544578</v>
      </c>
      <c r="F513" s="16" t="n">
        <f aca="false" t="array" ref="F513:F513">IF(D513="","",IFERROR(INDEX(Dados_Evap!$C$2:$N$15,MATCH($B$9,Dados_Evap!$A$2:$A$15,0),C513),0))</f>
        <v>282.3</v>
      </c>
      <c r="G513" s="16" t="n">
        <f aca="false">IF(F513="","",F513/1000)</f>
        <v>0.2823</v>
      </c>
      <c r="H513" s="16" t="n">
        <f aca="false">IF(D513="","",MAX(0,MIN($B$8,IFERROR(LOOKUP(2,1/($U$24:U512&lt;&gt;""),$U$24:U512),$B$11))))</f>
        <v>156.879585549243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15.4101991860723</v>
      </c>
      <c r="J513" s="16" t="n">
        <f aca="false">IF(D513="","",$B$12)</f>
        <v>0.432</v>
      </c>
      <c r="K513" s="16" t="n">
        <f aca="false">IF(J513="","",J513*$B$15)</f>
        <v>1.119744</v>
      </c>
      <c r="L513" s="16" t="n">
        <f aca="false">IF(D513="","",H513+E513-K513-G513*I513)</f>
        <v>153.87085406446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15.191143178555</v>
      </c>
      <c r="N513" s="16" t="n">
        <f aca="false">IF(D513="","",(I513+M513)/2)</f>
        <v>15.3006711823137</v>
      </c>
      <c r="O513" s="16" t="n">
        <f aca="false">IF(D513="","",G513*N513)</f>
        <v>4.31937947476714</v>
      </c>
      <c r="P513" s="16" t="n">
        <f aca="false">IF(D513="","",H513+E513-K513-O513)</f>
        <v>153.901773819921</v>
      </c>
      <c r="Q513" s="16" t="n">
        <f aca="false">IF(D513="","",IF(P513&gt;=0,K513,MAX(0,K513+P513)))</f>
        <v>1.119744</v>
      </c>
      <c r="R513" s="16" t="n">
        <f aca="false">IF(D513="","",Q513/$B$15)</f>
        <v>0.432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153.901773819921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95.0010949505688</v>
      </c>
      <c r="Z513" s="18" t="n">
        <f aca="false">IF(D513="","",MAX(0,IF(P513&gt;=0,P513,IF(K513+P513&gt;=0,0,P513+K513))))</f>
        <v>153.901773819921</v>
      </c>
      <c r="AA513" s="18" t="n">
        <f aca="false">IF(D513="","",IF(H513&lt;=$B$16,1,IF(H513&gt;=$B$17,$B$21,MATCH(H513,Aux_CAV!$A$2:$A$121,1))))</f>
        <v>22</v>
      </c>
      <c r="AB513" s="18" t="n">
        <f aca="false">IF(D513="","",IF(L513&lt;=$B$16,1,IF(L513&gt;=$B$17,$B$21,MATCH(L513,Aux_CAV!$A$2:$A$121,1))))</f>
        <v>22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0.773864072273937</v>
      </c>
      <c r="E514" s="16" t="n">
        <f aca="false">IF(D514="","",D514*$B$15)</f>
        <v>2.00585567533405</v>
      </c>
      <c r="F514" s="16" t="n">
        <f aca="false" t="array" ref="F514:F514">IF(D514="","",IFERROR(INDEX(Dados_Evap!$C$2:$N$15,MATCH($B$9,Dados_Evap!$A$2:$A$15,0),C514),0))</f>
        <v>241.3</v>
      </c>
      <c r="G514" s="16" t="n">
        <f aca="false">IF(F514="","",F514/1000)</f>
        <v>0.2413</v>
      </c>
      <c r="H514" s="16" t="n">
        <f aca="false">IF(D514="","",MAX(0,MIN($B$8,IFERROR(LOOKUP(2,1/($U$24:U513&lt;&gt;""),$U$24:U513),$B$11))))</f>
        <v>153.901773819921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15.1933943459387</v>
      </c>
      <c r="J514" s="16" t="n">
        <f aca="false">IF(D514="","",$B$12)</f>
        <v>0.432</v>
      </c>
      <c r="K514" s="16" t="n">
        <f aca="false">IF(J514="","",J514*$B$15)</f>
        <v>1.119744</v>
      </c>
      <c r="L514" s="16" t="n">
        <f aca="false">IF(D514="","",H514+E514-K514-G514*I514)</f>
        <v>151.121719439581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14.9909875787284</v>
      </c>
      <c r="N514" s="16" t="n">
        <f aca="false">IF(D514="","",(I514+M514)/2)</f>
        <v>15.0921909623335</v>
      </c>
      <c r="O514" s="16" t="n">
        <f aca="false">IF(D514="","",G514*N514)</f>
        <v>3.64174567921108</v>
      </c>
      <c r="P514" s="16" t="n">
        <f aca="false">IF(D514="","",H514+E514-K514-O514)</f>
        <v>151.146139816044</v>
      </c>
      <c r="Q514" s="16" t="n">
        <f aca="false">IF(D514="","",IF(P514&gt;=0,K514,MAX(0,K514+P514)))</f>
        <v>1.119744</v>
      </c>
      <c r="R514" s="16" t="n">
        <f aca="false">IF(D514="","",Q514/$B$15)</f>
        <v>0.432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151.146139816044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93.3000863062003</v>
      </c>
      <c r="Z514" s="18" t="n">
        <f aca="false">IF(D514="","",MAX(0,IF(P514&gt;=0,P514,IF(K514+P514&gt;=0,0,P514+K514))))</f>
        <v>151.146139816044</v>
      </c>
      <c r="AA514" s="18" t="n">
        <f aca="false">IF(D514="","",IF(H514&lt;=$B$16,1,IF(H514&gt;=$B$17,$B$21,MATCH(H514,Aux_CAV!$A$2:$A$121,1))))</f>
        <v>22</v>
      </c>
      <c r="AB514" s="18" t="n">
        <f aca="false">IF(D514="","",IF(L514&lt;=$B$16,1,IF(L514&gt;=$B$17,$B$21,MATCH(L514,Aux_CAV!$A$2:$A$121,1))))</f>
        <v>22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0.711378596381425</v>
      </c>
      <c r="E515" s="16" t="n">
        <f aca="false">IF(D515="","",D515*$B$15)</f>
        <v>1.84389332182065</v>
      </c>
      <c r="F515" s="16" t="n">
        <f aca="false" t="array" ref="F515:F515">IF(D515="","",IFERROR(INDEX(Dados_Evap!$C$2:$N$15,MATCH($B$9,Dados_Evap!$A$2:$A$15,0),C515),0))</f>
        <v>241.8</v>
      </c>
      <c r="G515" s="16" t="n">
        <f aca="false">IF(F515="","",F515/1000)</f>
        <v>0.2418</v>
      </c>
      <c r="H515" s="16" t="n">
        <f aca="false">IF(D515="","",MAX(0,MIN($B$8,IFERROR(LOOKUP(2,1/($U$24:U514&lt;&gt;""),$U$24:U514),$B$11))))</f>
        <v>151.146139816044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14.9927655473498</v>
      </c>
      <c r="J515" s="16" t="n">
        <f aca="false">IF(D515="","",$B$12)</f>
        <v>0.432</v>
      </c>
      <c r="K515" s="16" t="n">
        <f aca="false">IF(J515="","",J515*$B$15)</f>
        <v>1.119744</v>
      </c>
      <c r="L515" s="16" t="n">
        <f aca="false">IF(D515="","",H515+E515-K515-G515*I515)</f>
        <v>148.245038428516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14.7815457390788</v>
      </c>
      <c r="N515" s="16" t="n">
        <f aca="false">IF(D515="","",(I515+M515)/2)</f>
        <v>14.8871556432143</v>
      </c>
      <c r="O515" s="16" t="n">
        <f aca="false">IF(D515="","",G515*N515)</f>
        <v>3.59971423452922</v>
      </c>
      <c r="P515" s="16" t="n">
        <f aca="false">IF(D515="","",H515+E515-K515-O515)</f>
        <v>148.270574903336</v>
      </c>
      <c r="Q515" s="16" t="n">
        <f aca="false">IF(D515="","",IF(P515&gt;=0,K515,MAX(0,K515+P515)))</f>
        <v>1.119744</v>
      </c>
      <c r="R515" s="16" t="n">
        <f aca="false">IF(D515="","",Q515/$B$15)</f>
        <v>0.432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148.270574903336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91.5250462366271</v>
      </c>
      <c r="Z515" s="18" t="n">
        <f aca="false">IF(D515="","",MAX(0,IF(P515&gt;=0,P515,IF(K515+P515&gt;=0,0,P515+K515))))</f>
        <v>148.270574903336</v>
      </c>
      <c r="AA515" s="18" t="n">
        <f aca="false">IF(D515="","",IF(H515&lt;=$B$16,1,IF(H515&gt;=$B$17,$B$21,MATCH(H515,Aux_CAV!$A$2:$A$121,1))))</f>
        <v>22</v>
      </c>
      <c r="AB515" s="18" t="n">
        <f aca="false">IF(D515="","",IF(L515&lt;=$B$16,1,IF(L515&gt;=$B$17,$B$21,MATCH(L515,Aux_CAV!$A$2:$A$121,1))))</f>
        <v>22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0.785775862645156</v>
      </c>
      <c r="E516" s="16" t="n">
        <f aca="false">IF(D516="","",D516*$B$15)</f>
        <v>2.03673103597624</v>
      </c>
      <c r="F516" s="16" t="n">
        <f aca="false" t="array" ref="F516:F516">IF(D516="","",IFERROR(INDEX(Dados_Evap!$C$2:$N$15,MATCH($B$9,Dados_Evap!$A$2:$A$15,0),C516),0))</f>
        <v>189</v>
      </c>
      <c r="G516" s="16" t="n">
        <f aca="false">IF(F516="","",F516/1000)</f>
        <v>0.189</v>
      </c>
      <c r="H516" s="16" t="n">
        <f aca="false">IF(D516="","",MAX(0,MIN($B$8,IFERROR(LOOKUP(2,1/($U$24:U515&lt;&gt;""),$U$24:U515),$B$11))))</f>
        <v>148.270574903336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14.7834049672114</v>
      </c>
      <c r="J516" s="16" t="n">
        <f aca="false">IF(D516="","",$B$12)</f>
        <v>0.432</v>
      </c>
      <c r="K516" s="16" t="n">
        <f aca="false">IF(J516="","",J516*$B$15)</f>
        <v>1.119744</v>
      </c>
      <c r="L516" s="16" t="n">
        <f aca="false">IF(D516="","",H516+E516-K516-G516*I516)</f>
        <v>146.393498400509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14.6467410985367</v>
      </c>
      <c r="N516" s="16" t="n">
        <f aca="false">IF(D516="","",(I516+M516)/2)</f>
        <v>14.7150730328741</v>
      </c>
      <c r="O516" s="16" t="n">
        <f aca="false">IF(D516="","",G516*N516)</f>
        <v>2.7811488032132</v>
      </c>
      <c r="P516" s="16" t="n">
        <f aca="false">IF(D516="","",H516+E516-K516-O516)</f>
        <v>146.406413136099</v>
      </c>
      <c r="Q516" s="16" t="n">
        <f aca="false">IF(D516="","",IF(P516&gt;=0,K516,MAX(0,K516+P516)))</f>
        <v>1.119744</v>
      </c>
      <c r="R516" s="16" t="n">
        <f aca="false">IF(D516="","",Q516/$B$15)</f>
        <v>0.432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146.406413136099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90.3743290963573</v>
      </c>
      <c r="Z516" s="18" t="n">
        <f aca="false">IF(D516="","",MAX(0,IF(P516&gt;=0,P516,IF(K516+P516&gt;=0,0,P516+K516))))</f>
        <v>146.406413136099</v>
      </c>
      <c r="AA516" s="18" t="n">
        <f aca="false">IF(D516="","",IF(H516&lt;=$B$16,1,IF(H516&gt;=$B$17,$B$21,MATCH(H516,Aux_CAV!$A$2:$A$121,1))))</f>
        <v>22</v>
      </c>
      <c r="AB516" s="18" t="n">
        <f aca="false">IF(D516="","",IF(L516&lt;=$B$16,1,IF(L516&gt;=$B$17,$B$21,MATCH(L516,Aux_CAV!$A$2:$A$121,1))))</f>
        <v>22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0.658247480979296</v>
      </c>
      <c r="E517" s="16" t="n">
        <f aca="false">IF(D517="","",D517*$B$15)</f>
        <v>1.70617747069834</v>
      </c>
      <c r="F517" s="16" t="n">
        <f aca="false" t="array" ref="F517:F517">IF(D517="","",IFERROR(INDEX(Dados_Evap!$C$2:$N$15,MATCH($B$9,Dados_Evap!$A$2:$A$15,0),C517),0))</f>
        <v>136.9</v>
      </c>
      <c r="G517" s="16" t="n">
        <f aca="false">IF(F517="","",F517/1000)</f>
        <v>0.1369</v>
      </c>
      <c r="H517" s="16" t="n">
        <f aca="false">IF(D517="","",MAX(0,MIN($B$8,IFERROR(LOOKUP(2,1/($U$24:U516&lt;&gt;""),$U$24:U516),$B$11))))</f>
        <v>146.406413136099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14.6476813786617</v>
      </c>
      <c r="J517" s="16" t="n">
        <f aca="false">IF(D517="","",$B$12)</f>
        <v>0.432</v>
      </c>
      <c r="K517" s="16" t="n">
        <f aca="false">IF(J517="","",J517*$B$15)</f>
        <v>1.119744</v>
      </c>
      <c r="L517" s="16" t="n">
        <f aca="false">IF(D517="","",H517+E517-K517-G517*I517)</f>
        <v>144.987579026058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14.5443806563982</v>
      </c>
      <c r="N517" s="16" t="n">
        <f aca="false">IF(D517="","",(I517+M517)/2)</f>
        <v>14.5960310175299</v>
      </c>
      <c r="O517" s="16" t="n">
        <f aca="false">IF(D517="","",G517*N517)</f>
        <v>1.99819664629985</v>
      </c>
      <c r="P517" s="16" t="n">
        <f aca="false">IF(D517="","",H517+E517-K517-O517)</f>
        <v>144.994649960497</v>
      </c>
      <c r="Q517" s="16" t="n">
        <f aca="false">IF(D517="","",IF(P517&gt;=0,K517,MAX(0,K517+P517)))</f>
        <v>1.119744</v>
      </c>
      <c r="R517" s="16" t="n">
        <f aca="false">IF(D517="","",Q517/$B$15)</f>
        <v>0.432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144.994649960497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89.502870345986</v>
      </c>
      <c r="Z517" s="18" t="n">
        <f aca="false">IF(D517="","",MAX(0,IF(P517&gt;=0,P517,IF(K517+P517&gt;=0,0,P517+K517))))</f>
        <v>144.994649960497</v>
      </c>
      <c r="AA517" s="18" t="n">
        <f aca="false">IF(D517="","",IF(H517&lt;=$B$16,1,IF(H517&gt;=$B$17,$B$21,MATCH(H517,Aux_CAV!$A$2:$A$121,1))))</f>
        <v>22</v>
      </c>
      <c r="AB517" s="18" t="n">
        <f aca="false">IF(D517="","",IF(L517&lt;=$B$16,1,IF(L517&gt;=$B$17,$B$21,MATCH(L517,Aux_CAV!$A$2:$A$121,1))))</f>
        <v>22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0.724611586261601</v>
      </c>
      <c r="E518" s="16" t="n">
        <f aca="false">IF(D518="","",D518*$B$15)</f>
        <v>1.87819323159007</v>
      </c>
      <c r="F518" s="16" t="n">
        <f aca="false" t="array" ref="F518:F518">IF(D518="","",IFERROR(INDEX(Dados_Evap!$C$2:$N$15,MATCH($B$9,Dados_Evap!$A$2:$A$15,0),C518),0))</f>
        <v>102.9</v>
      </c>
      <c r="G518" s="16" t="n">
        <f aca="false">IF(F518="","",F518/1000)</f>
        <v>0.1029</v>
      </c>
      <c r="H518" s="16" t="n">
        <f aca="false">IF(D518="","",MAX(0,MIN($B$8,IFERROR(LOOKUP(2,1/($U$24:U517&lt;&gt;""),$U$24:U517),$B$11))))</f>
        <v>144.994649960497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14.5448954682634</v>
      </c>
      <c r="J518" s="16" t="n">
        <f aca="false">IF(D518="","",$B$12)</f>
        <v>0.432</v>
      </c>
      <c r="K518" s="16" t="n">
        <f aca="false">IF(J518="","",J518*$B$15)</f>
        <v>1.119744</v>
      </c>
      <c r="L518" s="16" t="n">
        <f aca="false">IF(D518="","",H518+E518-K518-G518*I518)</f>
        <v>144.256429448403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14.4911480205883</v>
      </c>
      <c r="N518" s="16" t="n">
        <f aca="false">IF(D518="","",(I518+M518)/2)</f>
        <v>14.5180217444259</v>
      </c>
      <c r="O518" s="16" t="n">
        <f aca="false">IF(D518="","",G518*N518)</f>
        <v>1.49390443750142</v>
      </c>
      <c r="P518" s="16" t="n">
        <f aca="false">IF(D518="","",H518+E518-K518-O518)</f>
        <v>144.259194754586</v>
      </c>
      <c r="Q518" s="16" t="n">
        <f aca="false">IF(D518="","",IF(P518&gt;=0,K518,MAX(0,K518+P518)))</f>
        <v>1.119744</v>
      </c>
      <c r="R518" s="16" t="n">
        <f aca="false">IF(D518="","",Q518/$B$15)</f>
        <v>0.432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144.259194754586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89.048885650979</v>
      </c>
      <c r="Z518" s="18" t="n">
        <f aca="false">IF(D518="","",MAX(0,IF(P518&gt;=0,P518,IF(K518+P518&gt;=0,0,P518+K518))))</f>
        <v>144.259194754586</v>
      </c>
      <c r="AA518" s="18" t="n">
        <f aca="false">IF(D518="","",IF(H518&lt;=$B$16,1,IF(H518&gt;=$B$17,$B$21,MATCH(H518,Aux_CAV!$A$2:$A$121,1))))</f>
        <v>22</v>
      </c>
      <c r="AB518" s="18" t="n">
        <f aca="false">IF(D518="","",IF(L518&lt;=$B$16,1,IF(L518&gt;=$B$17,$B$21,MATCH(L518,Aux_CAV!$A$2:$A$121,1))))</f>
        <v>22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2.25739058515383</v>
      </c>
      <c r="E519" s="16" t="n">
        <f aca="false">IF(D519="","",D519*$B$15)</f>
        <v>5.85115639671873</v>
      </c>
      <c r="F519" s="16" t="n">
        <f aca="false" t="array" ref="F519:F519">IF(D519="","",IFERROR(INDEX(Dados_Evap!$C$2:$N$15,MATCH($B$9,Dados_Evap!$A$2:$A$15,0),C519),0))</f>
        <v>81.8</v>
      </c>
      <c r="G519" s="16" t="n">
        <f aca="false">IF(F519="","",F519/1000)</f>
        <v>0.0818</v>
      </c>
      <c r="H519" s="16" t="n">
        <f aca="false">IF(D519="","",MAX(0,MIN($B$8,IFERROR(LOOKUP(2,1/($U$24:U518&lt;&gt;""),$U$24:U518),$B$11))))</f>
        <v>144.259194754586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14.491349353587</v>
      </c>
      <c r="J519" s="16" t="n">
        <f aca="false">IF(D519="","",$B$12)</f>
        <v>0.432</v>
      </c>
      <c r="K519" s="16" t="n">
        <f aca="false">IF(J519="","",J519*$B$15)</f>
        <v>1.119744</v>
      </c>
      <c r="L519" s="16" t="n">
        <f aca="false">IF(D519="","",H519+E519-K519-G519*I519)</f>
        <v>147.805214774181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14.7495236014379</v>
      </c>
      <c r="N519" s="16" t="n">
        <f aca="false">IF(D519="","",(I519+M519)/2)</f>
        <v>14.6204364775124</v>
      </c>
      <c r="O519" s="16" t="n">
        <f aca="false">IF(D519="","",G519*N519)</f>
        <v>1.19595170386052</v>
      </c>
      <c r="P519" s="16" t="n">
        <f aca="false">IF(D519="","",H519+E519-K519-O519)</f>
        <v>147.794655447444</v>
      </c>
      <c r="Q519" s="16" t="n">
        <f aca="false">IF(D519="","",IF(P519&gt;=0,K519,MAX(0,K519+P519)))</f>
        <v>1.119744</v>
      </c>
      <c r="R519" s="16" t="n">
        <f aca="false">IF(D519="","",Q519/$B$15)</f>
        <v>0.432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147.794655447444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91.2312687947187</v>
      </c>
      <c r="Z519" s="18" t="n">
        <f aca="false">IF(D519="","",MAX(0,IF(P519&gt;=0,P519,IF(K519+P519&gt;=0,0,P519+K519))))</f>
        <v>147.794655447444</v>
      </c>
      <c r="AA519" s="18" t="n">
        <f aca="false">IF(D519="","",IF(H519&lt;=$B$16,1,IF(H519&gt;=$B$17,$B$21,MATCH(H519,Aux_CAV!$A$2:$A$121,1))))</f>
        <v>22</v>
      </c>
      <c r="AB519" s="18" t="n">
        <f aca="false">IF(D519="","",IF(L519&lt;=$B$16,1,IF(L519&gt;=$B$17,$B$21,MATCH(L519,Aux_CAV!$A$2:$A$121,1))))</f>
        <v>22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2.11384589967778</v>
      </c>
      <c r="E520" s="16" t="n">
        <f aca="false">IF(D520="","",D520*$B$15)</f>
        <v>5.47908857196481</v>
      </c>
      <c r="F520" s="16" t="n">
        <f aca="false" t="array" ref="F520:F520">IF(D520="","",IFERROR(INDEX(Dados_Evap!$C$2:$N$15,MATCH($B$9,Dados_Evap!$A$2:$A$15,0),C520),0))</f>
        <v>83.6</v>
      </c>
      <c r="G520" s="16" t="n">
        <f aca="false">IF(F520="","",F520/1000)</f>
        <v>0.0836</v>
      </c>
      <c r="H520" s="16" t="n">
        <f aca="false">IF(D520="","",MAX(0,MIN($B$8,IFERROR(LOOKUP(2,1/($U$24:U519&lt;&gt;""),$U$24:U519),$B$11))))</f>
        <v>147.794655447444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14.7487548110128</v>
      </c>
      <c r="J520" s="16" t="n">
        <f aca="false">IF(D520="","",$B$12)</f>
        <v>0.432</v>
      </c>
      <c r="K520" s="16" t="n">
        <f aca="false">IF(J520="","",J520*$B$15)</f>
        <v>1.119744</v>
      </c>
      <c r="L520" s="16" t="n">
        <f aca="false">IF(D520="","",H520+E520-K520-G520*I520)</f>
        <v>150.921004117208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14.9763741453301</v>
      </c>
      <c r="N520" s="16" t="n">
        <f aca="false">IF(D520="","",(I520+M520)/2)</f>
        <v>14.8625644781714</v>
      </c>
      <c r="O520" s="16" t="n">
        <f aca="false">IF(D520="","",G520*N520)</f>
        <v>1.24251039037513</v>
      </c>
      <c r="P520" s="16" t="n">
        <f aca="false">IF(D520="","",H520+E520-K520-O520)</f>
        <v>150.911489629034</v>
      </c>
      <c r="Q520" s="16" t="n">
        <f aca="false">IF(D520="","",IF(P520&gt;=0,K520,MAX(0,K520+P520)))</f>
        <v>1.119744</v>
      </c>
      <c r="R520" s="16" t="n">
        <f aca="false">IF(D520="","",Q520/$B$15)</f>
        <v>0.432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150.911489629034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93.1552405117493</v>
      </c>
      <c r="Z520" s="18" t="n">
        <f aca="false">IF(D520="","",MAX(0,IF(P520&gt;=0,P520,IF(K520+P520&gt;=0,0,P520+K520))))</f>
        <v>150.911489629034</v>
      </c>
      <c r="AA520" s="18" t="n">
        <f aca="false">IF(D520="","",IF(H520&lt;=$B$16,1,IF(H520&gt;=$B$17,$B$21,MATCH(H520,Aux_CAV!$A$2:$A$121,1))))</f>
        <v>22</v>
      </c>
      <c r="AB520" s="18" t="n">
        <f aca="false">IF(D520="","",IF(L520&lt;=$B$16,1,IF(L520&gt;=$B$17,$B$21,MATCH(L520,Aux_CAV!$A$2:$A$121,1))))</f>
        <v>22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6.79894048177251</v>
      </c>
      <c r="E521" s="16" t="n">
        <f aca="false">IF(D521="","",D521*$B$15)</f>
        <v>17.6228537287543</v>
      </c>
      <c r="F521" s="16" t="n">
        <f aca="false" t="array" ref="F521:F521">IF(D521="","",IFERROR(INDEX(Dados_Evap!$C$2:$N$15,MATCH($B$9,Dados_Evap!$A$2:$A$15,0),C521),0))</f>
        <v>108.2</v>
      </c>
      <c r="G521" s="16" t="n">
        <f aca="false">IF(F521="","",F521/1000)</f>
        <v>0.1082</v>
      </c>
      <c r="H521" s="16" t="n">
        <f aca="false">IF(D521="","",MAX(0,MIN($B$8,IFERROR(LOOKUP(2,1/($U$24:U520&lt;&gt;""),$U$24:U520),$B$11))))</f>
        <v>150.911489629034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14.9756814262212</v>
      </c>
      <c r="J521" s="16" t="n">
        <f aca="false">IF(D521="","",$B$12)</f>
        <v>0.432</v>
      </c>
      <c r="K521" s="16" t="n">
        <f aca="false">IF(J521="","",J521*$B$15)</f>
        <v>1.119744</v>
      </c>
      <c r="L521" s="16" t="n">
        <f aca="false">IF(D521="","",H521+E521-K521-G521*I521)</f>
        <v>165.794230627471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16.0099311270526</v>
      </c>
      <c r="N521" s="16" t="n">
        <f aca="false">IF(D521="","",(I521+M521)/2)</f>
        <v>15.4928062766369</v>
      </c>
      <c r="O521" s="16" t="n">
        <f aca="false">IF(D521="","",G521*N521)</f>
        <v>1.67632163913211</v>
      </c>
      <c r="P521" s="16" t="n">
        <f aca="false">IF(D521="","",H521+E521-K521-O521)</f>
        <v>165.738277718656</v>
      </c>
      <c r="Q521" s="16" t="n">
        <f aca="false">IF(D521="","",IF(P521&gt;=0,K521,MAX(0,K521+P521)))</f>
        <v>1.119744</v>
      </c>
      <c r="R521" s="16" t="n">
        <f aca="false">IF(D521="","",Q521/$B$15)</f>
        <v>0.432</v>
      </c>
      <c r="S521" s="16" t="n">
        <f aca="false">IF(D521="","",MAX(0,J521-R521))</f>
        <v>0</v>
      </c>
      <c r="T521" s="16" t="n">
        <f aca="false">IF(D521="","",MAX(0,Z521-$B$8))</f>
        <v>3.73827771865612</v>
      </c>
      <c r="U521" s="16" t="n">
        <f aca="false">IF(D521="","",MAX(0,MIN($B$8,Z521)))</f>
        <v>162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100</v>
      </c>
      <c r="Z521" s="18" t="n">
        <f aca="false">IF(D521="","",MAX(0,IF(P521&gt;=0,P521,IF(K521+P521&gt;=0,0,P521+K521))))</f>
        <v>165.738277718656</v>
      </c>
      <c r="AA521" s="18" t="n">
        <f aca="false">IF(D521="","",IF(H521&lt;=$B$16,1,IF(H521&gt;=$B$17,$B$21,MATCH(H521,Aux_CAV!$A$2:$A$121,1))))</f>
        <v>22</v>
      </c>
      <c r="AB521" s="18" t="n">
        <f aca="false">IF(D521="","",IF(L521&lt;=$B$16,1,IF(L521&gt;=$B$17,$B$21,MATCH(L521,Aux_CAV!$A$2:$A$121,1))))</f>
        <v>23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0.616843225752734</v>
      </c>
      <c r="E522" s="16" t="n">
        <f aca="false">IF(D522="","",D522*$B$15)</f>
        <v>1.59885764115109</v>
      </c>
      <c r="F522" s="16" t="n">
        <f aca="false" t="array" ref="F522:F522">IF(D522="","",IFERROR(INDEX(Dados_Evap!$C$2:$N$15,MATCH($B$9,Dados_Evap!$A$2:$A$15,0),C522),0))</f>
        <v>149</v>
      </c>
      <c r="G522" s="16" t="n">
        <f aca="false">IF(F522="","",F522/1000)</f>
        <v>0.149</v>
      </c>
      <c r="H522" s="16" t="n">
        <f aca="false">IF(D522="","",MAX(0,MIN($B$8,IFERROR(LOOKUP(2,1/($U$24:U521&lt;&gt;""),$U$24:U521),$B$11))))</f>
        <v>162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15.783</v>
      </c>
      <c r="J522" s="16" t="n">
        <f aca="false">IF(D522="","",$B$12)</f>
        <v>0.432</v>
      </c>
      <c r="K522" s="16" t="n">
        <f aca="false">IF(J522="","",J522*$B$15)</f>
        <v>1.119744</v>
      </c>
      <c r="L522" s="16" t="n">
        <f aca="false">IF(D522="","",H522+E522-K522-G522*I522)</f>
        <v>160.127446641151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15.646665446808</v>
      </c>
      <c r="N522" s="16" t="n">
        <f aca="false">IF(D522="","",(I522+M522)/2)</f>
        <v>15.714832723404</v>
      </c>
      <c r="O522" s="16" t="n">
        <f aca="false">IF(D522="","",G522*N522)</f>
        <v>2.34151007578719</v>
      </c>
      <c r="P522" s="16" t="n">
        <f aca="false">IF(D522="","",H522+E522-K522-O522)</f>
        <v>160.137603565364</v>
      </c>
      <c r="Q522" s="16" t="n">
        <f aca="false">IF(D522="","",IF(P522&gt;=0,K522,MAX(0,K522+P522)))</f>
        <v>1.119744</v>
      </c>
      <c r="R522" s="16" t="n">
        <f aca="false">IF(D522="","",Q522/$B$15)</f>
        <v>0.432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160.137603565364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98.8503725712123</v>
      </c>
      <c r="Z522" s="18" t="n">
        <f aca="false">IF(D522="","",MAX(0,IF(P522&gt;=0,P522,IF(K522+P522&gt;=0,0,P522+K522))))</f>
        <v>160.137603565364</v>
      </c>
      <c r="AA522" s="18" t="n">
        <f aca="false">IF(D522="","",IF(H522&lt;=$B$16,1,IF(H522&gt;=$B$17,$B$21,MATCH(H522,Aux_CAV!$A$2:$A$121,1))))</f>
        <v>23</v>
      </c>
      <c r="AB522" s="18" t="n">
        <f aca="false">IF(D522="","",IF(L522&lt;=$B$16,1,IF(L522&gt;=$B$17,$B$21,MATCH(L522,Aux_CAV!$A$2:$A$121,1))))</f>
        <v>22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0.303849497404421</v>
      </c>
      <c r="E523" s="16" t="n">
        <f aca="false">IF(D523="","",D523*$B$15)</f>
        <v>0.787577897272259</v>
      </c>
      <c r="F523" s="16" t="n">
        <f aca="false" t="array" ref="F523:F523">IF(D523="","",IFERROR(INDEX(Dados_Evap!$C$2:$N$15,MATCH($B$9,Dados_Evap!$A$2:$A$15,0),C523),0))</f>
        <v>206.8</v>
      </c>
      <c r="G523" s="16" t="n">
        <f aca="false">IF(F523="","",F523/1000)</f>
        <v>0.2068</v>
      </c>
      <c r="H523" s="16" t="n">
        <f aca="false">IF(D523="","",MAX(0,MIN($B$8,IFERROR(LOOKUP(2,1/($U$24:U522&lt;&gt;""),$U$24:U522),$B$11))))</f>
        <v>160.137603565364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15.6474049396068</v>
      </c>
      <c r="J523" s="16" t="n">
        <f aca="false">IF(D523="","",$B$12)</f>
        <v>0.432</v>
      </c>
      <c r="K523" s="16" t="n">
        <f aca="false">IF(J523="","",J523*$B$15)</f>
        <v>1.119744</v>
      </c>
      <c r="L523" s="16" t="n">
        <f aca="false">IF(D523="","",H523+E523-K523-G523*I523)</f>
        <v>156.569554121125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15.387626800603</v>
      </c>
      <c r="N523" s="16" t="n">
        <f aca="false">IF(D523="","",(I523+M523)/2)</f>
        <v>15.5175158701049</v>
      </c>
      <c r="O523" s="16" t="n">
        <f aca="false">IF(D523="","",G523*N523)</f>
        <v>3.20902228193769</v>
      </c>
      <c r="P523" s="16" t="n">
        <f aca="false">IF(D523="","",H523+E523-K523-O523)</f>
        <v>156.596415180698</v>
      </c>
      <c r="Q523" s="16" t="n">
        <f aca="false">IF(D523="","",IF(P523&gt;=0,K523,MAX(0,K523+P523)))</f>
        <v>1.119744</v>
      </c>
      <c r="R523" s="16" t="n">
        <f aca="false">IF(D523="","",Q523/$B$15)</f>
        <v>0.432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156.596415180698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96.664453815246</v>
      </c>
      <c r="Z523" s="18" t="n">
        <f aca="false">IF(D523="","",MAX(0,IF(P523&gt;=0,P523,IF(K523+P523&gt;=0,0,P523+K523))))</f>
        <v>156.596415180698</v>
      </c>
      <c r="AA523" s="18" t="n">
        <f aca="false">IF(D523="","",IF(H523&lt;=$B$16,1,IF(H523&gt;=$B$17,$B$21,MATCH(H523,Aux_CAV!$A$2:$A$121,1))))</f>
        <v>22</v>
      </c>
      <c r="AB523" s="18" t="n">
        <f aca="false">IF(D523="","",IF(L523&lt;=$B$16,1,IF(L523&gt;=$B$17,$B$21,MATCH(L523,Aux_CAV!$A$2:$A$121,1))))</f>
        <v>22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0.309395949036012</v>
      </c>
      <c r="E524" s="16" t="n">
        <f aca="false">IF(D524="","",D524*$B$15)</f>
        <v>0.801954299901343</v>
      </c>
      <c r="F524" s="16" t="n">
        <f aca="false" t="array" ref="F524:F524">IF(D524="","",IFERROR(INDEX(Dados_Evap!$C$2:$N$15,MATCH($B$9,Dados_Evap!$A$2:$A$15,0),C524),0))</f>
        <v>245.9</v>
      </c>
      <c r="G524" s="16" t="n">
        <f aca="false">IF(F524="","",F524/1000)</f>
        <v>0.2459</v>
      </c>
      <c r="H524" s="16" t="n">
        <f aca="false">IF(D524="","",MAX(0,MIN($B$8,IFERROR(LOOKUP(2,1/($U$24:U523&lt;&gt;""),$U$24:U523),$B$11))))</f>
        <v>156.596415180698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15.389582467467</v>
      </c>
      <c r="J524" s="16" t="n">
        <f aca="false">IF(D524="","",$B$12)</f>
        <v>0.432</v>
      </c>
      <c r="K524" s="16" t="n">
        <f aca="false">IF(J524="","",J524*$B$15)</f>
        <v>1.119744</v>
      </c>
      <c r="L524" s="16" t="n">
        <f aca="false">IF(D524="","",H524+E524-K524-G524*I524)</f>
        <v>152.49432715185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15.0909227064917</v>
      </c>
      <c r="N524" s="16" t="n">
        <f aca="false">IF(D524="","",(I524+M524)/2)</f>
        <v>15.2402525869794</v>
      </c>
      <c r="O524" s="16" t="n">
        <f aca="false">IF(D524="","",G524*N524)</f>
        <v>3.74757811113823</v>
      </c>
      <c r="P524" s="16" t="n">
        <f aca="false">IF(D524="","",H524+E524-K524-O524)</f>
        <v>152.531047369462</v>
      </c>
      <c r="Q524" s="16" t="n">
        <f aca="false">IF(D524="","",IF(P524&gt;=0,K524,MAX(0,K524+P524)))</f>
        <v>1.119744</v>
      </c>
      <c r="R524" s="16" t="n">
        <f aca="false">IF(D524="","",Q524/$B$15)</f>
        <v>0.432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152.531047369462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94.1549675120133</v>
      </c>
      <c r="Z524" s="18" t="n">
        <f aca="false">IF(D524="","",MAX(0,IF(P524&gt;=0,P524,IF(K524+P524&gt;=0,0,P524+K524))))</f>
        <v>152.531047369462</v>
      </c>
      <c r="AA524" s="18" t="n">
        <f aca="false">IF(D524="","",IF(H524&lt;=$B$16,1,IF(H524&gt;=$B$17,$B$21,MATCH(H524,Aux_CAV!$A$2:$A$121,1))))</f>
        <v>22</v>
      </c>
      <c r="AB524" s="18" t="n">
        <f aca="false">IF(D524="","",IF(L524&lt;=$B$16,1,IF(L524&gt;=$B$17,$B$21,MATCH(L524,Aux_CAV!$A$2:$A$121,1))))</f>
        <v>22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0.465286847495926</v>
      </c>
      <c r="E525" s="16" t="n">
        <f aca="false">IF(D525="","",D525*$B$15)</f>
        <v>1.20602350870944</v>
      </c>
      <c r="F525" s="16" t="n">
        <f aca="false" t="array" ref="F525:F525">IF(D525="","",IFERROR(INDEX(Dados_Evap!$C$2:$N$15,MATCH($B$9,Dados_Evap!$A$2:$A$15,0),C525),0))</f>
        <v>282.3</v>
      </c>
      <c r="G525" s="16" t="n">
        <f aca="false">IF(F525="","",F525/1000)</f>
        <v>0.2823</v>
      </c>
      <c r="H525" s="16" t="n">
        <f aca="false">IF(D525="","",MAX(0,MIN($B$8,IFERROR(LOOKUP(2,1/($U$24:U524&lt;&gt;""),$U$24:U524),$B$11))))</f>
        <v>152.531047369462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15.0935961867627</v>
      </c>
      <c r="J525" s="16" t="n">
        <f aca="false">IF(D525="","",$B$12)</f>
        <v>0.432</v>
      </c>
      <c r="K525" s="16" t="n">
        <f aca="false">IF(J525="","",J525*$B$15)</f>
        <v>1.119744</v>
      </c>
      <c r="L525" s="16" t="n">
        <f aca="false">IF(D525="","",H525+E525-K525-G525*I525)</f>
        <v>148.356404674648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14.78965395524</v>
      </c>
      <c r="N525" s="16" t="n">
        <f aca="false">IF(D525="","",(I525+M525)/2)</f>
        <v>14.9416250710014</v>
      </c>
      <c r="O525" s="16" t="n">
        <f aca="false">IF(D525="","",G525*N525)</f>
        <v>4.21802075754368</v>
      </c>
      <c r="P525" s="16" t="n">
        <f aca="false">IF(D525="","",H525+E525-K525-O525)</f>
        <v>148.399306120627</v>
      </c>
      <c r="Q525" s="16" t="n">
        <f aca="false">IF(D525="","",IF(P525&gt;=0,K525,MAX(0,K525+P525)))</f>
        <v>1.119744</v>
      </c>
      <c r="R525" s="16" t="n">
        <f aca="false">IF(D525="","",Q525/$B$15)</f>
        <v>0.432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148.399306120627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91.6045099510045</v>
      </c>
      <c r="Z525" s="18" t="n">
        <f aca="false">IF(D525="","",MAX(0,IF(P525&gt;=0,P525,IF(K525+P525&gt;=0,0,P525+K525))))</f>
        <v>148.399306120627</v>
      </c>
      <c r="AA525" s="18" t="n">
        <f aca="false">IF(D525="","",IF(H525&lt;=$B$16,1,IF(H525&gt;=$B$17,$B$21,MATCH(H525,Aux_CAV!$A$2:$A$121,1))))</f>
        <v>22</v>
      </c>
      <c r="AB525" s="18" t="n">
        <f aca="false">IF(D525="","",IF(L525&lt;=$B$16,1,IF(L525&gt;=$B$17,$B$21,MATCH(L525,Aux_CAV!$A$2:$A$121,1))))</f>
        <v>22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0.371973679462052</v>
      </c>
      <c r="E526" s="16" t="n">
        <f aca="false">IF(D526="","",D526*$B$15)</f>
        <v>0.964155777165639</v>
      </c>
      <c r="F526" s="16" t="n">
        <f aca="false" t="array" ref="F526:F526">IF(D526="","",IFERROR(INDEX(Dados_Evap!$C$2:$N$15,MATCH($B$9,Dados_Evap!$A$2:$A$15,0),C526),0))</f>
        <v>241.3</v>
      </c>
      <c r="G526" s="16" t="n">
        <f aca="false">IF(F526="","",F526/1000)</f>
        <v>0.2413</v>
      </c>
      <c r="H526" s="16" t="n">
        <f aca="false">IF(D526="","",MAX(0,MIN($B$8,IFERROR(LOOKUP(2,1/($U$24:U525&lt;&gt;""),$U$24:U525),$B$11))))</f>
        <v>148.399306120627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14.792777470755</v>
      </c>
      <c r="J526" s="16" t="n">
        <f aca="false">IF(D526="","",$B$12)</f>
        <v>0.432</v>
      </c>
      <c r="K526" s="16" t="n">
        <f aca="false">IF(J526="","",J526*$B$15)</f>
        <v>1.119744</v>
      </c>
      <c r="L526" s="16" t="n">
        <f aca="false">IF(D526="","",H526+E526-K526-G526*I526)</f>
        <v>144.6742206941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14.5215660498212</v>
      </c>
      <c r="N526" s="16" t="n">
        <f aca="false">IF(D526="","",(I526+M526)/2)</f>
        <v>14.6571717602881</v>
      </c>
      <c r="O526" s="16" t="n">
        <f aca="false">IF(D526="","",G526*N526)</f>
        <v>3.53677554575752</v>
      </c>
      <c r="P526" s="16" t="n">
        <f aca="false">IF(D526="","",H526+E526-K526-O526)</f>
        <v>144.706942352035</v>
      </c>
      <c r="Q526" s="16" t="n">
        <f aca="false">IF(D526="","",IF(P526&gt;=0,K526,MAX(0,K526+P526)))</f>
        <v>1.119744</v>
      </c>
      <c r="R526" s="16" t="n">
        <f aca="false">IF(D526="","",Q526/$B$15)</f>
        <v>0.432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144.706942352035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89.325273056812</v>
      </c>
      <c r="Z526" s="18" t="n">
        <f aca="false">IF(D526="","",MAX(0,IF(P526&gt;=0,P526,IF(K526+P526&gt;=0,0,P526+K526))))</f>
        <v>144.706942352035</v>
      </c>
      <c r="AA526" s="18" t="n">
        <f aca="false">IF(D526="","",IF(H526&lt;=$B$16,1,IF(H526&gt;=$B$17,$B$21,MATCH(H526,Aux_CAV!$A$2:$A$121,1))))</f>
        <v>22</v>
      </c>
      <c r="AB526" s="18" t="n">
        <f aca="false">IF(D526="","",IF(L526&lt;=$B$16,1,IF(L526&gt;=$B$17,$B$21,MATCH(L526,Aux_CAV!$A$2:$A$121,1))))</f>
        <v>22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0.673145894688659</v>
      </c>
      <c r="E527" s="16" t="n">
        <f aca="false">IF(D527="","",D527*$B$15)</f>
        <v>1.744794159033</v>
      </c>
      <c r="F527" s="16" t="n">
        <f aca="false" t="array" ref="F527:F527">IF(D527="","",IFERROR(INDEX(Dados_Evap!$C$2:$N$15,MATCH($B$9,Dados_Evap!$A$2:$A$15,0),C527),0))</f>
        <v>241.8</v>
      </c>
      <c r="G527" s="16" t="n">
        <f aca="false">IF(F527="","",F527/1000)</f>
        <v>0.2418</v>
      </c>
      <c r="H527" s="16" t="n">
        <f aca="false">IF(D527="","",MAX(0,MIN($B$8,IFERROR(LOOKUP(2,1/($U$24:U526&lt;&gt;""),$U$24:U526),$B$11))))</f>
        <v>144.706942352035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14.5239484078957</v>
      </c>
      <c r="J527" s="16" t="n">
        <f aca="false">IF(D527="","",$B$12)</f>
        <v>0.432</v>
      </c>
      <c r="K527" s="16" t="n">
        <f aca="false">IF(J527="","",J527*$B$15)</f>
        <v>1.119744</v>
      </c>
      <c r="L527" s="16" t="n">
        <f aca="false">IF(D527="","",H527+E527-K527-G527*I527)</f>
        <v>141.820101786039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14.313766883913</v>
      </c>
      <c r="N527" s="16" t="n">
        <f aca="false">IF(D527="","",(I527+M527)/2)</f>
        <v>14.4188576459044</v>
      </c>
      <c r="O527" s="16" t="n">
        <f aca="false">IF(D527="","",G527*N527)</f>
        <v>3.48647977877968</v>
      </c>
      <c r="P527" s="16" t="n">
        <f aca="false">IF(D527="","",H527+E527-K527-O527)</f>
        <v>141.845512732289</v>
      </c>
      <c r="Q527" s="16" t="n">
        <f aca="false">IF(D527="","",IF(P527&gt;=0,K527,MAX(0,K527+P527)))</f>
        <v>1.119744</v>
      </c>
      <c r="R527" s="16" t="n">
        <f aca="false">IF(D527="","",Q527/$B$15)</f>
        <v>0.432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141.845512732289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87.5589584767215</v>
      </c>
      <c r="Z527" s="18" t="n">
        <f aca="false">IF(D527="","",MAX(0,IF(P527&gt;=0,P527,IF(K527+P527&gt;=0,0,P527+K527))))</f>
        <v>141.845512732289</v>
      </c>
      <c r="AA527" s="18" t="n">
        <f aca="false">IF(D527="","",IF(H527&lt;=$B$16,1,IF(H527&gt;=$B$17,$B$21,MATCH(H527,Aux_CAV!$A$2:$A$121,1))))</f>
        <v>22</v>
      </c>
      <c r="AB527" s="18" t="n">
        <f aca="false">IF(D527="","",IF(L527&lt;=$B$16,1,IF(L527&gt;=$B$17,$B$21,MATCH(L527,Aux_CAV!$A$2:$A$121,1))))</f>
        <v>22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0.792285404665946</v>
      </c>
      <c r="E528" s="16" t="n">
        <f aca="false">IF(D528="","",D528*$B$15)</f>
        <v>2.05360376889413</v>
      </c>
      <c r="F528" s="16" t="n">
        <f aca="false" t="array" ref="F528:F528">IF(D528="","",IFERROR(INDEX(Dados_Evap!$C$2:$N$15,MATCH($B$9,Dados_Evap!$A$2:$A$15,0),C528),0))</f>
        <v>189</v>
      </c>
      <c r="G528" s="16" t="n">
        <f aca="false">IF(F528="","",F528/1000)</f>
        <v>0.189</v>
      </c>
      <c r="H528" s="16" t="n">
        <f aca="false">IF(D528="","",MAX(0,MIN($B$8,IFERROR(LOOKUP(2,1/($U$24:U527&lt;&gt;""),$U$24:U527),$B$11))))</f>
        <v>141.845512732289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14.3156169727165</v>
      </c>
      <c r="J528" s="16" t="n">
        <f aca="false">IF(D528="","",$B$12)</f>
        <v>0.432</v>
      </c>
      <c r="K528" s="16" t="n">
        <f aca="false">IF(J528="","",J528*$B$15)</f>
        <v>1.119744</v>
      </c>
      <c r="L528" s="16" t="n">
        <f aca="false">IF(D528="","",H528+E528-K528-G528*I528)</f>
        <v>140.07372089334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14.1866185398703</v>
      </c>
      <c r="N528" s="16" t="n">
        <f aca="false">IF(D528="","",(I528+M528)/2)</f>
        <v>14.2511177562934</v>
      </c>
      <c r="O528" s="16" t="n">
        <f aca="false">IF(D528="","",G528*N528)</f>
        <v>2.69346125593946</v>
      </c>
      <c r="P528" s="16" t="n">
        <f aca="false">IF(D528="","",H528+E528-K528-O528)</f>
        <v>140.085911245243</v>
      </c>
      <c r="Q528" s="16" t="n">
        <f aca="false">IF(D528="","",IF(P528&gt;=0,K528,MAX(0,K528+P528)))</f>
        <v>1.119744</v>
      </c>
      <c r="R528" s="16" t="n">
        <f aca="false">IF(D528="","",Q528/$B$15)</f>
        <v>0.432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140.085911245243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86.4727847192861</v>
      </c>
      <c r="Z528" s="18" t="n">
        <f aca="false">IF(D528="","",MAX(0,IF(P528&gt;=0,P528,IF(K528+P528&gt;=0,0,P528+K528))))</f>
        <v>140.085911245243</v>
      </c>
      <c r="AA528" s="18" t="n">
        <f aca="false">IF(D528="","",IF(H528&lt;=$B$16,1,IF(H528&gt;=$B$17,$B$21,MATCH(H528,Aux_CAV!$A$2:$A$121,1))))</f>
        <v>22</v>
      </c>
      <c r="AB528" s="18" t="n">
        <f aca="false">IF(D528="","",IF(L528&lt;=$B$16,1,IF(L528&gt;=$B$17,$B$21,MATCH(L528,Aux_CAV!$A$2:$A$121,1))))</f>
        <v>22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0.830361506260107</v>
      </c>
      <c r="E529" s="16" t="n">
        <f aca="false">IF(D529="","",D529*$B$15)</f>
        <v>2.1522970242262</v>
      </c>
      <c r="F529" s="16" t="n">
        <f aca="false" t="array" ref="F529:F529">IF(D529="","",IFERROR(INDEX(Dados_Evap!$C$2:$N$15,MATCH($B$9,Dados_Evap!$A$2:$A$15,0),C529),0))</f>
        <v>136.9</v>
      </c>
      <c r="G529" s="16" t="n">
        <f aca="false">IF(F529="","",F529/1000)</f>
        <v>0.1369</v>
      </c>
      <c r="H529" s="16" t="n">
        <f aca="false">IF(D529="","",MAX(0,MIN($B$8,IFERROR(LOOKUP(2,1/($U$24:U528&lt;&gt;""),$U$24:U528),$B$11))))</f>
        <v>140.085911245243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14.1875060799622</v>
      </c>
      <c r="J529" s="16" t="n">
        <f aca="false">IF(D529="","",$B$12)</f>
        <v>0.432</v>
      </c>
      <c r="K529" s="16" t="n">
        <f aca="false">IF(J529="","",J529*$B$15)</f>
        <v>1.119744</v>
      </c>
      <c r="L529" s="16" t="n">
        <f aca="false">IF(D529="","",H529+E529-K529-G529*I529)</f>
        <v>139.176194687123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14.1212725598883</v>
      </c>
      <c r="N529" s="16" t="n">
        <f aca="false">IF(D529="","",(I529+M529)/2)</f>
        <v>14.1543893199252</v>
      </c>
      <c r="O529" s="16" t="n">
        <f aca="false">IF(D529="","",G529*N529)</f>
        <v>1.93773589789776</v>
      </c>
      <c r="P529" s="16" t="n">
        <f aca="false">IF(D529="","",H529+E529-K529-O529)</f>
        <v>139.180728371572</v>
      </c>
      <c r="Q529" s="16" t="n">
        <f aca="false">IF(D529="","",IF(P529&gt;=0,K529,MAX(0,K529+P529)))</f>
        <v>1.119744</v>
      </c>
      <c r="R529" s="16" t="n">
        <f aca="false">IF(D529="","",Q529/$B$15)</f>
        <v>0.432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139.180728371572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85.914029858995</v>
      </c>
      <c r="Z529" s="18" t="n">
        <f aca="false">IF(D529="","",MAX(0,IF(P529&gt;=0,P529,IF(K529+P529&gt;=0,0,P529+K529))))</f>
        <v>139.180728371572</v>
      </c>
      <c r="AA529" s="18" t="n">
        <f aca="false">IF(D529="","",IF(H529&lt;=$B$16,1,IF(H529&gt;=$B$17,$B$21,MATCH(H529,Aux_CAV!$A$2:$A$121,1))))</f>
        <v>22</v>
      </c>
      <c r="AB529" s="18" t="n">
        <f aca="false">IF(D529="","",IF(L529&lt;=$B$16,1,IF(L529&gt;=$B$17,$B$21,MATCH(L529,Aux_CAV!$A$2:$A$121,1))))</f>
        <v>22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2.52586196989584</v>
      </c>
      <c r="E530" s="16" t="n">
        <f aca="false">IF(D530="","",D530*$B$15)</f>
        <v>6.54703422597002</v>
      </c>
      <c r="F530" s="16" t="n">
        <f aca="false" t="array" ref="F530:F530">IF(D530="","",IFERROR(INDEX(Dados_Evap!$C$2:$N$15,MATCH($B$9,Dados_Evap!$A$2:$A$15,0),C530),0))</f>
        <v>102.9</v>
      </c>
      <c r="G530" s="16" t="n">
        <f aca="false">IF(F530="","",F530/1000)</f>
        <v>0.1029</v>
      </c>
      <c r="H530" s="16" t="n">
        <f aca="false">IF(D530="","",MAX(0,MIN($B$8,IFERROR(LOOKUP(2,1/($U$24:U529&lt;&gt;""),$U$24:U529),$B$11))))</f>
        <v>139.180728371572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14.1216026427886</v>
      </c>
      <c r="J530" s="16" t="n">
        <f aca="false">IF(D530="","",$B$12)</f>
        <v>0.432</v>
      </c>
      <c r="K530" s="16" t="n">
        <f aca="false">IF(J530="","",J530*$B$15)</f>
        <v>1.119744</v>
      </c>
      <c r="L530" s="16" t="n">
        <f aca="false">IF(D530="","",H530+E530-K530-G530*I530)</f>
        <v>143.154905685599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14.4109496383512</v>
      </c>
      <c r="N530" s="16" t="n">
        <f aca="false">IF(D530="","",(I530+M530)/2)</f>
        <v>14.2662761405699</v>
      </c>
      <c r="O530" s="16" t="n">
        <f aca="false">IF(D530="","",G530*N530)</f>
        <v>1.46799981486464</v>
      </c>
      <c r="P530" s="16" t="n">
        <f aca="false">IF(D530="","",H530+E530-K530-O530)</f>
        <v>143.140018782677</v>
      </c>
      <c r="Q530" s="16" t="n">
        <f aca="false">IF(D530="","",IF(P530&gt;=0,K530,MAX(0,K530+P530)))</f>
        <v>1.119744</v>
      </c>
      <c r="R530" s="16" t="n">
        <f aca="false">IF(D530="","",Q530/$B$15)</f>
        <v>0.432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143.140018782677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88.3580362856033</v>
      </c>
      <c r="Z530" s="18" t="n">
        <f aca="false">IF(D530="","",MAX(0,IF(P530&gt;=0,P530,IF(K530+P530&gt;=0,0,P530+K530))))</f>
        <v>143.140018782677</v>
      </c>
      <c r="AA530" s="18" t="n">
        <f aca="false">IF(D530="","",IF(H530&lt;=$B$16,1,IF(H530&gt;=$B$17,$B$21,MATCH(H530,Aux_CAV!$A$2:$A$121,1))))</f>
        <v>22</v>
      </c>
      <c r="AB530" s="18" t="n">
        <f aca="false">IF(D530="","",IF(L530&lt;=$B$16,1,IF(L530&gt;=$B$17,$B$21,MATCH(L530,Aux_CAV!$A$2:$A$121,1))))</f>
        <v>22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5.22136786201362</v>
      </c>
      <c r="E531" s="16" t="n">
        <f aca="false">IF(D531="","",D531*$B$15)</f>
        <v>13.5337854983393</v>
      </c>
      <c r="F531" s="16" t="n">
        <f aca="false" t="array" ref="F531:F531">IF(D531="","",IFERROR(INDEX(Dados_Evap!$C$2:$N$15,MATCH($B$9,Dados_Evap!$A$2:$A$15,0),C531),0))</f>
        <v>81.8</v>
      </c>
      <c r="G531" s="16" t="n">
        <f aca="false">IF(F531="","",F531/1000)</f>
        <v>0.0818</v>
      </c>
      <c r="H531" s="16" t="n">
        <f aca="false">IF(D531="","",MAX(0,MIN($B$8,IFERROR(LOOKUP(2,1/($U$24:U530&lt;&gt;""),$U$24:U530),$B$11))))</f>
        <v>143.140018782677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14.4098657711019</v>
      </c>
      <c r="J531" s="16" t="n">
        <f aca="false">IF(D531="","",$B$12)</f>
        <v>0.432</v>
      </c>
      <c r="K531" s="16" t="n">
        <f aca="false">IF(J531="","",J531*$B$15)</f>
        <v>1.119744</v>
      </c>
      <c r="L531" s="16" t="n">
        <f aca="false">IF(D531="","",H531+E531-K531-G531*I531)</f>
        <v>154.37533326094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15.227872677088</v>
      </c>
      <c r="N531" s="16" t="n">
        <f aca="false">IF(D531="","",(I531+M531)/2)</f>
        <v>14.818869224095</v>
      </c>
      <c r="O531" s="16" t="n">
        <f aca="false">IF(D531="","",G531*N531)</f>
        <v>1.21218350253097</v>
      </c>
      <c r="P531" s="16" t="n">
        <f aca="false">IF(D531="","",H531+E531-K531-O531)</f>
        <v>154.341876778486</v>
      </c>
      <c r="Q531" s="16" t="n">
        <f aca="false">IF(D531="","",IF(P531&gt;=0,K531,MAX(0,K531+P531)))</f>
        <v>1.119744</v>
      </c>
      <c r="R531" s="16" t="n">
        <f aca="false">IF(D531="","",Q531/$B$15)</f>
        <v>0.432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154.341876778486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95.2727634435096</v>
      </c>
      <c r="Z531" s="18" t="n">
        <f aca="false">IF(D531="","",MAX(0,IF(P531&gt;=0,P531,IF(K531+P531&gt;=0,0,P531+K531))))</f>
        <v>154.341876778486</v>
      </c>
      <c r="AA531" s="18" t="n">
        <f aca="false">IF(D531="","",IF(H531&lt;=$B$16,1,IF(H531&gt;=$B$17,$B$21,MATCH(H531,Aux_CAV!$A$2:$A$121,1))))</f>
        <v>22</v>
      </c>
      <c r="AB531" s="18" t="n">
        <f aca="false">IF(D531="","",IF(L531&lt;=$B$16,1,IF(L531&gt;=$B$17,$B$21,MATCH(L531,Aux_CAV!$A$2:$A$121,1))))</f>
        <v>22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4.29582998499721</v>
      </c>
      <c r="E532" s="16" t="n">
        <f aca="false">IF(D532="","",D532*$B$15)</f>
        <v>11.1347913211128</v>
      </c>
      <c r="F532" s="16" t="n">
        <f aca="false" t="array" ref="F532:F532">IF(D532="","",IFERROR(INDEX(Dados_Evap!$C$2:$N$15,MATCH($B$9,Dados_Evap!$A$2:$A$15,0),C532),0))</f>
        <v>83.6</v>
      </c>
      <c r="G532" s="16" t="n">
        <f aca="false">IF(F532="","",F532/1000)</f>
        <v>0.0836</v>
      </c>
      <c r="H532" s="16" t="n">
        <f aca="false">IF(D532="","",MAX(0,MIN($B$8,IFERROR(LOOKUP(2,1/($U$24:U531&lt;&gt;""),$U$24:U531),$B$11))))</f>
        <v>154.341876778486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15.2254368188171</v>
      </c>
      <c r="J532" s="16" t="n">
        <f aca="false">IF(D532="","",$B$12)</f>
        <v>0.432</v>
      </c>
      <c r="K532" s="16" t="n">
        <f aca="false">IF(J532="","",J532*$B$15)</f>
        <v>1.119744</v>
      </c>
      <c r="L532" s="16" t="n">
        <f aca="false">IF(D532="","",H532+E532-K532-G532*I532)</f>
        <v>163.084077581545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15.8478381639248</v>
      </c>
      <c r="N532" s="16" t="n">
        <f aca="false">IF(D532="","",(I532+M532)/2)</f>
        <v>15.5366374913709</v>
      </c>
      <c r="O532" s="16" t="n">
        <f aca="false">IF(D532="","",G532*N532)</f>
        <v>1.29886289427861</v>
      </c>
      <c r="P532" s="16" t="n">
        <f aca="false">IF(D532="","",H532+E532-K532-O532)</f>
        <v>163.05806120532</v>
      </c>
      <c r="Q532" s="16" t="n">
        <f aca="false">IF(D532="","",IF(P532&gt;=0,K532,MAX(0,K532+P532)))</f>
        <v>1.119744</v>
      </c>
      <c r="R532" s="16" t="n">
        <f aca="false">IF(D532="","",Q532/$B$15)</f>
        <v>0.432</v>
      </c>
      <c r="S532" s="16" t="n">
        <f aca="false">IF(D532="","",MAX(0,J532-R532))</f>
        <v>0</v>
      </c>
      <c r="T532" s="16" t="n">
        <f aca="false">IF(D532="","",MAX(0,Z532-$B$8))</f>
        <v>1.05806120531977</v>
      </c>
      <c r="U532" s="16" t="n">
        <f aca="false">IF(D532="","",MAX(0,MIN($B$8,Z532)))</f>
        <v>162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100</v>
      </c>
      <c r="Z532" s="18" t="n">
        <f aca="false">IF(D532="","",MAX(0,IF(P532&gt;=0,P532,IF(K532+P532&gt;=0,0,P532+K532))))</f>
        <v>163.05806120532</v>
      </c>
      <c r="AA532" s="18" t="n">
        <f aca="false">IF(D532="","",IF(H532&lt;=$B$16,1,IF(H532&gt;=$B$17,$B$21,MATCH(H532,Aux_CAV!$A$2:$A$121,1))))</f>
        <v>22</v>
      </c>
      <c r="AB532" s="18" t="n">
        <f aca="false">IF(D532="","",IF(L532&lt;=$B$16,1,IF(L532&gt;=$B$17,$B$21,MATCH(L532,Aux_CAV!$A$2:$A$121,1))))</f>
        <v>23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1.08435283187074</v>
      </c>
      <c r="E533" s="16" t="n">
        <f aca="false">IF(D533="","",D533*$B$15)</f>
        <v>2.81064254020896</v>
      </c>
      <c r="F533" s="16" t="n">
        <f aca="false" t="array" ref="F533:F533">IF(D533="","",IFERROR(INDEX(Dados_Evap!$C$2:$N$15,MATCH($B$9,Dados_Evap!$A$2:$A$15,0),C533),0))</f>
        <v>108.2</v>
      </c>
      <c r="G533" s="16" t="n">
        <f aca="false">IF(F533="","",F533/1000)</f>
        <v>0.1082</v>
      </c>
      <c r="H533" s="16" t="n">
        <f aca="false">IF(D533="","",MAX(0,MIN($B$8,IFERROR(LOOKUP(2,1/($U$24:U532&lt;&gt;""),$U$24:U532),$B$11))))</f>
        <v>162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15.783</v>
      </c>
      <c r="J533" s="16" t="n">
        <f aca="false">IF(D533="","",$B$12)</f>
        <v>0.432</v>
      </c>
      <c r="K533" s="16" t="n">
        <f aca="false">IF(J533="","",J533*$B$15)</f>
        <v>1.119744</v>
      </c>
      <c r="L533" s="16" t="n">
        <f aca="false">IF(D533="","",H533+E533-K533-G533*I533)</f>
        <v>161.983177940209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15.7817752402384</v>
      </c>
      <c r="N533" s="16" t="n">
        <f aca="false">IF(D533="","",(I533+M533)/2)</f>
        <v>15.7823876201192</v>
      </c>
      <c r="O533" s="16" t="n">
        <f aca="false">IF(D533="","",G533*N533)</f>
        <v>1.7076543404969</v>
      </c>
      <c r="P533" s="16" t="n">
        <f aca="false">IF(D533="","",H533+E533-K533-O533)</f>
        <v>161.983244199712</v>
      </c>
      <c r="Q533" s="16" t="n">
        <f aca="false">IF(D533="","",IF(P533&gt;=0,K533,MAX(0,K533+P533)))</f>
        <v>1.119744</v>
      </c>
      <c r="R533" s="16" t="n">
        <f aca="false">IF(D533="","",Q533/$B$15)</f>
        <v>0.432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161.983244199712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99.9896569134025</v>
      </c>
      <c r="Z533" s="18" t="n">
        <f aca="false">IF(D533="","",MAX(0,IF(P533&gt;=0,P533,IF(K533+P533&gt;=0,0,P533+K533))))</f>
        <v>161.983244199712</v>
      </c>
      <c r="AA533" s="18" t="n">
        <f aca="false">IF(D533="","",IF(H533&lt;=$B$16,1,IF(H533&gt;=$B$17,$B$21,MATCH(H533,Aux_CAV!$A$2:$A$121,1))))</f>
        <v>23</v>
      </c>
      <c r="AB533" s="18" t="n">
        <f aca="false">IF(D533="","",IF(L533&lt;=$B$16,1,IF(L533&gt;=$B$17,$B$21,MATCH(L533,Aux_CAV!$A$2:$A$121,1))))</f>
        <v>22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0.302952591742428</v>
      </c>
      <c r="E534" s="16" t="n">
        <f aca="false">IF(D534="","",D534*$B$15)</f>
        <v>0.785253117796373</v>
      </c>
      <c r="F534" s="16" t="n">
        <f aca="false" t="array" ref="F534:F534">IF(D534="","",IFERROR(INDEX(Dados_Evap!$C$2:$N$15,MATCH($B$9,Dados_Evap!$A$2:$A$15,0),C534),0))</f>
        <v>149</v>
      </c>
      <c r="G534" s="16" t="n">
        <f aca="false">IF(F534="","",F534/1000)</f>
        <v>0.149</v>
      </c>
      <c r="H534" s="16" t="n">
        <f aca="false">IF(D534="","",MAX(0,MIN($B$8,IFERROR(LOOKUP(2,1/($U$24:U533&lt;&gt;""),$U$24:U533),$B$11))))</f>
        <v>161.983244199712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15.7817800643785</v>
      </c>
      <c r="J534" s="16" t="n">
        <f aca="false">IF(D534="","",$B$12)</f>
        <v>0.432</v>
      </c>
      <c r="K534" s="16" t="n">
        <f aca="false">IF(J534="","",J534*$B$15)</f>
        <v>1.119744</v>
      </c>
      <c r="L534" s="16" t="n">
        <f aca="false">IF(D534="","",H534+E534-K534-G534*I534)</f>
        <v>159.297268087916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15.5862228316002</v>
      </c>
      <c r="N534" s="16" t="n">
        <f aca="false">IF(D534="","",(I534+M534)/2)</f>
        <v>15.6840014479894</v>
      </c>
      <c r="O534" s="16" t="n">
        <f aca="false">IF(D534="","",G534*N534)</f>
        <v>2.33691621575042</v>
      </c>
      <c r="P534" s="16" t="n">
        <f aca="false">IF(D534="","",H534+E534-K534-O534)</f>
        <v>159.311837101758</v>
      </c>
      <c r="Q534" s="16" t="n">
        <f aca="false">IF(D534="","",IF(P534&gt;=0,K534,MAX(0,K534+P534)))</f>
        <v>1.119744</v>
      </c>
      <c r="R534" s="16" t="n">
        <f aca="false">IF(D534="","",Q534/$B$15)</f>
        <v>0.432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159.311837101758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98.3406401862704</v>
      </c>
      <c r="Z534" s="18" t="n">
        <f aca="false">IF(D534="","",MAX(0,IF(P534&gt;=0,P534,IF(K534+P534&gt;=0,0,P534+K534))))</f>
        <v>159.311837101758</v>
      </c>
      <c r="AA534" s="18" t="n">
        <f aca="false">IF(D534="","",IF(H534&lt;=$B$16,1,IF(H534&gt;=$B$17,$B$21,MATCH(H534,Aux_CAV!$A$2:$A$121,1))))</f>
        <v>22</v>
      </c>
      <c r="AB534" s="18" t="n">
        <f aca="false">IF(D534="","",IF(L534&lt;=$B$16,1,IF(L534&gt;=$B$17,$B$21,MATCH(L534,Aux_CAV!$A$2:$A$121,1))))</f>
        <v>22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0.362488340041744</v>
      </c>
      <c r="E535" s="16" t="n">
        <f aca="false">IF(D535="","",D535*$B$15)</f>
        <v>0.939569777388201</v>
      </c>
      <c r="F535" s="16" t="n">
        <f aca="false" t="array" ref="F535:F535">IF(D535="","",IFERROR(INDEX(Dados_Evap!$C$2:$N$15,MATCH($B$9,Dados_Evap!$A$2:$A$15,0),C535),0))</f>
        <v>206.8</v>
      </c>
      <c r="G535" s="16" t="n">
        <f aca="false">IF(F535="","",F535/1000)</f>
        <v>0.2068</v>
      </c>
      <c r="H535" s="16" t="n">
        <f aca="false">IF(D535="","",MAX(0,MIN($B$8,IFERROR(LOOKUP(2,1/($U$24:U534&lt;&gt;""),$U$24:U534),$B$11))))</f>
        <v>159.311837101758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15.5872835543739</v>
      </c>
      <c r="J535" s="16" t="n">
        <f aca="false">IF(D535="","",$B$12)</f>
        <v>0.432</v>
      </c>
      <c r="K535" s="16" t="n">
        <f aca="false">IF(J535="","",J535*$B$15)</f>
        <v>1.119744</v>
      </c>
      <c r="L535" s="16" t="n">
        <f aca="false">IF(D535="","",H535+E535-K535-G535*I535)</f>
        <v>155.908212640102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15.3394766665111</v>
      </c>
      <c r="N535" s="16" t="n">
        <f aca="false">IF(D535="","",(I535+M535)/2)</f>
        <v>15.4633801104425</v>
      </c>
      <c r="O535" s="16" t="n">
        <f aca="false">IF(D535="","",G535*N535)</f>
        <v>3.19782700683951</v>
      </c>
      <c r="P535" s="16" t="n">
        <f aca="false">IF(D535="","",H535+E535-K535-O535)</f>
        <v>155.933835872307</v>
      </c>
      <c r="Q535" s="16" t="n">
        <f aca="false">IF(D535="","",IF(P535&gt;=0,K535,MAX(0,K535+P535)))</f>
        <v>1.119744</v>
      </c>
      <c r="R535" s="16" t="n">
        <f aca="false">IF(D535="","",Q535/$B$15)</f>
        <v>0.432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155.933835872307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96.2554542421646</v>
      </c>
      <c r="Z535" s="18" t="n">
        <f aca="false">IF(D535="","",MAX(0,IF(P535&gt;=0,P535,IF(K535+P535&gt;=0,0,P535+K535))))</f>
        <v>155.933835872307</v>
      </c>
      <c r="AA535" s="18" t="n">
        <f aca="false">IF(D535="","",IF(H535&lt;=$B$16,1,IF(H535&gt;=$B$17,$B$21,MATCH(H535,Aux_CAV!$A$2:$A$121,1))))</f>
        <v>22</v>
      </c>
      <c r="AB535" s="18" t="n">
        <f aca="false">IF(D535="","",IF(L535&lt;=$B$16,1,IF(L535&gt;=$B$17,$B$21,MATCH(L535,Aux_CAV!$A$2:$A$121,1))))</f>
        <v>22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0.319132010969336</v>
      </c>
      <c r="E536" s="16" t="n">
        <f aca="false">IF(D536="","",D536*$B$15)</f>
        <v>0.827190172432519</v>
      </c>
      <c r="F536" s="16" t="n">
        <f aca="false" t="array" ref="F536:F536">IF(D536="","",IFERROR(INDEX(Dados_Evap!$C$2:$N$15,MATCH($B$9,Dados_Evap!$A$2:$A$15,0),C536),0))</f>
        <v>245.9</v>
      </c>
      <c r="G536" s="16" t="n">
        <f aca="false">IF(F536="","",F536/1000)</f>
        <v>0.2459</v>
      </c>
      <c r="H536" s="16" t="n">
        <f aca="false">IF(D536="","",MAX(0,MIN($B$8,IFERROR(LOOKUP(2,1/($U$24:U535&lt;&gt;""),$U$24:U535),$B$11))))</f>
        <v>155.933835872307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15.3413422111683</v>
      </c>
      <c r="J536" s="16" t="n">
        <f aca="false">IF(D536="","",$B$12)</f>
        <v>0.432</v>
      </c>
      <c r="K536" s="16" t="n">
        <f aca="false">IF(J536="","",J536*$B$15)</f>
        <v>1.119744</v>
      </c>
      <c r="L536" s="16" t="n">
        <f aca="false">IF(D536="","",H536+E536-K536-G536*I536)</f>
        <v>151.868845995013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15.0453834466119</v>
      </c>
      <c r="N536" s="16" t="n">
        <f aca="false">IF(D536="","",(I536+M536)/2)</f>
        <v>15.1933628288901</v>
      </c>
      <c r="O536" s="16" t="n">
        <f aca="false">IF(D536="","",G536*N536)</f>
        <v>3.73604791962408</v>
      </c>
      <c r="P536" s="16" t="n">
        <f aca="false">IF(D536="","",H536+E536-K536-O536)</f>
        <v>151.905234125115</v>
      </c>
      <c r="Q536" s="16" t="n">
        <f aca="false">IF(D536="","",IF(P536&gt;=0,K536,MAX(0,K536+P536)))</f>
        <v>1.119744</v>
      </c>
      <c r="R536" s="16" t="n">
        <f aca="false">IF(D536="","",Q536/$B$15)</f>
        <v>0.432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151.905234125115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93.7686630401945</v>
      </c>
      <c r="Z536" s="18" t="n">
        <f aca="false">IF(D536="","",MAX(0,IF(P536&gt;=0,P536,IF(K536+P536&gt;=0,0,P536+K536))))</f>
        <v>151.905234125115</v>
      </c>
      <c r="AA536" s="18" t="n">
        <f aca="false">IF(D536="","",IF(H536&lt;=$B$16,1,IF(H536&gt;=$B$17,$B$21,MATCH(H536,Aux_CAV!$A$2:$A$121,1))))</f>
        <v>22</v>
      </c>
      <c r="AB536" s="18" t="n">
        <f aca="false">IF(D536="","",IF(L536&lt;=$B$16,1,IF(L536&gt;=$B$17,$B$21,MATCH(L536,Aux_CAV!$A$2:$A$121,1))))</f>
        <v>22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0.276148062523566</v>
      </c>
      <c r="E537" s="16" t="n">
        <f aca="false">IF(D537="","",D537*$B$15)</f>
        <v>0.715775778061083</v>
      </c>
      <c r="F537" s="16" t="n">
        <f aca="false" t="array" ref="F537:F537">IF(D537="","",IFERROR(INDEX(Dados_Evap!$C$2:$N$15,MATCH($B$9,Dados_Evap!$A$2:$A$15,0),C537),0))</f>
        <v>282.3</v>
      </c>
      <c r="G537" s="16" t="n">
        <f aca="false">IF(F537="","",F537/1000)</f>
        <v>0.2823</v>
      </c>
      <c r="H537" s="16" t="n">
        <f aca="false">IF(D537="","",MAX(0,MIN($B$8,IFERROR(LOOKUP(2,1/($U$24:U536&lt;&gt;""),$U$24:U536),$B$11))))</f>
        <v>151.905234125115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15.0480327486655</v>
      </c>
      <c r="J537" s="16" t="n">
        <f aca="false">IF(D537="","",$B$12)</f>
        <v>0.432</v>
      </c>
      <c r="K537" s="16" t="n">
        <f aca="false">IF(J537="","",J537*$B$15)</f>
        <v>1.119744</v>
      </c>
      <c r="L537" s="16" t="n">
        <f aca="false">IF(D537="","",H537+E537-K537-G537*I537)</f>
        <v>147.253206258228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14.7093336468899</v>
      </c>
      <c r="N537" s="16" t="n">
        <f aca="false">IF(D537="","",(I537+M537)/2)</f>
        <v>14.8786831977777</v>
      </c>
      <c r="O537" s="16" t="n">
        <f aca="false">IF(D537="","",G537*N537)</f>
        <v>4.20025226673265</v>
      </c>
      <c r="P537" s="16" t="n">
        <f aca="false">IF(D537="","",H537+E537-K537-O537)</f>
        <v>147.301013636444</v>
      </c>
      <c r="Q537" s="16" t="n">
        <f aca="false">IF(D537="","",IF(P537&gt;=0,K537,MAX(0,K537+P537)))</f>
        <v>1.119744</v>
      </c>
      <c r="R537" s="16" t="n">
        <f aca="false">IF(D537="","",Q537/$B$15)</f>
        <v>0.432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147.301013636444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90.9265516274343</v>
      </c>
      <c r="Z537" s="18" t="n">
        <f aca="false">IF(D537="","",MAX(0,IF(P537&gt;=0,P537,IF(K537+P537&gt;=0,0,P537+K537))))</f>
        <v>147.301013636444</v>
      </c>
      <c r="AA537" s="18" t="n">
        <f aca="false">IF(D537="","",IF(H537&lt;=$B$16,1,IF(H537&gt;=$B$17,$B$21,MATCH(H537,Aux_CAV!$A$2:$A$121,1))))</f>
        <v>22</v>
      </c>
      <c r="AB537" s="18" t="n">
        <f aca="false">IF(D537="","",IF(L537&lt;=$B$16,1,IF(L537&gt;=$B$17,$B$21,MATCH(L537,Aux_CAV!$A$2:$A$121,1))))</f>
        <v>22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0.25453986358273</v>
      </c>
      <c r="E538" s="16" t="n">
        <f aca="false">IF(D538="","",D538*$B$15)</f>
        <v>0.659767326406436</v>
      </c>
      <c r="F538" s="16" t="n">
        <f aca="false" t="array" ref="F538:F538">IF(D538="","",IFERROR(INDEX(Dados_Evap!$C$2:$N$15,MATCH($B$9,Dados_Evap!$A$2:$A$15,0),C538),0))</f>
        <v>241.3</v>
      </c>
      <c r="G538" s="16" t="n">
        <f aca="false">IF(F538="","",F538/1000)</f>
        <v>0.2413</v>
      </c>
      <c r="H538" s="16" t="n">
        <f aca="false">IF(D538="","",MAX(0,MIN($B$8,IFERROR(LOOKUP(2,1/($U$24:U537&lt;&gt;""),$U$24:U537),$B$11))))</f>
        <v>147.301013636444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14.7128143474625</v>
      </c>
      <c r="J538" s="16" t="n">
        <f aca="false">IF(D538="","",$B$12)</f>
        <v>0.432</v>
      </c>
      <c r="K538" s="16" t="n">
        <f aca="false">IF(J538="","",J538*$B$15)</f>
        <v>1.119744</v>
      </c>
      <c r="L538" s="16" t="n">
        <f aca="false">IF(D538="","",H538+E538-K538-G538*I538)</f>
        <v>143.290834860807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14.4208462019286</v>
      </c>
      <c r="N538" s="16" t="n">
        <f aca="false">IF(D538="","",(I538+M538)/2)</f>
        <v>14.5668302746955</v>
      </c>
      <c r="O538" s="16" t="n">
        <f aca="false">IF(D538="","",G538*N538)</f>
        <v>3.51497614528404</v>
      </c>
      <c r="P538" s="16" t="n">
        <f aca="false">IF(D538="","",H538+E538-K538-O538)</f>
        <v>143.326060817566</v>
      </c>
      <c r="Q538" s="16" t="n">
        <f aca="false">IF(D538="","",IF(P538&gt;=0,K538,MAX(0,K538+P538)))</f>
        <v>1.119744</v>
      </c>
      <c r="R538" s="16" t="n">
        <f aca="false">IF(D538="","",Q538/$B$15)</f>
        <v>0.432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143.326060817566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88.4728770478803</v>
      </c>
      <c r="Z538" s="18" t="n">
        <f aca="false">IF(D538="","",MAX(0,IF(P538&gt;=0,P538,IF(K538+P538&gt;=0,0,P538+K538))))</f>
        <v>143.326060817566</v>
      </c>
      <c r="AA538" s="18" t="n">
        <f aca="false">IF(D538="","",IF(H538&lt;=$B$16,1,IF(H538&gt;=$B$17,$B$21,MATCH(H538,Aux_CAV!$A$2:$A$121,1))))</f>
        <v>22</v>
      </c>
      <c r="AB538" s="18" t="n">
        <f aca="false">IF(D538="","",IF(L538&lt;=$B$16,1,IF(L538&gt;=$B$17,$B$21,MATCH(L538,Aux_CAV!$A$2:$A$121,1))))</f>
        <v>22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0.316290185453057</v>
      </c>
      <c r="E539" s="16" t="n">
        <f aca="false">IF(D539="","",D539*$B$15)</f>
        <v>0.819824160694324</v>
      </c>
      <c r="F539" s="16" t="n">
        <f aca="false" t="array" ref="F539:F539">IF(D539="","",IFERROR(INDEX(Dados_Evap!$C$2:$N$15,MATCH($B$9,Dados_Evap!$A$2:$A$15,0),C539),0))</f>
        <v>241.8</v>
      </c>
      <c r="G539" s="16" t="n">
        <f aca="false">IF(F539="","",F539/1000)</f>
        <v>0.2418</v>
      </c>
      <c r="H539" s="16" t="n">
        <f aca="false">IF(D539="","",MAX(0,MIN($B$8,IFERROR(LOOKUP(2,1/($U$24:U538&lt;&gt;""),$U$24:U538),$B$11))))</f>
        <v>143.326060817566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14.4234108899001</v>
      </c>
      <c r="J539" s="16" t="n">
        <f aca="false">IF(D539="","",$B$12)</f>
        <v>0.432</v>
      </c>
      <c r="K539" s="16" t="n">
        <f aca="false">IF(J539="","",J539*$B$15)</f>
        <v>1.119744</v>
      </c>
      <c r="L539" s="16" t="n">
        <f aca="false">IF(D539="","",H539+E539-K539-G539*I539)</f>
        <v>139.538560225082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14.147655222618</v>
      </c>
      <c r="N539" s="16" t="n">
        <f aca="false">IF(D539="","",(I539+M539)/2)</f>
        <v>14.285533056259</v>
      </c>
      <c r="O539" s="16" t="n">
        <f aca="false">IF(D539="","",G539*N539)</f>
        <v>3.45424189300343</v>
      </c>
      <c r="P539" s="16" t="n">
        <f aca="false">IF(D539="","",H539+E539-K539-O539)</f>
        <v>139.571899085257</v>
      </c>
      <c r="Q539" s="16" t="n">
        <f aca="false">IF(D539="","",IF(P539&gt;=0,K539,MAX(0,K539+P539)))</f>
        <v>1.119744</v>
      </c>
      <c r="R539" s="16" t="n">
        <f aca="false">IF(D539="","",Q539/$B$15)</f>
        <v>0.432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139.571899085257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86.1554932625043</v>
      </c>
      <c r="Z539" s="18" t="n">
        <f aca="false">IF(D539="","",MAX(0,IF(P539&gt;=0,P539,IF(K539+P539&gt;=0,0,P539+K539))))</f>
        <v>139.571899085257</v>
      </c>
      <c r="AA539" s="18" t="n">
        <f aca="false">IF(D539="","",IF(H539&lt;=$B$16,1,IF(H539&gt;=$B$17,$B$21,MATCH(H539,Aux_CAV!$A$2:$A$121,1))))</f>
        <v>22</v>
      </c>
      <c r="AB539" s="18" t="n">
        <f aca="false">IF(D539="","",IF(L539&lt;=$B$16,1,IF(L539&gt;=$B$17,$B$21,MATCH(L539,Aux_CAV!$A$2:$A$121,1))))</f>
        <v>22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0.24379924953026</v>
      </c>
      <c r="E540" s="16" t="n">
        <f aca="false">IF(D540="","",D540*$B$15)</f>
        <v>0.631927654782434</v>
      </c>
      <c r="F540" s="16" t="n">
        <f aca="false" t="array" ref="F540:F540">IF(D540="","",IFERROR(INDEX(Dados_Evap!$C$2:$N$15,MATCH($B$9,Dados_Evap!$A$2:$A$15,0),C540),0))</f>
        <v>189</v>
      </c>
      <c r="G540" s="16" t="n">
        <f aca="false">IF(F540="","",F540/1000)</f>
        <v>0.189</v>
      </c>
      <c r="H540" s="16" t="n">
        <f aca="false">IF(D540="","",MAX(0,MIN($B$8,IFERROR(LOOKUP(2,1/($U$24:U539&lt;&gt;""),$U$24:U539),$B$11))))</f>
        <v>139.571899085257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14.1500825171911</v>
      </c>
      <c r="J540" s="16" t="n">
        <f aca="false">IF(D540="","",$B$12)</f>
        <v>0.432</v>
      </c>
      <c r="K540" s="16" t="n">
        <f aca="false">IF(J540="","",J540*$B$15)</f>
        <v>1.119744</v>
      </c>
      <c r="L540" s="16" t="n">
        <f aca="false">IF(D540="","",H540+E540-K540-G540*I540)</f>
        <v>136.40971714429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13.9198542783021</v>
      </c>
      <c r="N540" s="16" t="n">
        <f aca="false">IF(D540="","",(I540+M540)/2)</f>
        <v>14.0349683977466</v>
      </c>
      <c r="O540" s="16" t="n">
        <f aca="false">IF(D540="","",G540*N540)</f>
        <v>2.6526090271741</v>
      </c>
      <c r="P540" s="16" t="n">
        <f aca="false">IF(D540="","",H540+E540-K540-O540)</f>
        <v>136.431473712865</v>
      </c>
      <c r="Q540" s="16" t="n">
        <f aca="false">IF(D540="","",IF(P540&gt;=0,K540,MAX(0,K540+P540)))</f>
        <v>1.119744</v>
      </c>
      <c r="R540" s="16" t="n">
        <f aca="false">IF(D540="","",Q540/$B$15)</f>
        <v>0.432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136.431473712865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84.2169590820156</v>
      </c>
      <c r="Z540" s="18" t="n">
        <f aca="false">IF(D540="","",MAX(0,IF(P540&gt;=0,P540,IF(K540+P540&gt;=0,0,P540+K540))))</f>
        <v>136.431473712865</v>
      </c>
      <c r="AA540" s="18" t="n">
        <f aca="false">IF(D540="","",IF(H540&lt;=$B$16,1,IF(H540&gt;=$B$17,$B$21,MATCH(H540,Aux_CAV!$A$2:$A$121,1))))</f>
        <v>22</v>
      </c>
      <c r="AB540" s="18" t="n">
        <f aca="false">IF(D540="","",IF(L540&lt;=$B$16,1,IF(L540&gt;=$B$17,$B$21,MATCH(L540,Aux_CAV!$A$2:$A$121,1))))</f>
        <v>22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0.273615020234998</v>
      </c>
      <c r="E541" s="16" t="n">
        <f aca="false">IF(D541="","",D541*$B$15)</f>
        <v>0.709210132449115</v>
      </c>
      <c r="F541" s="16" t="n">
        <f aca="false" t="array" ref="F541:F541">IF(D541="","",IFERROR(INDEX(Dados_Evap!$C$2:$N$15,MATCH($B$9,Dados_Evap!$A$2:$A$15,0),C541),0))</f>
        <v>136.9</v>
      </c>
      <c r="G541" s="16" t="n">
        <f aca="false">IF(F541="","",F541/1000)</f>
        <v>0.1369</v>
      </c>
      <c r="H541" s="16" t="n">
        <f aca="false">IF(D541="","",MAX(0,MIN($B$8,IFERROR(LOOKUP(2,1/($U$24:U540&lt;&gt;""),$U$24:U540),$B$11))))</f>
        <v>136.431473712865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13.9214383036873</v>
      </c>
      <c r="J541" s="16" t="n">
        <f aca="false">IF(D541="","",$B$12)</f>
        <v>0.432</v>
      </c>
      <c r="K541" s="16" t="n">
        <f aca="false">IF(J541="","",J541*$B$15)</f>
        <v>1.119744</v>
      </c>
      <c r="L541" s="16" t="n">
        <f aca="false">IF(D541="","",H541+E541-K541-G541*I541)</f>
        <v>134.11509494154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13.7527902577879</v>
      </c>
      <c r="N541" s="16" t="n">
        <f aca="false">IF(D541="","",(I541+M541)/2)</f>
        <v>13.8371142807376</v>
      </c>
      <c r="O541" s="16" t="n">
        <f aca="false">IF(D541="","",G541*N541)</f>
        <v>1.89430094503298</v>
      </c>
      <c r="P541" s="16" t="n">
        <f aca="false">IF(D541="","",H541+E541-K541-O541)</f>
        <v>134.126638900281</v>
      </c>
      <c r="Q541" s="16" t="n">
        <f aca="false">IF(D541="","",IF(P541&gt;=0,K541,MAX(0,K541+P541)))</f>
        <v>1.119744</v>
      </c>
      <c r="R541" s="16" t="n">
        <f aca="false">IF(D541="","",Q541/$B$15)</f>
        <v>0.432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134.126638900281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82.7942215433836</v>
      </c>
      <c r="Z541" s="18" t="n">
        <f aca="false">IF(D541="","",MAX(0,IF(P541&gt;=0,P541,IF(K541+P541&gt;=0,0,P541+K541))))</f>
        <v>134.126638900281</v>
      </c>
      <c r="AA541" s="18" t="n">
        <f aca="false">IF(D541="","",IF(H541&lt;=$B$16,1,IF(H541&gt;=$B$17,$B$21,MATCH(H541,Aux_CAV!$A$2:$A$121,1))))</f>
        <v>22</v>
      </c>
      <c r="AB541" s="18" t="n">
        <f aca="false">IF(D541="","",IF(L541&lt;=$B$16,1,IF(L541&gt;=$B$17,$B$21,MATCH(L541,Aux_CAV!$A$2:$A$121,1))))</f>
        <v>22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0.728464187056838</v>
      </c>
      <c r="E542" s="16" t="n">
        <f aca="false">IF(D542="","",D542*$B$15)</f>
        <v>1.88817917285132</v>
      </c>
      <c r="F542" s="16" t="n">
        <f aca="false" t="array" ref="F542:F542">IF(D542="","",IFERROR(INDEX(Dados_Evap!$C$2:$N$15,MATCH($B$9,Dados_Evap!$A$2:$A$15,0),C542),0))</f>
        <v>102.9</v>
      </c>
      <c r="G542" s="16" t="n">
        <f aca="false">IF(F542="","",F542/1000)</f>
        <v>0.1029</v>
      </c>
      <c r="H542" s="16" t="n">
        <f aca="false">IF(D542="","",MAX(0,MIN($B$8,IFERROR(LOOKUP(2,1/($U$24:U541&lt;&gt;""),$U$24:U541),$B$11))))</f>
        <v>134.126638900281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13.7536307360844</v>
      </c>
      <c r="J542" s="16" t="n">
        <f aca="false">IF(D542="","",$B$12)</f>
        <v>0.432</v>
      </c>
      <c r="K542" s="16" t="n">
        <f aca="false">IF(J542="","",J542*$B$15)</f>
        <v>1.119744</v>
      </c>
      <c r="L542" s="16" t="n">
        <f aca="false">IF(D542="","",H542+E542-K542-G542*I542)</f>
        <v>133.47982547039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13.7065383424038</v>
      </c>
      <c r="N542" s="16" t="n">
        <f aca="false">IF(D542="","",(I542+M542)/2)</f>
        <v>13.7300845392441</v>
      </c>
      <c r="O542" s="16" t="n">
        <f aca="false">IF(D542="","",G542*N542)</f>
        <v>1.41282569908822</v>
      </c>
      <c r="P542" s="16" t="n">
        <f aca="false">IF(D542="","",H542+E542-K542-O542)</f>
        <v>133.482248374044</v>
      </c>
      <c r="Q542" s="16" t="n">
        <f aca="false">IF(D542="","",IF(P542&gt;=0,K542,MAX(0,K542+P542)))</f>
        <v>1.119744</v>
      </c>
      <c r="R542" s="16" t="n">
        <f aca="false">IF(D542="","",Q542/$B$15)</f>
        <v>0.432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133.482248374044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82.3964496136077</v>
      </c>
      <c r="Z542" s="18" t="n">
        <f aca="false">IF(D542="","",MAX(0,IF(P542&gt;=0,P542,IF(K542+P542&gt;=0,0,P542+K542))))</f>
        <v>133.482248374044</v>
      </c>
      <c r="AA542" s="18" t="n">
        <f aca="false">IF(D542="","",IF(H542&lt;=$B$16,1,IF(H542&gt;=$B$17,$B$21,MATCH(H542,Aux_CAV!$A$2:$A$121,1))))</f>
        <v>22</v>
      </c>
      <c r="AB542" s="18" t="n">
        <f aca="false">IF(D542="","",IF(L542&lt;=$B$16,1,IF(L542&gt;=$B$17,$B$21,MATCH(L542,Aux_CAV!$A$2:$A$121,1))))</f>
        <v>22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2.07441081058728</v>
      </c>
      <c r="E543" s="16" t="n">
        <f aca="false">IF(D543="","",D543*$B$15)</f>
        <v>5.37687282104223</v>
      </c>
      <c r="F543" s="16" t="n">
        <f aca="false" t="array" ref="F543:F543">IF(D543="","",IFERROR(INDEX(Dados_Evap!$C$2:$N$15,MATCH($B$9,Dados_Evap!$A$2:$A$15,0),C543),0))</f>
        <v>81.8</v>
      </c>
      <c r="G543" s="16" t="n">
        <f aca="false">IF(F543="","",F543/1000)</f>
        <v>0.0818</v>
      </c>
      <c r="H543" s="16" t="n">
        <f aca="false">IF(D543="","",MAX(0,MIN($B$8,IFERROR(LOOKUP(2,1/($U$24:U542&lt;&gt;""),$U$24:U542),$B$11))))</f>
        <v>133.482248374044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13.7067147461819</v>
      </c>
      <c r="J543" s="16" t="n">
        <f aca="false">IF(D543="","",$B$12)</f>
        <v>0.432</v>
      </c>
      <c r="K543" s="16" t="n">
        <f aca="false">IF(J543="","",J543*$B$15)</f>
        <v>1.119744</v>
      </c>
      <c r="L543" s="16" t="n">
        <f aca="false">IF(D543="","",H543+E543-K543-G543*I543)</f>
        <v>136.618167928849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13.9350309056815</v>
      </c>
      <c r="N543" s="16" t="n">
        <f aca="false">IF(D543="","",(I543+M543)/2)</f>
        <v>13.8208728259317</v>
      </c>
      <c r="O543" s="16" t="n">
        <f aca="false">IF(D543="","",G543*N543)</f>
        <v>1.13054739716121</v>
      </c>
      <c r="P543" s="16" t="n">
        <f aca="false">IF(D543="","",H543+E543-K543-O543)</f>
        <v>136.608829797926</v>
      </c>
      <c r="Q543" s="16" t="n">
        <f aca="false">IF(D543="","",IF(P543&gt;=0,K543,MAX(0,K543+P543)))</f>
        <v>1.119744</v>
      </c>
      <c r="R543" s="16" t="n">
        <f aca="false">IF(D543="","",Q543/$B$15)</f>
        <v>0.432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136.608829797926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84.3264381468676</v>
      </c>
      <c r="Z543" s="18" t="n">
        <f aca="false">IF(D543="","",MAX(0,IF(P543&gt;=0,P543,IF(K543+P543&gt;=0,0,P543+K543))))</f>
        <v>136.608829797926</v>
      </c>
      <c r="AA543" s="18" t="n">
        <f aca="false">IF(D543="","",IF(H543&lt;=$B$16,1,IF(H543&gt;=$B$17,$B$21,MATCH(H543,Aux_CAV!$A$2:$A$121,1))))</f>
        <v>22</v>
      </c>
      <c r="AB543" s="18" t="n">
        <f aca="false">IF(D543="","",IF(L543&lt;=$B$16,1,IF(L543&gt;=$B$17,$B$21,MATCH(L543,Aux_CAV!$A$2:$A$121,1))))</f>
        <v>22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2.19413094166173</v>
      </c>
      <c r="E544" s="16" t="n">
        <f aca="false">IF(D544="","",D544*$B$15)</f>
        <v>5.6871874007872</v>
      </c>
      <c r="F544" s="16" t="n">
        <f aca="false" t="array" ref="F544:F544">IF(D544="","",IFERROR(INDEX(Dados_Evap!$C$2:$N$15,MATCH($B$9,Dados_Evap!$A$2:$A$15,0),C544),0))</f>
        <v>83.6</v>
      </c>
      <c r="G544" s="16" t="n">
        <f aca="false">IF(F544="","",F544/1000)</f>
        <v>0.0836</v>
      </c>
      <c r="H544" s="16" t="n">
        <f aca="false">IF(D544="","",MAX(0,MIN($B$8,IFERROR(LOOKUP(2,1/($U$24:U543&lt;&gt;""),$U$24:U543),$B$11))))</f>
        <v>136.608829797926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13.9343510265736</v>
      </c>
      <c r="J544" s="16" t="n">
        <f aca="false">IF(D544="","",$B$12)</f>
        <v>0.432</v>
      </c>
      <c r="K544" s="16" t="n">
        <f aca="false">IF(J544="","",J544*$B$15)</f>
        <v>1.119744</v>
      </c>
      <c r="L544" s="16" t="n">
        <f aca="false">IF(D544="","",H544+E544-K544-G544*I544)</f>
        <v>140.011361452891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14.1820783507159</v>
      </c>
      <c r="N544" s="16" t="n">
        <f aca="false">IF(D544="","",(I544+M544)/2)</f>
        <v>14.0582146886448</v>
      </c>
      <c r="O544" s="16" t="n">
        <f aca="false">IF(D544="","",G544*N544)</f>
        <v>1.1752667479707</v>
      </c>
      <c r="P544" s="16" t="n">
        <f aca="false">IF(D544="","",H544+E544-K544-O544)</f>
        <v>140.001006450742</v>
      </c>
      <c r="Q544" s="16" t="n">
        <f aca="false">IF(D544="","",IF(P544&gt;=0,K544,MAX(0,K544+P544)))</f>
        <v>1.119744</v>
      </c>
      <c r="R544" s="16" t="n">
        <f aca="false">IF(D544="","",Q544/$B$15)</f>
        <v>0.432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140.001006450742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86.4203743523099</v>
      </c>
      <c r="Z544" s="18" t="n">
        <f aca="false">IF(D544="","",MAX(0,IF(P544&gt;=0,P544,IF(K544+P544&gt;=0,0,P544+K544))))</f>
        <v>140.001006450742</v>
      </c>
      <c r="AA544" s="18" t="n">
        <f aca="false">IF(D544="","",IF(H544&lt;=$B$16,1,IF(H544&gt;=$B$17,$B$21,MATCH(H544,Aux_CAV!$A$2:$A$121,1))))</f>
        <v>22</v>
      </c>
      <c r="AB544" s="18" t="n">
        <f aca="false">IF(D544="","",IF(L544&lt;=$B$16,1,IF(L544&gt;=$B$17,$B$21,MATCH(L544,Aux_CAV!$A$2:$A$121,1))))</f>
        <v>22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2.32424154487542</v>
      </c>
      <c r="E545" s="16" t="n">
        <f aca="false">IF(D545="","",D545*$B$15)</f>
        <v>6.02443408431709</v>
      </c>
      <c r="F545" s="16" t="n">
        <f aca="false" t="array" ref="F545:F545">IF(D545="","",IFERROR(INDEX(Dados_Evap!$C$2:$N$15,MATCH($B$9,Dados_Evap!$A$2:$A$15,0),C545),0))</f>
        <v>108.2</v>
      </c>
      <c r="G545" s="16" t="n">
        <f aca="false">IF(F545="","",F545/1000)</f>
        <v>0.1082</v>
      </c>
      <c r="H545" s="16" t="n">
        <f aca="false">IF(D545="","",MAX(0,MIN($B$8,IFERROR(LOOKUP(2,1/($U$24:U544&lt;&gt;""),$U$24:U544),$B$11))))</f>
        <v>140.001006450742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14.1813244365032</v>
      </c>
      <c r="J545" s="16" t="n">
        <f aca="false">IF(D545="","",$B$12)</f>
        <v>0.432</v>
      </c>
      <c r="K545" s="16" t="n">
        <f aca="false">IF(J545="","",J545*$B$15)</f>
        <v>1.119744</v>
      </c>
      <c r="L545" s="16" t="n">
        <f aca="false">IF(D545="","",H545+E545-K545-G545*I545)</f>
        <v>143.371277231029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14.4267029507096</v>
      </c>
      <c r="N545" s="16" t="n">
        <f aca="false">IF(D545="","",(I545+M545)/2)</f>
        <v>14.3040136936064</v>
      </c>
      <c r="O545" s="16" t="n">
        <f aca="false">IF(D545="","",G545*N545)</f>
        <v>1.54769428164822</v>
      </c>
      <c r="P545" s="16" t="n">
        <f aca="false">IF(D545="","",H545+E545-K545-O545)</f>
        <v>143.358002253411</v>
      </c>
      <c r="Q545" s="16" t="n">
        <f aca="false">IF(D545="","",IF(P545&gt;=0,K545,MAX(0,K545+P545)))</f>
        <v>1.119744</v>
      </c>
      <c r="R545" s="16" t="n">
        <f aca="false">IF(D545="","",Q545/$B$15)</f>
        <v>0.432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143.358002253411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88.492593983587</v>
      </c>
      <c r="Z545" s="18" t="n">
        <f aca="false">IF(D545="","",MAX(0,IF(P545&gt;=0,P545,IF(K545+P545&gt;=0,0,P545+K545))))</f>
        <v>143.358002253411</v>
      </c>
      <c r="AA545" s="18" t="n">
        <f aca="false">IF(D545="","",IF(H545&lt;=$B$16,1,IF(H545&gt;=$B$17,$B$21,MATCH(H545,Aux_CAV!$A$2:$A$121,1))))</f>
        <v>22</v>
      </c>
      <c r="AB545" s="18" t="n">
        <f aca="false">IF(D545="","",IF(L545&lt;=$B$16,1,IF(L545&gt;=$B$17,$B$21,MATCH(L545,Aux_CAV!$A$2:$A$121,1))))</f>
        <v>22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0.792792319847931</v>
      </c>
      <c r="E546" s="16" t="n">
        <f aca="false">IF(D546="","",D546*$B$15)</f>
        <v>2.05491769304584</v>
      </c>
      <c r="F546" s="16" t="n">
        <f aca="false" t="array" ref="F546:F546">IF(D546="","",IFERROR(INDEX(Dados_Evap!$C$2:$N$15,MATCH($B$9,Dados_Evap!$A$2:$A$15,0),C546),0))</f>
        <v>149</v>
      </c>
      <c r="G546" s="16" t="n">
        <f aca="false">IF(F546="","",F546/1000)</f>
        <v>0.149</v>
      </c>
      <c r="H546" s="16" t="n">
        <f aca="false">IF(D546="","",MAX(0,MIN($B$8,IFERROR(LOOKUP(2,1/($U$24:U545&lt;&gt;""),$U$24:U545),$B$11))))</f>
        <v>143.358002253411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14.4257364425278</v>
      </c>
      <c r="J546" s="16" t="n">
        <f aca="false">IF(D546="","",$B$12)</f>
        <v>0.432</v>
      </c>
      <c r="K546" s="16" t="n">
        <f aca="false">IF(J546="","",J546*$B$15)</f>
        <v>1.119744</v>
      </c>
      <c r="L546" s="16" t="n">
        <f aca="false">IF(D546="","",H546+E546-K546-G546*I546)</f>
        <v>142.14374121652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14.3373300240187</v>
      </c>
      <c r="N546" s="16" t="n">
        <f aca="false">IF(D546="","",(I546+M546)/2)</f>
        <v>14.3815332332733</v>
      </c>
      <c r="O546" s="16" t="n">
        <f aca="false">IF(D546="","",G546*N546)</f>
        <v>2.14284845175772</v>
      </c>
      <c r="P546" s="16" t="n">
        <f aca="false">IF(D546="","",H546+E546-K546-O546)</f>
        <v>142.150327494699</v>
      </c>
      <c r="Q546" s="16" t="n">
        <f aca="false">IF(D546="","",IF(P546&gt;=0,K546,MAX(0,K546+P546)))</f>
        <v>1.119744</v>
      </c>
      <c r="R546" s="16" t="n">
        <f aca="false">IF(D546="","",Q546/$B$15)</f>
        <v>0.432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142.150327494699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87.7471157374685</v>
      </c>
      <c r="Z546" s="18" t="n">
        <f aca="false">IF(D546="","",MAX(0,IF(P546&gt;=0,P546,IF(K546+P546&gt;=0,0,P546+K546))))</f>
        <v>142.150327494699</v>
      </c>
      <c r="AA546" s="18" t="n">
        <f aca="false">IF(D546="","",IF(H546&lt;=$B$16,1,IF(H546&gt;=$B$17,$B$21,MATCH(H546,Aux_CAV!$A$2:$A$121,1))))</f>
        <v>22</v>
      </c>
      <c r="AB546" s="18" t="n">
        <f aca="false">IF(D546="","",IF(L546&lt;=$B$16,1,IF(L546&gt;=$B$17,$B$21,MATCH(L546,Aux_CAV!$A$2:$A$121,1))))</f>
        <v>22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0.280360881410306</v>
      </c>
      <c r="E547" s="16" t="n">
        <f aca="false">IF(D547="","",D547*$B$15)</f>
        <v>0.726695404615513</v>
      </c>
      <c r="F547" s="16" t="n">
        <f aca="false" t="array" ref="F547:F547">IF(D547="","",IFERROR(INDEX(Dados_Evap!$C$2:$N$15,MATCH($B$9,Dados_Evap!$A$2:$A$15,0),C547),0))</f>
        <v>206.8</v>
      </c>
      <c r="G547" s="16" t="n">
        <f aca="false">IF(F547="","",F547/1000)</f>
        <v>0.2068</v>
      </c>
      <c r="H547" s="16" t="n">
        <f aca="false">IF(D547="","",MAX(0,MIN($B$8,IFERROR(LOOKUP(2,1/($U$24:U546&lt;&gt;""),$U$24:U546),$B$11))))</f>
        <v>142.150327494699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14.3378095496293</v>
      </c>
      <c r="J547" s="16" t="n">
        <f aca="false">IF(D547="","",$B$12)</f>
        <v>0.432</v>
      </c>
      <c r="K547" s="16" t="n">
        <f aca="false">IF(J547="","",J547*$B$15)</f>
        <v>1.119744</v>
      </c>
      <c r="L547" s="16" t="n">
        <f aca="false">IF(D547="","",H547+E547-K547-G547*I547)</f>
        <v>138.792219884451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14.0933165964911</v>
      </c>
      <c r="N547" s="16" t="n">
        <f aca="false">IF(D547="","",(I547+M547)/2)</f>
        <v>14.2155630730602</v>
      </c>
      <c r="O547" s="16" t="n">
        <f aca="false">IF(D547="","",G547*N547)</f>
        <v>2.93977844350885</v>
      </c>
      <c r="P547" s="16" t="n">
        <f aca="false">IF(D547="","",H547+E547-K547-O547)</f>
        <v>138.817500455806</v>
      </c>
      <c r="Q547" s="16" t="n">
        <f aca="false">IF(D547="","",IF(P547&gt;=0,K547,MAX(0,K547+P547)))</f>
        <v>1.119744</v>
      </c>
      <c r="R547" s="16" t="n">
        <f aca="false">IF(D547="","",Q547/$B$15)</f>
        <v>0.432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138.817500455806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85.6898150961763</v>
      </c>
      <c r="Z547" s="18" t="n">
        <f aca="false">IF(D547="","",MAX(0,IF(P547&gt;=0,P547,IF(K547+P547&gt;=0,0,P547+K547))))</f>
        <v>138.817500455806</v>
      </c>
      <c r="AA547" s="18" t="n">
        <f aca="false">IF(D547="","",IF(H547&lt;=$B$16,1,IF(H547&gt;=$B$17,$B$21,MATCH(H547,Aux_CAV!$A$2:$A$121,1))))</f>
        <v>22</v>
      </c>
      <c r="AB547" s="18" t="n">
        <f aca="false">IF(D547="","",IF(L547&lt;=$B$16,1,IF(L547&gt;=$B$17,$B$21,MATCH(L547,Aux_CAV!$A$2:$A$121,1))))</f>
        <v>22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0.222986786178832</v>
      </c>
      <c r="E548" s="16" t="n">
        <f aca="false">IF(D548="","",D548*$B$15)</f>
        <v>0.577981749775533</v>
      </c>
      <c r="F548" s="16" t="n">
        <f aca="false" t="array" ref="F548:F548">IF(D548="","",IFERROR(INDEX(Dados_Evap!$C$2:$N$15,MATCH($B$9,Dados_Evap!$A$2:$A$15,0),C548),0))</f>
        <v>245.9</v>
      </c>
      <c r="G548" s="16" t="n">
        <f aca="false">IF(F548="","",F548/1000)</f>
        <v>0.2459</v>
      </c>
      <c r="H548" s="16" t="n">
        <f aca="false">IF(D548="","",MAX(0,MIN($B$8,IFERROR(LOOKUP(2,1/($U$24:U547&lt;&gt;""),$U$24:U547),$B$11))))</f>
        <v>138.817500455806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14.0951571931202</v>
      </c>
      <c r="J548" s="16" t="n">
        <f aca="false">IF(D548="","",$B$12)</f>
        <v>0.432</v>
      </c>
      <c r="K548" s="16" t="n">
        <f aca="false">IF(J548="","",J548*$B$15)</f>
        <v>1.119744</v>
      </c>
      <c r="L548" s="16" t="n">
        <f aca="false">IF(D548="","",H548+E548-K548-G548*I548)</f>
        <v>134.809739051793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13.803365048595</v>
      </c>
      <c r="N548" s="16" t="n">
        <f aca="false">IF(D548="","",(I548+M548)/2)</f>
        <v>13.9492611208576</v>
      </c>
      <c r="O548" s="16" t="n">
        <f aca="false">IF(D548="","",G548*N548)</f>
        <v>3.43012330961888</v>
      </c>
      <c r="P548" s="16" t="n">
        <f aca="false">IF(D548="","",H548+E548-K548-O548)</f>
        <v>134.845614895962</v>
      </c>
      <c r="Q548" s="16" t="n">
        <f aca="false">IF(D548="","",IF(P548&gt;=0,K548,MAX(0,K548+P548)))</f>
        <v>1.119744</v>
      </c>
      <c r="R548" s="16" t="n">
        <f aca="false">IF(D548="","",Q548/$B$15)</f>
        <v>0.432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134.845614895962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83.2380338863965</v>
      </c>
      <c r="Z548" s="18" t="n">
        <f aca="false">IF(D548="","",MAX(0,IF(P548&gt;=0,P548,IF(K548+P548&gt;=0,0,P548+K548))))</f>
        <v>134.845614895962</v>
      </c>
      <c r="AA548" s="18" t="n">
        <f aca="false">IF(D548="","",IF(H548&lt;=$B$16,1,IF(H548&gt;=$B$17,$B$21,MATCH(H548,Aux_CAV!$A$2:$A$121,1))))</f>
        <v>22</v>
      </c>
      <c r="AB548" s="18" t="n">
        <f aca="false">IF(D548="","",IF(L548&lt;=$B$16,1,IF(L548&gt;=$B$17,$B$21,MATCH(L548,Aux_CAV!$A$2:$A$121,1))))</f>
        <v>22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0.177771367374994</v>
      </c>
      <c r="E549" s="16" t="n">
        <f aca="false">IF(D549="","",D549*$B$15)</f>
        <v>0.460783384235985</v>
      </c>
      <c r="F549" s="16" t="n">
        <f aca="false" t="array" ref="F549:F549">IF(D549="","",IFERROR(INDEX(Dados_Evap!$C$2:$N$15,MATCH($B$9,Dados_Evap!$A$2:$A$15,0),C549),0))</f>
        <v>282.3</v>
      </c>
      <c r="G549" s="16" t="n">
        <f aca="false">IF(F549="","",F549/1000)</f>
        <v>0.2823</v>
      </c>
      <c r="H549" s="16" t="n">
        <f aca="false">IF(D549="","",MAX(0,MIN($B$8,IFERROR(LOOKUP(2,1/($U$24:U548&lt;&gt;""),$U$24:U548),$B$11))))</f>
        <v>134.845614895962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13.8059770527668</v>
      </c>
      <c r="J549" s="16" t="n">
        <f aca="false">IF(D549="","",$B$12)</f>
        <v>0.432</v>
      </c>
      <c r="K549" s="16" t="n">
        <f aca="false">IF(J549="","",J549*$B$15)</f>
        <v>1.119744</v>
      </c>
      <c r="L549" s="16" t="n">
        <f aca="false">IF(D549="","",H549+E549-K549-G549*I549)</f>
        <v>130.289226958202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13.474241184879</v>
      </c>
      <c r="N549" s="16" t="n">
        <f aca="false">IF(D549="","",(I549+M549)/2)</f>
        <v>13.6401091188229</v>
      </c>
      <c r="O549" s="16" t="n">
        <f aca="false">IF(D549="","",G549*N549)</f>
        <v>3.8506028042437</v>
      </c>
      <c r="P549" s="16" t="n">
        <f aca="false">IF(D549="","",H549+E549-K549-O549)</f>
        <v>130.336051475955</v>
      </c>
      <c r="Q549" s="16" t="n">
        <f aca="false">IF(D549="","",IF(P549&gt;=0,K549,MAX(0,K549+P549)))</f>
        <v>1.119744</v>
      </c>
      <c r="R549" s="16" t="n">
        <f aca="false">IF(D549="","",Q549/$B$15)</f>
        <v>0.432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130.336051475955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80.454352762935</v>
      </c>
      <c r="Z549" s="18" t="n">
        <f aca="false">IF(D549="","",MAX(0,IF(P549&gt;=0,P549,IF(K549+P549&gt;=0,0,P549+K549))))</f>
        <v>130.336051475955</v>
      </c>
      <c r="AA549" s="18" t="n">
        <f aca="false">IF(D549="","",IF(H549&lt;=$B$16,1,IF(H549&gt;=$B$17,$B$21,MATCH(H549,Aux_CAV!$A$2:$A$121,1))))</f>
        <v>22</v>
      </c>
      <c r="AB549" s="18" t="n">
        <f aca="false">IF(D549="","",IF(L549&lt;=$B$16,1,IF(L549&gt;=$B$17,$B$21,MATCH(L549,Aux_CAV!$A$2:$A$121,1))))</f>
        <v>22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0.168224551004444</v>
      </c>
      <c r="E550" s="16" t="n">
        <f aca="false">IF(D550="","",D550*$B$15)</f>
        <v>0.436038036203519</v>
      </c>
      <c r="F550" s="16" t="n">
        <f aca="false" t="array" ref="F550:F550">IF(D550="","",IFERROR(INDEX(Dados_Evap!$C$2:$N$15,MATCH($B$9,Dados_Evap!$A$2:$A$15,0),C550),0))</f>
        <v>241.3</v>
      </c>
      <c r="G550" s="16" t="n">
        <f aca="false">IF(F550="","",F550/1000)</f>
        <v>0.2413</v>
      </c>
      <c r="H550" s="16" t="n">
        <f aca="false">IF(D550="","",MAX(0,MIN($B$8,IFERROR(LOOKUP(2,1/($U$24:U549&lt;&gt;""),$U$24:U549),$B$11))))</f>
        <v>130.336051475955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13.4776503265603</v>
      </c>
      <c r="J550" s="16" t="n">
        <f aca="false">IF(D550="","",$B$12)</f>
        <v>0.432</v>
      </c>
      <c r="K550" s="16" t="n">
        <f aca="false">IF(J550="","",J550*$B$15)</f>
        <v>1.119744</v>
      </c>
      <c r="L550" s="16" t="n">
        <f aca="false">IF(D550="","",H550+E550-K550-G550*I550)</f>
        <v>126.400188488359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13.1910928731756</v>
      </c>
      <c r="N550" s="16" t="n">
        <f aca="false">IF(D550="","",(I550+M550)/2)</f>
        <v>13.334371599868</v>
      </c>
      <c r="O550" s="16" t="n">
        <f aca="false">IF(D550="","",G550*N550)</f>
        <v>3.21758386704814</v>
      </c>
      <c r="P550" s="16" t="n">
        <f aca="false">IF(D550="","",H550+E550-K550-O550)</f>
        <v>126.43476164511</v>
      </c>
      <c r="Q550" s="16" t="n">
        <f aca="false">IF(D550="","",IF(P550&gt;=0,K550,MAX(0,K550+P550)))</f>
        <v>1.119744</v>
      </c>
      <c r="R550" s="16" t="n">
        <f aca="false">IF(D550="","",Q550/$B$15)</f>
        <v>0.432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126.43476164511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78.0461491636481</v>
      </c>
      <c r="Z550" s="18" t="n">
        <f aca="false">IF(D550="","",MAX(0,IF(P550&gt;=0,P550,IF(K550+P550&gt;=0,0,P550+K550))))</f>
        <v>126.43476164511</v>
      </c>
      <c r="AA550" s="18" t="n">
        <f aca="false">IF(D550="","",IF(H550&lt;=$B$16,1,IF(H550&gt;=$B$17,$B$21,MATCH(H550,Aux_CAV!$A$2:$A$121,1))))</f>
        <v>22</v>
      </c>
      <c r="AB550" s="18" t="n">
        <f aca="false">IF(D550="","",IF(L550&lt;=$B$16,1,IF(L550&gt;=$B$17,$B$21,MATCH(L550,Aux_CAV!$A$2:$A$121,1))))</f>
        <v>22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0.1443838309195</v>
      </c>
      <c r="E551" s="16" t="n">
        <f aca="false">IF(D551="","",D551*$B$15)</f>
        <v>0.374242889743344</v>
      </c>
      <c r="F551" s="16" t="n">
        <f aca="false" t="array" ref="F551:F551">IF(D551="","",IFERROR(INDEX(Dados_Evap!$C$2:$N$15,MATCH($B$9,Dados_Evap!$A$2:$A$15,0),C551),0))</f>
        <v>241.8</v>
      </c>
      <c r="G551" s="16" t="n">
        <f aca="false">IF(F551="","",F551/1000)</f>
        <v>0.2418</v>
      </c>
      <c r="H551" s="16" t="n">
        <f aca="false">IF(D551="","",MAX(0,MIN($B$8,IFERROR(LOOKUP(2,1/($U$24:U550&lt;&gt;""),$U$24:U550),$B$11))))</f>
        <v>126.43476164511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13.19361003289</v>
      </c>
      <c r="J551" s="16" t="n">
        <f aca="false">IF(D551="","",$B$12)</f>
        <v>0.432</v>
      </c>
      <c r="K551" s="16" t="n">
        <f aca="false">IF(J551="","",J551*$B$15)</f>
        <v>1.119744</v>
      </c>
      <c r="L551" s="16" t="n">
        <f aca="false">IF(D551="","",H551+E551-K551-G551*I551)</f>
        <v>122.499045628901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12.9070632800165</v>
      </c>
      <c r="N551" s="16" t="n">
        <f aca="false">IF(D551="","",(I551+M551)/2)</f>
        <v>13.0503366564533</v>
      </c>
      <c r="O551" s="16" t="n">
        <f aca="false">IF(D551="","",G551*N551)</f>
        <v>3.1555714035304</v>
      </c>
      <c r="P551" s="16" t="n">
        <f aca="false">IF(D551="","",H551+E551-K551-O551)</f>
        <v>122.533689131323</v>
      </c>
      <c r="Q551" s="16" t="n">
        <f aca="false">IF(D551="","",IF(P551&gt;=0,K551,MAX(0,K551+P551)))</f>
        <v>1.119744</v>
      </c>
      <c r="R551" s="16" t="n">
        <f aca="false">IF(D551="","",Q551/$B$15)</f>
        <v>0.432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122.533689131323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75.6380797106932</v>
      </c>
      <c r="Z551" s="18" t="n">
        <f aca="false">IF(D551="","",MAX(0,IF(P551&gt;=0,P551,IF(K551+P551&gt;=0,0,P551+K551))))</f>
        <v>122.533689131323</v>
      </c>
      <c r="AA551" s="18" t="n">
        <f aca="false">IF(D551="","",IF(H551&lt;=$B$16,1,IF(H551&gt;=$B$17,$B$21,MATCH(H551,Aux_CAV!$A$2:$A$121,1))))</f>
        <v>22</v>
      </c>
      <c r="AB551" s="18" t="n">
        <f aca="false">IF(D551="","",IF(L551&lt;=$B$16,1,IF(L551&gt;=$B$17,$B$21,MATCH(L551,Aux_CAV!$A$2:$A$121,1))))</f>
        <v>22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0.205146231099236</v>
      </c>
      <c r="E552" s="16" t="n">
        <f aca="false">IF(D552="","",D552*$B$15)</f>
        <v>0.53173903100922</v>
      </c>
      <c r="F552" s="16" t="n">
        <f aca="false" t="array" ref="F552:F552">IF(D552="","",IFERROR(INDEX(Dados_Evap!$C$2:$N$15,MATCH($B$9,Dados_Evap!$A$2:$A$15,0),C552),0))</f>
        <v>189</v>
      </c>
      <c r="G552" s="16" t="n">
        <f aca="false">IF(F552="","",F552/1000)</f>
        <v>0.189</v>
      </c>
      <c r="H552" s="16" t="n">
        <f aca="false">IF(D552="","",MAX(0,MIN($B$8,IFERROR(LOOKUP(2,1/($U$24:U551&lt;&gt;""),$U$24:U551),$B$11))))</f>
        <v>122.533689131323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12.9095855613718</v>
      </c>
      <c r="J552" s="16" t="n">
        <f aca="false">IF(D552="","",$B$12)</f>
        <v>0.432</v>
      </c>
      <c r="K552" s="16" t="n">
        <f aca="false">IF(J552="","",J552*$B$15)</f>
        <v>1.119744</v>
      </c>
      <c r="L552" s="16" t="n">
        <f aca="false">IF(D552="","",H552+E552-K552-G552*I552)</f>
        <v>119.505772491233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12.6891327447518</v>
      </c>
      <c r="N552" s="16" t="n">
        <f aca="false">IF(D552="","",(I552+M552)/2)</f>
        <v>12.7993591530618</v>
      </c>
      <c r="O552" s="16" t="n">
        <f aca="false">IF(D552="","",G552*N552)</f>
        <v>2.41907887992868</v>
      </c>
      <c r="P552" s="16" t="n">
        <f aca="false">IF(D552="","",H552+E552-K552-O552)</f>
        <v>119.526605282403</v>
      </c>
      <c r="Q552" s="16" t="n">
        <f aca="false">IF(D552="","",IF(P552&gt;=0,K552,MAX(0,K552+P552)))</f>
        <v>1.119744</v>
      </c>
      <c r="R552" s="16" t="n">
        <f aca="false">IF(D552="","",Q552/$B$15)</f>
        <v>0.432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119.526605282403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73.7818551125947</v>
      </c>
      <c r="Z552" s="18" t="n">
        <f aca="false">IF(D552="","",MAX(0,IF(P552&gt;=0,P552,IF(K552+P552&gt;=0,0,P552+K552))))</f>
        <v>119.526605282403</v>
      </c>
      <c r="AA552" s="18" t="n">
        <f aca="false">IF(D552="","",IF(H552&lt;=$B$16,1,IF(H552&gt;=$B$17,$B$21,MATCH(H552,Aux_CAV!$A$2:$A$121,1))))</f>
        <v>22</v>
      </c>
      <c r="AB552" s="18" t="n">
        <f aca="false">IF(D552="","",IF(L552&lt;=$B$16,1,IF(L552&gt;=$B$17,$B$21,MATCH(L552,Aux_CAV!$A$2:$A$121,1))))</f>
        <v>22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0.418209284591742</v>
      </c>
      <c r="E553" s="16" t="n">
        <f aca="false">IF(D553="","",D553*$B$15)</f>
        <v>1.0839984656618</v>
      </c>
      <c r="F553" s="16" t="n">
        <f aca="false" t="array" ref="F553:F553">IF(D553="","",IFERROR(INDEX(Dados_Evap!$C$2:$N$15,MATCH($B$9,Dados_Evap!$A$2:$A$15,0),C553),0))</f>
        <v>136.9</v>
      </c>
      <c r="G553" s="16" t="n">
        <f aca="false">IF(F553="","",F553/1000)</f>
        <v>0.1369</v>
      </c>
      <c r="H553" s="16" t="n">
        <f aca="false">IF(D553="","",MAX(0,MIN($B$8,IFERROR(LOOKUP(2,1/($U$24:U552&lt;&gt;""),$U$24:U552),$B$11))))</f>
        <v>119.526605282403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12.6906495128923</v>
      </c>
      <c r="J553" s="16" t="n">
        <f aca="false">IF(D553="","",$B$12)</f>
        <v>0.432</v>
      </c>
      <c r="K553" s="16" t="n">
        <f aca="false">IF(J553="","",J553*$B$15)</f>
        <v>1.119744</v>
      </c>
      <c r="L553" s="16" t="n">
        <f aca="false">IF(D553="","",H553+E553-K553-G553*I553)</f>
        <v>117.75350982975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12.5615561681489</v>
      </c>
      <c r="N553" s="16" t="n">
        <f aca="false">IF(D553="","",(I553+M553)/2)</f>
        <v>12.6261028405206</v>
      </c>
      <c r="O553" s="16" t="n">
        <f aca="false">IF(D553="","",G553*N553)</f>
        <v>1.72851347886727</v>
      </c>
      <c r="P553" s="16" t="n">
        <f aca="false">IF(D553="","",H553+E553-K553-O553)</f>
        <v>117.762346269198</v>
      </c>
      <c r="Q553" s="16" t="n">
        <f aca="false">IF(D553="","",IF(P553&gt;=0,K553,MAX(0,K553+P553)))</f>
        <v>1.119744</v>
      </c>
      <c r="R553" s="16" t="n">
        <f aca="false">IF(D553="","",Q553/$B$15)</f>
        <v>0.432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117.762346269198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72.6928063390111</v>
      </c>
      <c r="Z553" s="18" t="n">
        <f aca="false">IF(D553="","",MAX(0,IF(P553&gt;=0,P553,IF(K553+P553&gt;=0,0,P553+K553))))</f>
        <v>117.762346269198</v>
      </c>
      <c r="AA553" s="18" t="n">
        <f aca="false">IF(D553="","",IF(H553&lt;=$B$16,1,IF(H553&gt;=$B$17,$B$21,MATCH(H553,Aux_CAV!$A$2:$A$121,1))))</f>
        <v>22</v>
      </c>
      <c r="AB553" s="18" t="n">
        <f aca="false">IF(D553="","",IF(L553&lt;=$B$16,1,IF(L553&gt;=$B$17,$B$21,MATCH(L553,Aux_CAV!$A$2:$A$121,1))))</f>
        <v>22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0.970078401779724</v>
      </c>
      <c r="E554" s="16" t="n">
        <f aca="false">IF(D554="","",D554*$B$15)</f>
        <v>2.51444321741305</v>
      </c>
      <c r="F554" s="16" t="n">
        <f aca="false" t="array" ref="F554:F554">IF(D554="","",IFERROR(INDEX(Dados_Evap!$C$2:$N$15,MATCH($B$9,Dados_Evap!$A$2:$A$15,0),C554),0))</f>
        <v>102.9</v>
      </c>
      <c r="G554" s="16" t="n">
        <f aca="false">IF(F554="","",F554/1000)</f>
        <v>0.1029</v>
      </c>
      <c r="H554" s="16" t="n">
        <f aca="false">IF(D554="","",MAX(0,MIN($B$8,IFERROR(LOOKUP(2,1/($U$24:U553&lt;&gt;""),$U$24:U553),$B$11))))</f>
        <v>117.762346269198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12.5621995207232</v>
      </c>
      <c r="J554" s="16" t="n">
        <f aca="false">IF(D554="","",$B$12)</f>
        <v>0.432</v>
      </c>
      <c r="K554" s="16" t="n">
        <f aca="false">IF(J554="","",J554*$B$15)</f>
        <v>1.119744</v>
      </c>
      <c r="L554" s="16" t="n">
        <f aca="false">IF(D554="","",H554+E554-K554-G554*I554)</f>
        <v>117.864395155929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12.5696293700839</v>
      </c>
      <c r="N554" s="16" t="n">
        <f aca="false">IF(D554="","",(I554+M554)/2)</f>
        <v>12.5659144454036</v>
      </c>
      <c r="O554" s="16" t="n">
        <f aca="false">IF(D554="","",G554*N554)</f>
        <v>1.29303259643203</v>
      </c>
      <c r="P554" s="16" t="n">
        <f aca="false">IF(D554="","",H554+E554-K554-O554)</f>
        <v>117.864012890179</v>
      </c>
      <c r="Q554" s="16" t="n">
        <f aca="false">IF(D554="","",IF(P554&gt;=0,K554,MAX(0,K554+P554)))</f>
        <v>1.119744</v>
      </c>
      <c r="R554" s="16" t="n">
        <f aca="false">IF(D554="","",Q554/$B$15)</f>
        <v>0.432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117.864012890179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72.7555635124562</v>
      </c>
      <c r="Z554" s="18" t="n">
        <f aca="false">IF(D554="","",MAX(0,IF(P554&gt;=0,P554,IF(K554+P554&gt;=0,0,P554+K554))))</f>
        <v>117.864012890179</v>
      </c>
      <c r="AA554" s="18" t="n">
        <f aca="false">IF(D554="","",IF(H554&lt;=$B$16,1,IF(H554&gt;=$B$17,$B$21,MATCH(H554,Aux_CAV!$A$2:$A$121,1))))</f>
        <v>22</v>
      </c>
      <c r="AB554" s="18" t="n">
        <f aca="false">IF(D554="","",IF(L554&lt;=$B$16,1,IF(L554&gt;=$B$17,$B$21,MATCH(L554,Aux_CAV!$A$2:$A$121,1))))</f>
        <v>22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0.844533808406076</v>
      </c>
      <c r="E555" s="16" t="n">
        <f aca="false">IF(D555="","",D555*$B$15)</f>
        <v>2.18903163138855</v>
      </c>
      <c r="F555" s="16" t="n">
        <f aca="false" t="array" ref="F555:F555">IF(D555="","",IFERROR(INDEX(Dados_Evap!$C$2:$N$15,MATCH($B$9,Dados_Evap!$A$2:$A$15,0),C555),0))</f>
        <v>81.8</v>
      </c>
      <c r="G555" s="16" t="n">
        <f aca="false">IF(F555="","",F555/1000)</f>
        <v>0.0818</v>
      </c>
      <c r="H555" s="16" t="n">
        <f aca="false">IF(D555="","",MAX(0,MIN($B$8,IFERROR(LOOKUP(2,1/($U$24:U554&lt;&gt;""),$U$24:U554),$B$11))))</f>
        <v>117.864012890179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12.5696015385511</v>
      </c>
      <c r="J555" s="16" t="n">
        <f aca="false">IF(D555="","",$B$12)</f>
        <v>0.432</v>
      </c>
      <c r="K555" s="16" t="n">
        <f aca="false">IF(J555="","",J555*$B$15)</f>
        <v>1.119744</v>
      </c>
      <c r="L555" s="16" t="n">
        <f aca="false">IF(D555="","",H555+E555-K555-G555*I555)</f>
        <v>117.905107115714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12.5725934761911</v>
      </c>
      <c r="N555" s="16" t="n">
        <f aca="false">IF(D555="","",(I555+M555)/2)</f>
        <v>12.5710975073711</v>
      </c>
      <c r="O555" s="16" t="n">
        <f aca="false">IF(D555="","",G555*N555)</f>
        <v>1.02831577610296</v>
      </c>
      <c r="P555" s="16" t="n">
        <f aca="false">IF(D555="","",H555+E555-K555-O555)</f>
        <v>117.904984745465</v>
      </c>
      <c r="Q555" s="16" t="n">
        <f aca="false">IF(D555="","",IF(P555&gt;=0,K555,MAX(0,K555+P555)))</f>
        <v>1.119744</v>
      </c>
      <c r="R555" s="16" t="n">
        <f aca="false">IF(D555="","",Q555/$B$15)</f>
        <v>0.432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117.904984745465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72.780854781151</v>
      </c>
      <c r="Z555" s="18" t="n">
        <f aca="false">IF(D555="","",MAX(0,IF(P555&gt;=0,P555,IF(K555+P555&gt;=0,0,P555+K555))))</f>
        <v>117.904984745465</v>
      </c>
      <c r="AA555" s="18" t="n">
        <f aca="false">IF(D555="","",IF(H555&lt;=$B$16,1,IF(H555&gt;=$B$17,$B$21,MATCH(H555,Aux_CAV!$A$2:$A$121,1))))</f>
        <v>22</v>
      </c>
      <c r="AB555" s="18" t="n">
        <f aca="false">IF(D555="","",IF(L555&lt;=$B$16,1,IF(L555&gt;=$B$17,$B$21,MATCH(L555,Aux_CAV!$A$2:$A$121,1))))</f>
        <v>22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2.80634470991172</v>
      </c>
      <c r="E556" s="16" t="n">
        <f aca="false">IF(D556="","",D556*$B$15)</f>
        <v>7.27404548809118</v>
      </c>
      <c r="F556" s="16" t="n">
        <f aca="false" t="array" ref="F556:F556">IF(D556="","",IFERROR(INDEX(Dados_Evap!$C$2:$N$15,MATCH($B$9,Dados_Evap!$A$2:$A$15,0),C556),0))</f>
        <v>83.6</v>
      </c>
      <c r="G556" s="16" t="n">
        <f aca="false">IF(F556="","",F556/1000)</f>
        <v>0.0836</v>
      </c>
      <c r="H556" s="16" t="n">
        <f aca="false">IF(D556="","",MAX(0,MIN($B$8,IFERROR(LOOKUP(2,1/($U$24:U555&lt;&gt;""),$U$24:U555),$B$11))))</f>
        <v>117.904984745465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12.572584566809</v>
      </c>
      <c r="J556" s="16" t="n">
        <f aca="false">IF(D556="","",$B$12)</f>
        <v>0.432</v>
      </c>
      <c r="K556" s="16" t="n">
        <f aca="false">IF(J556="","",J556*$B$15)</f>
        <v>1.119744</v>
      </c>
      <c r="L556" s="16" t="n">
        <f aca="false">IF(D556="","",H556+E556-K556-G556*I556)</f>
        <v>123.008218163771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12.9441344853368</v>
      </c>
      <c r="N556" s="16" t="n">
        <f aca="false">IF(D556="","",(I556+M556)/2)</f>
        <v>12.7583595260729</v>
      </c>
      <c r="O556" s="16" t="n">
        <f aca="false">IF(D556="","",G556*N556)</f>
        <v>1.0665988563797</v>
      </c>
      <c r="P556" s="16" t="n">
        <f aca="false">IF(D556="","",H556+E556-K556-O556)</f>
        <v>122.992687377176</v>
      </c>
      <c r="Q556" s="16" t="n">
        <f aca="false">IF(D556="","",IF(P556&gt;=0,K556,MAX(0,K556+P556)))</f>
        <v>1.119744</v>
      </c>
      <c r="R556" s="16" t="n">
        <f aca="false">IF(D556="","",Q556/$B$15)</f>
        <v>0.432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122.992687377176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75.9214119612198</v>
      </c>
      <c r="Z556" s="18" t="n">
        <f aca="false">IF(D556="","",MAX(0,IF(P556&gt;=0,P556,IF(K556+P556&gt;=0,0,P556+K556))))</f>
        <v>122.992687377176</v>
      </c>
      <c r="AA556" s="18" t="n">
        <f aca="false">IF(D556="","",IF(H556&lt;=$B$16,1,IF(H556&gt;=$B$17,$B$21,MATCH(H556,Aux_CAV!$A$2:$A$121,1))))</f>
        <v>22</v>
      </c>
      <c r="AB556" s="18" t="n">
        <f aca="false">IF(D556="","",IF(L556&lt;=$B$16,1,IF(L556&gt;=$B$17,$B$21,MATCH(L556,Aux_CAV!$A$2:$A$121,1))))</f>
        <v>22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0.698123341904077</v>
      </c>
      <c r="E557" s="16" t="n">
        <f aca="false">IF(D557="","",D557*$B$15)</f>
        <v>1.80953570221537</v>
      </c>
      <c r="F557" s="16" t="n">
        <f aca="false" t="array" ref="F557:F557">IF(D557="","",IFERROR(INDEX(Dados_Evap!$C$2:$N$15,MATCH($B$9,Dados_Evap!$A$2:$A$15,0),C557),0))</f>
        <v>108.2</v>
      </c>
      <c r="G557" s="16" t="n">
        <f aca="false">IF(F557="","",F557/1000)</f>
        <v>0.1082</v>
      </c>
      <c r="H557" s="16" t="n">
        <f aca="false">IF(D557="","",MAX(0,MIN($B$8,IFERROR(LOOKUP(2,1/($U$24:U556&lt;&gt;""),$U$24:U556),$B$11))))</f>
        <v>122.992687377176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12.943003739</v>
      </c>
      <c r="J557" s="16" t="n">
        <f aca="false">IF(D557="","",$B$12)</f>
        <v>0.432</v>
      </c>
      <c r="K557" s="16" t="n">
        <f aca="false">IF(J557="","",J557*$B$15)</f>
        <v>1.119744</v>
      </c>
      <c r="L557" s="16" t="n">
        <f aca="false">IF(D557="","",H557+E557-K557-G557*I557)</f>
        <v>122.282046074832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12.8912642443805</v>
      </c>
      <c r="N557" s="16" t="n">
        <f aca="false">IF(D557="","",(I557+M557)/2)</f>
        <v>12.9171339916902</v>
      </c>
      <c r="O557" s="16" t="n">
        <f aca="false">IF(D557="","",G557*N557)</f>
        <v>1.39763389790088</v>
      </c>
      <c r="P557" s="16" t="n">
        <f aca="false">IF(D557="","",H557+E557-K557-O557)</f>
        <v>122.284845181491</v>
      </c>
      <c r="Q557" s="16" t="n">
        <f aca="false">IF(D557="","",IF(P557&gt;=0,K557,MAX(0,K557+P557)))</f>
        <v>1.119744</v>
      </c>
      <c r="R557" s="16" t="n">
        <f aca="false">IF(D557="","",Q557/$B$15)</f>
        <v>0.432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122.284845181491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75.4844723342535</v>
      </c>
      <c r="Z557" s="18" t="n">
        <f aca="false">IF(D557="","",MAX(0,IF(P557&gt;=0,P557,IF(K557+P557&gt;=0,0,P557+K557))))</f>
        <v>122.284845181491</v>
      </c>
      <c r="AA557" s="18" t="n">
        <f aca="false">IF(D557="","",IF(H557&lt;=$B$16,1,IF(H557&gt;=$B$17,$B$21,MATCH(H557,Aux_CAV!$A$2:$A$121,1))))</f>
        <v>22</v>
      </c>
      <c r="AB557" s="18" t="n">
        <f aca="false">IF(D557="","",IF(L557&lt;=$B$16,1,IF(L557&gt;=$B$17,$B$21,MATCH(L557,Aux_CAV!$A$2:$A$121,1))))</f>
        <v>22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0.363427896131195</v>
      </c>
      <c r="E558" s="16" t="n">
        <f aca="false">IF(D558="","",D558*$B$15)</f>
        <v>0.942005106772058</v>
      </c>
      <c r="F558" s="16" t="n">
        <f aca="false" t="array" ref="F558:F558">IF(D558="","",IFERROR(INDEX(Dados_Evap!$C$2:$N$15,MATCH($B$9,Dados_Evap!$A$2:$A$15,0),C558),0))</f>
        <v>149</v>
      </c>
      <c r="G558" s="16" t="n">
        <f aca="false">IF(F558="","",F558/1000)</f>
        <v>0.149</v>
      </c>
      <c r="H558" s="16" t="n">
        <f aca="false">IF(D558="","",MAX(0,MIN($B$8,IFERROR(LOOKUP(2,1/($U$24:U557&lt;&gt;""),$U$24:U557),$B$11))))</f>
        <v>122.284845181491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12.8914680382825</v>
      </c>
      <c r="J558" s="16" t="n">
        <f aca="false">IF(D558="","",$B$12)</f>
        <v>0.432</v>
      </c>
      <c r="K558" s="16" t="n">
        <f aca="false">IF(J558="","",J558*$B$15)</f>
        <v>1.119744</v>
      </c>
      <c r="L558" s="16" t="n">
        <f aca="false">IF(D558="","",H558+E558-K558-G558*I558)</f>
        <v>120.186277550559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12.7386781169943</v>
      </c>
      <c r="N558" s="16" t="n">
        <f aca="false">IF(D558="","",(I558+M558)/2)</f>
        <v>12.8150730776384</v>
      </c>
      <c r="O558" s="16" t="n">
        <f aca="false">IF(D558="","",G558*N558)</f>
        <v>1.90944588856812</v>
      </c>
      <c r="P558" s="16" t="n">
        <f aca="false">IF(D558="","",H558+E558-K558-O558)</f>
        <v>120.197660399695</v>
      </c>
      <c r="Q558" s="16" t="n">
        <f aca="false">IF(D558="","",IF(P558&gt;=0,K558,MAX(0,K558+P558)))</f>
        <v>1.119744</v>
      </c>
      <c r="R558" s="16" t="n">
        <f aca="false">IF(D558="","",Q558/$B$15)</f>
        <v>0.432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120.197660399695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74.1960866664781</v>
      </c>
      <c r="Z558" s="18" t="n">
        <f aca="false">IF(D558="","",MAX(0,IF(P558&gt;=0,P558,IF(K558+P558&gt;=0,0,P558+K558))))</f>
        <v>120.197660399695</v>
      </c>
      <c r="AA558" s="18" t="n">
        <f aca="false">IF(D558="","",IF(H558&lt;=$B$16,1,IF(H558&gt;=$B$17,$B$21,MATCH(H558,Aux_CAV!$A$2:$A$121,1))))</f>
        <v>22</v>
      </c>
      <c r="AB558" s="18" t="n">
        <f aca="false">IF(D558="","",IF(L558&lt;=$B$16,1,IF(L558&gt;=$B$17,$B$21,MATCH(L558,Aux_CAV!$A$2:$A$121,1))))</f>
        <v>22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0.18139831214055</v>
      </c>
      <c r="E559" s="16" t="n">
        <f aca="false">IF(D559="","",D559*$B$15)</f>
        <v>0.470184425068306</v>
      </c>
      <c r="F559" s="16" t="n">
        <f aca="false" t="array" ref="F559:F559">IF(D559="","",IFERROR(INDEX(Dados_Evap!$C$2:$N$15,MATCH($B$9,Dados_Evap!$A$2:$A$15,0),C559),0))</f>
        <v>206.8</v>
      </c>
      <c r="G559" s="16" t="n">
        <f aca="false">IF(F559="","",F559/1000)</f>
        <v>0.2068</v>
      </c>
      <c r="H559" s="16" t="n">
        <f aca="false">IF(D559="","",MAX(0,MIN($B$8,IFERROR(LOOKUP(2,1/($U$24:U558&lt;&gt;""),$U$24:U558),$B$11))))</f>
        <v>120.197660399695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12.7395068654215</v>
      </c>
      <c r="J559" s="16" t="n">
        <f aca="false">IF(D559="","",$B$12)</f>
        <v>0.432</v>
      </c>
      <c r="K559" s="16" t="n">
        <f aca="false">IF(J559="","",J559*$B$15)</f>
        <v>1.119744</v>
      </c>
      <c r="L559" s="16" t="n">
        <f aca="false">IF(D559="","",H559+E559-K559-G559*I559)</f>
        <v>116.913570804994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12.5004029245804</v>
      </c>
      <c r="N559" s="16" t="n">
        <f aca="false">IF(D559="","",(I559+M559)/2)</f>
        <v>12.619954895001</v>
      </c>
      <c r="O559" s="16" t="n">
        <f aca="false">IF(D559="","",G559*N559)</f>
        <v>2.6098066722862</v>
      </c>
      <c r="P559" s="16" t="n">
        <f aca="false">IF(D559="","",H559+E559-K559-O559)</f>
        <v>116.938294152477</v>
      </c>
      <c r="Q559" s="16" t="n">
        <f aca="false">IF(D559="","",IF(P559&gt;=0,K559,MAX(0,K559+P559)))</f>
        <v>1.119744</v>
      </c>
      <c r="R559" s="16" t="n">
        <f aca="false">IF(D559="","",Q559/$B$15)</f>
        <v>0.432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116.938294152477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72.1841321928868</v>
      </c>
      <c r="Z559" s="18" t="n">
        <f aca="false">IF(D559="","",MAX(0,IF(P559&gt;=0,P559,IF(K559+P559&gt;=0,0,P559+K559))))</f>
        <v>116.938294152477</v>
      </c>
      <c r="AA559" s="18" t="n">
        <f aca="false">IF(D559="","",IF(H559&lt;=$B$16,1,IF(H559&gt;=$B$17,$B$21,MATCH(H559,Aux_CAV!$A$2:$A$121,1))))</f>
        <v>22</v>
      </c>
      <c r="AB559" s="18" t="n">
        <f aca="false">IF(D559="","",IF(L559&lt;=$B$16,1,IF(L559&gt;=$B$17,$B$21,MATCH(L559,Aux_CAV!$A$2:$A$121,1))))</f>
        <v>22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0.136867751409983</v>
      </c>
      <c r="E560" s="16" t="n">
        <f aca="false">IF(D560="","",D560*$B$15)</f>
        <v>0.354761211654676</v>
      </c>
      <c r="F560" s="16" t="n">
        <f aca="false" t="array" ref="F560:F560">IF(D560="","",IFERROR(INDEX(Dados_Evap!$C$2:$N$15,MATCH($B$9,Dados_Evap!$A$2:$A$15,0),C560),0))</f>
        <v>245.9</v>
      </c>
      <c r="G560" s="16" t="n">
        <f aca="false">IF(F560="","",F560/1000)</f>
        <v>0.2459</v>
      </c>
      <c r="H560" s="16" t="n">
        <f aca="false">IF(D560="","",MAX(0,MIN($B$8,IFERROR(LOOKUP(2,1/($U$24:U559&lt;&gt;""),$U$24:U559),$B$11))))</f>
        <v>116.938294152477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12.5022029515417</v>
      </c>
      <c r="J560" s="16" t="n">
        <f aca="false">IF(D560="","",$B$12)</f>
        <v>0.432</v>
      </c>
      <c r="K560" s="16" t="n">
        <f aca="false">IF(J560="","",J560*$B$15)</f>
        <v>1.119744</v>
      </c>
      <c r="L560" s="16" t="n">
        <f aca="false">IF(D560="","",H560+E560-K560-G560*I560)</f>
        <v>113.099019658347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12.222677793946</v>
      </c>
      <c r="N560" s="16" t="n">
        <f aca="false">IF(D560="","",(I560+M560)/2)</f>
        <v>12.3624403727439</v>
      </c>
      <c r="O560" s="16" t="n">
        <f aca="false">IF(D560="","",G560*N560)</f>
        <v>3.03992408765772</v>
      </c>
      <c r="P560" s="16" t="n">
        <f aca="false">IF(D560="","",H560+E560-K560-O560)</f>
        <v>113.133387276474</v>
      </c>
      <c r="Q560" s="16" t="n">
        <f aca="false">IF(D560="","",IF(P560&gt;=0,K560,MAX(0,K560+P560)))</f>
        <v>1.119744</v>
      </c>
      <c r="R560" s="16" t="n">
        <f aca="false">IF(D560="","",Q560/$B$15)</f>
        <v>0.432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113.133387276474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69.8354242447368</v>
      </c>
      <c r="Z560" s="18" t="n">
        <f aca="false">IF(D560="","",MAX(0,IF(P560&gt;=0,P560,IF(K560+P560&gt;=0,0,P560+K560))))</f>
        <v>113.133387276474</v>
      </c>
      <c r="AA560" s="18" t="n">
        <f aca="false">IF(D560="","",IF(H560&lt;=$B$16,1,IF(H560&gt;=$B$17,$B$21,MATCH(H560,Aux_CAV!$A$2:$A$121,1))))</f>
        <v>22</v>
      </c>
      <c r="AB560" s="18" t="n">
        <f aca="false">IF(D560="","",IF(L560&lt;=$B$16,1,IF(L560&gt;=$B$17,$B$21,MATCH(L560,Aux_CAV!$A$2:$A$121,1))))</f>
        <v>22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0.128955762328568</v>
      </c>
      <c r="E561" s="16" t="n">
        <f aca="false">IF(D561="","",D561*$B$15)</f>
        <v>0.334253335955648</v>
      </c>
      <c r="F561" s="16" t="n">
        <f aca="false" t="array" ref="F561:F561">IF(D561="","",IFERROR(INDEX(Dados_Evap!$C$2:$N$15,MATCH($B$9,Dados_Evap!$A$2:$A$15,0),C561),0))</f>
        <v>282.3</v>
      </c>
      <c r="G561" s="16" t="n">
        <f aca="false">IF(F561="","",F561/1000)</f>
        <v>0.2823</v>
      </c>
      <c r="H561" s="16" t="n">
        <f aca="false">IF(D561="","",MAX(0,MIN($B$8,IFERROR(LOOKUP(2,1/($U$24:U560&lt;&gt;""),$U$24:U560),$B$11))))</f>
        <v>113.133387276474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12.2251799890581</v>
      </c>
      <c r="J561" s="16" t="n">
        <f aca="false">IF(D561="","",$B$12)</f>
        <v>0.432</v>
      </c>
      <c r="K561" s="16" t="n">
        <f aca="false">IF(J561="","",J561*$B$15)</f>
        <v>1.119744</v>
      </c>
      <c r="L561" s="16" t="n">
        <f aca="false">IF(D561="","",H561+E561-K561-G561*I561)</f>
        <v>108.896728301518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11.916722552773</v>
      </c>
      <c r="N561" s="16" t="n">
        <f aca="false">IF(D561="","",(I561+M561)/2)</f>
        <v>12.0709512709155</v>
      </c>
      <c r="O561" s="16" t="n">
        <f aca="false">IF(D561="","",G561*N561)</f>
        <v>3.40762954377946</v>
      </c>
      <c r="P561" s="16" t="n">
        <f aca="false">IF(D561="","",H561+E561-K561-O561)</f>
        <v>108.94026706865</v>
      </c>
      <c r="Q561" s="16" t="n">
        <f aca="false">IF(D561="","",IF(P561&gt;=0,K561,MAX(0,K561+P561)))</f>
        <v>1.119744</v>
      </c>
      <c r="R561" s="16" t="n">
        <f aca="false">IF(D561="","",Q561/$B$15)</f>
        <v>0.432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108.94026706865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67.2470784374382</v>
      </c>
      <c r="Z561" s="18" t="n">
        <f aca="false">IF(D561="","",MAX(0,IF(P561&gt;=0,P561,IF(K561+P561&gt;=0,0,P561+K561))))</f>
        <v>108.94026706865</v>
      </c>
      <c r="AA561" s="18" t="n">
        <f aca="false">IF(D561="","",IF(H561&lt;=$B$16,1,IF(H561&gt;=$B$17,$B$21,MATCH(H561,Aux_CAV!$A$2:$A$121,1))))</f>
        <v>22</v>
      </c>
      <c r="AB561" s="18" t="n">
        <f aca="false">IF(D561="","",IF(L561&lt;=$B$16,1,IF(L561&gt;=$B$17,$B$21,MATCH(L561,Aux_CAV!$A$2:$A$121,1))))</f>
        <v>22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0.123079971142981</v>
      </c>
      <c r="E562" s="16" t="n">
        <f aca="false">IF(D562="","",D562*$B$15)</f>
        <v>0.319023285202607</v>
      </c>
      <c r="F562" s="16" t="n">
        <f aca="false" t="array" ref="F562:F562">IF(D562="","",IFERROR(INDEX(Dados_Evap!$C$2:$N$15,MATCH($B$9,Dados_Evap!$A$2:$A$15,0),C562),0))</f>
        <v>241.3</v>
      </c>
      <c r="G562" s="16" t="n">
        <f aca="false">IF(F562="","",F562/1000)</f>
        <v>0.2413</v>
      </c>
      <c r="H562" s="16" t="n">
        <f aca="false">IF(D562="","",MAX(0,MIN($B$8,IFERROR(LOOKUP(2,1/($U$24:U561&lt;&gt;""),$U$24:U561),$B$11))))</f>
        <v>108.94026706865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11.9198924695796</v>
      </c>
      <c r="J562" s="16" t="n">
        <f aca="false">IF(D562="","",$B$12)</f>
        <v>0.432</v>
      </c>
      <c r="K562" s="16" t="n">
        <f aca="false">IF(J562="","",J562*$B$15)</f>
        <v>1.119744</v>
      </c>
      <c r="L562" s="16" t="n">
        <f aca="false">IF(D562="","",H562+E562-K562-G562*I562)</f>
        <v>105.263276300943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11.65218266519</v>
      </c>
      <c r="N562" s="16" t="n">
        <f aca="false">IF(D562="","",(I562+M562)/2)</f>
        <v>11.7860375673848</v>
      </c>
      <c r="O562" s="16" t="n">
        <f aca="false">IF(D562="","",G562*N562)</f>
        <v>2.84397086500995</v>
      </c>
      <c r="P562" s="16" t="n">
        <f aca="false">IF(D562="","",H562+E562-K562-O562)</f>
        <v>105.295575488842</v>
      </c>
      <c r="Q562" s="16" t="n">
        <f aca="false">IF(D562="","",IF(P562&gt;=0,K562,MAX(0,K562+P562)))</f>
        <v>1.119744</v>
      </c>
      <c r="R562" s="16" t="n">
        <f aca="false">IF(D562="","",Q562/$B$15)</f>
        <v>0.432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105.295575488842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64.9972688202731</v>
      </c>
      <c r="Z562" s="18" t="n">
        <f aca="false">IF(D562="","",MAX(0,IF(P562&gt;=0,P562,IF(K562+P562&gt;=0,0,P562+K562))))</f>
        <v>105.295575488842</v>
      </c>
      <c r="AA562" s="18" t="n">
        <f aca="false">IF(D562="","",IF(H562&lt;=$B$16,1,IF(H562&gt;=$B$17,$B$21,MATCH(H562,Aux_CAV!$A$2:$A$121,1))))</f>
        <v>22</v>
      </c>
      <c r="AB562" s="18" t="n">
        <f aca="false">IF(D562="","",IF(L562&lt;=$B$16,1,IF(L562&gt;=$B$17,$B$21,MATCH(L562,Aux_CAV!$A$2:$A$121,1))))</f>
        <v>22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0.11216369451464</v>
      </c>
      <c r="E563" s="16" t="n">
        <f aca="false">IF(D563="","",D563*$B$15)</f>
        <v>0.290728296181947</v>
      </c>
      <c r="F563" s="16" t="n">
        <f aca="false" t="array" ref="F563:F563">IF(D563="","",IFERROR(INDEX(Dados_Evap!$C$2:$N$15,MATCH($B$9,Dados_Evap!$A$2:$A$15,0),C563),0))</f>
        <v>241.8</v>
      </c>
      <c r="G563" s="16" t="n">
        <f aca="false">IF(F563="","",F563/1000)</f>
        <v>0.2418</v>
      </c>
      <c r="H563" s="16" t="n">
        <f aca="false">IF(D563="","",MAX(0,MIN($B$8,IFERROR(LOOKUP(2,1/($U$24:U562&lt;&gt;""),$U$24:U562),$B$11))))</f>
        <v>105.295575488842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11.6545342645877</v>
      </c>
      <c r="J563" s="16" t="n">
        <f aca="false">IF(D563="","",$B$12)</f>
        <v>0.432</v>
      </c>
      <c r="K563" s="16" t="n">
        <f aca="false">IF(J563="","",J563*$B$15)</f>
        <v>1.119744</v>
      </c>
      <c r="L563" s="16" t="n">
        <f aca="false">IF(D563="","",H563+E563-K563-G563*I563)</f>
        <v>101.648493399847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11.389002014354</v>
      </c>
      <c r="N563" s="16" t="n">
        <f aca="false">IF(D563="","",(I563+M563)/2)</f>
        <v>11.5217681394708</v>
      </c>
      <c r="O563" s="16" t="n">
        <f aca="false">IF(D563="","",G563*N563)</f>
        <v>2.78596353612405</v>
      </c>
      <c r="P563" s="16" t="n">
        <f aca="false">IF(D563="","",H563+E563-K563-O563)</f>
        <v>101.6805962489</v>
      </c>
      <c r="Q563" s="16" t="n">
        <f aca="false">IF(D563="","",IF(P563&gt;=0,K563,MAX(0,K563+P563)))</f>
        <v>1.119744</v>
      </c>
      <c r="R563" s="16" t="n">
        <f aca="false">IF(D563="","",Q563/$B$15)</f>
        <v>0.432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101.6805962489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62.7658001536422</v>
      </c>
      <c r="Z563" s="18" t="n">
        <f aca="false">IF(D563="","",MAX(0,IF(P563&gt;=0,P563,IF(K563+P563&gt;=0,0,P563+K563))))</f>
        <v>101.6805962489</v>
      </c>
      <c r="AA563" s="18" t="n">
        <f aca="false">IF(D563="","",IF(H563&lt;=$B$16,1,IF(H563&gt;=$B$17,$B$21,MATCH(H563,Aux_CAV!$A$2:$A$121,1))))</f>
        <v>22</v>
      </c>
      <c r="AB563" s="18" t="n">
        <f aca="false">IF(D563="","",IF(L563&lt;=$B$16,1,IF(L563&gt;=$B$17,$B$21,MATCH(L563,Aux_CAV!$A$2:$A$121,1))))</f>
        <v>22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0.230485069197609</v>
      </c>
      <c r="E564" s="16" t="n">
        <f aca="false">IF(D564="","",D564*$B$15)</f>
        <v>0.597417299360203</v>
      </c>
      <c r="F564" s="16" t="n">
        <f aca="false" t="array" ref="F564:F564">IF(D564="","",IFERROR(INDEX(Dados_Evap!$C$2:$N$15,MATCH($B$9,Dados_Evap!$A$2:$A$15,0),C564),0))</f>
        <v>189</v>
      </c>
      <c r="G564" s="16" t="n">
        <f aca="false">IF(F564="","",F564/1000)</f>
        <v>0.189</v>
      </c>
      <c r="H564" s="16" t="n">
        <f aca="false">IF(D564="","",MAX(0,MIN($B$8,IFERROR(LOOKUP(2,1/($U$24:U563&lt;&gt;""),$U$24:U563),$B$11))))</f>
        <v>101.6805962489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11.3913393189553</v>
      </c>
      <c r="J564" s="16" t="n">
        <f aca="false">IF(D564="","",$B$12)</f>
        <v>0.432</v>
      </c>
      <c r="K564" s="16" t="n">
        <f aca="false">IF(J564="","",J564*$B$15)</f>
        <v>1.119744</v>
      </c>
      <c r="L564" s="16" t="n">
        <f aca="false">IF(D564="","",H564+E564-K564-G564*I564)</f>
        <v>99.005306416978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11.1965601196494</v>
      </c>
      <c r="N564" s="16" t="n">
        <f aca="false">IF(D564="","",(I564+M564)/2)</f>
        <v>11.2939497193023</v>
      </c>
      <c r="O564" s="16" t="n">
        <f aca="false">IF(D564="","",G564*N564)</f>
        <v>2.13455649694814</v>
      </c>
      <c r="P564" s="16" t="n">
        <f aca="false">IF(D564="","",H564+E564-K564-O564)</f>
        <v>99.0237130513124</v>
      </c>
      <c r="Q564" s="16" t="n">
        <f aca="false">IF(D564="","",IF(P564&gt;=0,K564,MAX(0,K564+P564)))</f>
        <v>1.119744</v>
      </c>
      <c r="R564" s="16" t="n">
        <f aca="false">IF(D564="","",Q564/$B$15)</f>
        <v>0.432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99.0237130513124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61.1257487971064</v>
      </c>
      <c r="Z564" s="18" t="n">
        <f aca="false">IF(D564="","",MAX(0,IF(P564&gt;=0,P564,IF(K564+P564&gt;=0,0,P564+K564))))</f>
        <v>99.0237130513124</v>
      </c>
      <c r="AA564" s="18" t="n">
        <f aca="false">IF(D564="","",IF(H564&lt;=$B$16,1,IF(H564&gt;=$B$17,$B$21,MATCH(H564,Aux_CAV!$A$2:$A$121,1))))</f>
        <v>22</v>
      </c>
      <c r="AB564" s="18" t="n">
        <f aca="false">IF(D564="","",IF(L564&lt;=$B$16,1,IF(L564&gt;=$B$17,$B$21,MATCH(L564,Aux_CAV!$A$2:$A$121,1))))</f>
        <v>22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0.329473808801532</v>
      </c>
      <c r="E565" s="16" t="n">
        <f aca="false">IF(D565="","",D565*$B$15)</f>
        <v>0.853996112413571</v>
      </c>
      <c r="F565" s="16" t="n">
        <f aca="false" t="array" ref="F565:F565">IF(D565="","",IFERROR(INDEX(Dados_Evap!$C$2:$N$15,MATCH($B$9,Dados_Evap!$A$2:$A$15,0),C565),0))</f>
        <v>136.9</v>
      </c>
      <c r="G565" s="16" t="n">
        <f aca="false">IF(F565="","",F565/1000)</f>
        <v>0.1369</v>
      </c>
      <c r="H565" s="16" t="n">
        <f aca="false">IF(D565="","",MAX(0,MIN($B$8,IFERROR(LOOKUP(2,1/($U$24:U564&lt;&gt;""),$U$24:U564),$B$11))))</f>
        <v>99.0237130513124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11.1979002471581</v>
      </c>
      <c r="J565" s="16" t="n">
        <f aca="false">IF(D565="","",$B$12)</f>
        <v>0.432</v>
      </c>
      <c r="K565" s="16" t="n">
        <f aca="false">IF(J565="","",J565*$B$15)</f>
        <v>1.119744</v>
      </c>
      <c r="L565" s="16" t="n">
        <f aca="false">IF(D565="","",H565+E565-K565-G565*I565)</f>
        <v>97.2249726198901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11.0669397744605</v>
      </c>
      <c r="N565" s="16" t="n">
        <f aca="false">IF(D565="","",(I565+M565)/2)</f>
        <v>11.1324200108093</v>
      </c>
      <c r="O565" s="16" t="n">
        <f aca="false">IF(D565="","",G565*N565)</f>
        <v>1.52402829947979</v>
      </c>
      <c r="P565" s="16" t="n">
        <f aca="false">IF(D565="","",H565+E565-K565-O565)</f>
        <v>97.2339368642462</v>
      </c>
      <c r="Q565" s="16" t="n">
        <f aca="false">IF(D565="","",IF(P565&gt;=0,K565,MAX(0,K565+P565)))</f>
        <v>1.119744</v>
      </c>
      <c r="R565" s="16" t="n">
        <f aca="false">IF(D565="","",Q565/$B$15)</f>
        <v>0.432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97.2339368642462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60.0209486816335</v>
      </c>
      <c r="Z565" s="18" t="n">
        <f aca="false">IF(D565="","",MAX(0,IF(P565&gt;=0,P565,IF(K565+P565&gt;=0,0,P565+K565))))</f>
        <v>97.2339368642462</v>
      </c>
      <c r="AA565" s="18" t="n">
        <f aca="false">IF(D565="","",IF(H565&lt;=$B$16,1,IF(H565&gt;=$B$17,$B$21,MATCH(H565,Aux_CAV!$A$2:$A$121,1))))</f>
        <v>22</v>
      </c>
      <c r="AB565" s="18" t="n">
        <f aca="false">IF(D565="","",IF(L565&lt;=$B$16,1,IF(L565&gt;=$B$17,$B$21,MATCH(L565,Aux_CAV!$A$2:$A$121,1))))</f>
        <v>22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1.05181880209697</v>
      </c>
      <c r="E566" s="16" t="n">
        <f aca="false">IF(D566="","",D566*$B$15)</f>
        <v>2.72631433503535</v>
      </c>
      <c r="F566" s="16" t="n">
        <f aca="false" t="array" ref="F566:F566">IF(D566="","",IFERROR(INDEX(Dados_Evap!$C$2:$N$15,MATCH($B$9,Dados_Evap!$A$2:$A$15,0),C566),0))</f>
        <v>102.9</v>
      </c>
      <c r="G566" s="16" t="n">
        <f aca="false">IF(F566="","",F566/1000)</f>
        <v>0.1029</v>
      </c>
      <c r="H566" s="16" t="n">
        <f aca="false">IF(D566="","",MAX(0,MIN($B$8,IFERROR(LOOKUP(2,1/($U$24:U565&lt;&gt;""),$U$24:U565),$B$11))))</f>
        <v>97.2339368642462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11.0675924320967</v>
      </c>
      <c r="J566" s="16" t="n">
        <f aca="false">IF(D566="","",$B$12)</f>
        <v>0.432</v>
      </c>
      <c r="K566" s="16" t="n">
        <f aca="false">IF(J566="","",J566*$B$15)</f>
        <v>1.119744</v>
      </c>
      <c r="L566" s="16" t="n">
        <f aca="false">IF(D566="","",H566+E566-K566-G566*I566)</f>
        <v>97.7016519380188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11.1016452537708</v>
      </c>
      <c r="N566" s="16" t="n">
        <f aca="false">IF(D566="","",(I566+M566)/2)</f>
        <v>11.0846188429338</v>
      </c>
      <c r="O566" s="16" t="n">
        <f aca="false">IF(D566="","",G566*N566)</f>
        <v>1.14060727893788</v>
      </c>
      <c r="P566" s="16" t="n">
        <f aca="false">IF(D566="","",H566+E566-K566-O566)</f>
        <v>97.6998999203437</v>
      </c>
      <c r="Q566" s="16" t="n">
        <f aca="false">IF(D566="","",IF(P566&gt;=0,K566,MAX(0,K566+P566)))</f>
        <v>1.119744</v>
      </c>
      <c r="R566" s="16" t="n">
        <f aca="false">IF(D566="","",Q566/$B$15)</f>
        <v>0.432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97.6998999203437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60.308580197743</v>
      </c>
      <c r="Z566" s="18" t="n">
        <f aca="false">IF(D566="","",MAX(0,IF(P566&gt;=0,P566,IF(K566+P566&gt;=0,0,P566+K566))))</f>
        <v>97.6998999203437</v>
      </c>
      <c r="AA566" s="18" t="n">
        <f aca="false">IF(D566="","",IF(H566&lt;=$B$16,1,IF(H566&gt;=$B$17,$B$21,MATCH(H566,Aux_CAV!$A$2:$A$121,1))))</f>
        <v>22</v>
      </c>
      <c r="AB566" s="18" t="n">
        <f aca="false">IF(D566="","",IF(L566&lt;=$B$16,1,IF(L566&gt;=$B$17,$B$21,MATCH(L566,Aux_CAV!$A$2:$A$121,1))))</f>
        <v>22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3.84092174055024</v>
      </c>
      <c r="E567" s="16" t="n">
        <f aca="false">IF(D567="","",D567*$B$15)</f>
        <v>9.95566915150622</v>
      </c>
      <c r="F567" s="16" t="n">
        <f aca="false" t="array" ref="F567:F567">IF(D567="","",IFERROR(INDEX(Dados_Evap!$C$2:$N$15,MATCH($B$9,Dados_Evap!$A$2:$A$15,0),C567),0))</f>
        <v>81.8</v>
      </c>
      <c r="G567" s="16" t="n">
        <f aca="false">IF(F567="","",F567/1000)</f>
        <v>0.0818</v>
      </c>
      <c r="H567" s="16" t="n">
        <f aca="false">IF(D567="","",MAX(0,MIN($B$8,IFERROR(LOOKUP(2,1/($U$24:U566&lt;&gt;""),$U$24:U566),$B$11))))</f>
        <v>97.6998999203437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11.1015176950308</v>
      </c>
      <c r="J567" s="16" t="n">
        <f aca="false">IF(D567="","",$B$12)</f>
        <v>0.432</v>
      </c>
      <c r="K567" s="16" t="n">
        <f aca="false">IF(J567="","",J567*$B$15)</f>
        <v>1.119744</v>
      </c>
      <c r="L567" s="16" t="n">
        <f aca="false">IF(D567="","",H567+E567-K567-G567*I567)</f>
        <v>105.627720924396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11.6787166994096</v>
      </c>
      <c r="N567" s="16" t="n">
        <f aca="false">IF(D567="","",(I567+M567)/2)</f>
        <v>11.3901171972202</v>
      </c>
      <c r="O567" s="16" t="n">
        <f aca="false">IF(D567="","",G567*N567)</f>
        <v>0.931711586732614</v>
      </c>
      <c r="P567" s="16" t="n">
        <f aca="false">IF(D567="","",H567+E567-K567-O567)</f>
        <v>105.604113485117</v>
      </c>
      <c r="Q567" s="16" t="n">
        <f aca="false">IF(D567="","",IF(P567&gt;=0,K567,MAX(0,K567+P567)))</f>
        <v>1.119744</v>
      </c>
      <c r="R567" s="16" t="n">
        <f aca="false">IF(D567="","",Q567/$B$15)</f>
        <v>0.432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105.604113485117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65.1877243735292</v>
      </c>
      <c r="Z567" s="18" t="n">
        <f aca="false">IF(D567="","",MAX(0,IF(P567&gt;=0,P567,IF(K567+P567&gt;=0,0,P567+K567))))</f>
        <v>105.604113485117</v>
      </c>
      <c r="AA567" s="18" t="n">
        <f aca="false">IF(D567="","",IF(H567&lt;=$B$16,1,IF(H567&gt;=$B$17,$B$21,MATCH(H567,Aux_CAV!$A$2:$A$121,1))))</f>
        <v>22</v>
      </c>
      <c r="AB567" s="18" t="n">
        <f aca="false">IF(D567="","",IF(L567&lt;=$B$16,1,IF(L567&gt;=$B$17,$B$21,MATCH(L567,Aux_CAV!$A$2:$A$121,1))))</f>
        <v>22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5.66032958471865</v>
      </c>
      <c r="E568" s="16" t="n">
        <f aca="false">IF(D568="","",D568*$B$15)</f>
        <v>14.6715742835907</v>
      </c>
      <c r="F568" s="16" t="n">
        <f aca="false" t="array" ref="F568:F568">IF(D568="","",IFERROR(INDEX(Dados_Evap!$C$2:$N$15,MATCH($B$9,Dados_Evap!$A$2:$A$15,0),C568),0))</f>
        <v>83.6</v>
      </c>
      <c r="G568" s="16" t="n">
        <f aca="false">IF(F568="","",F568/1000)</f>
        <v>0.0836</v>
      </c>
      <c r="H568" s="16" t="n">
        <f aca="false">IF(D568="","",MAX(0,MIN($B$8,IFERROR(LOOKUP(2,1/($U$24:U567&lt;&gt;""),$U$24:U567),$B$11))))</f>
        <v>105.604113485117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11.6769979181151</v>
      </c>
      <c r="J568" s="16" t="n">
        <f aca="false">IF(D568="","",$B$12)</f>
        <v>0.432</v>
      </c>
      <c r="K568" s="16" t="n">
        <f aca="false">IF(J568="","",J568*$B$15)</f>
        <v>1.119744</v>
      </c>
      <c r="L568" s="16" t="n">
        <f aca="false">IF(D568="","",H568+E568-K568-G568*I568)</f>
        <v>118.179746742754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12.5925890991005</v>
      </c>
      <c r="N568" s="16" t="n">
        <f aca="false">IF(D568="","",(I568+M568)/2)</f>
        <v>12.1347935086078</v>
      </c>
      <c r="O568" s="16" t="n">
        <f aca="false">IF(D568="","",G568*N568)</f>
        <v>1.01446873731961</v>
      </c>
      <c r="P568" s="16" t="n">
        <f aca="false">IF(D568="","",H568+E568-K568-O568)</f>
        <v>118.141475031388</v>
      </c>
      <c r="Q568" s="16" t="n">
        <f aca="false">IF(D568="","",IF(P568&gt;=0,K568,MAX(0,K568+P568)))</f>
        <v>1.119744</v>
      </c>
      <c r="R568" s="16" t="n">
        <f aca="false">IF(D568="","",Q568/$B$15)</f>
        <v>0.432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118.141475031388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72.9268364391287</v>
      </c>
      <c r="Z568" s="18" t="n">
        <f aca="false">IF(D568="","",MAX(0,IF(P568&gt;=0,P568,IF(K568+P568&gt;=0,0,P568+K568))))</f>
        <v>118.141475031388</v>
      </c>
      <c r="AA568" s="18" t="n">
        <f aca="false">IF(D568="","",IF(H568&lt;=$B$16,1,IF(H568&gt;=$B$17,$B$21,MATCH(H568,Aux_CAV!$A$2:$A$121,1))))</f>
        <v>22</v>
      </c>
      <c r="AB568" s="18" t="n">
        <f aca="false">IF(D568="","",IF(L568&lt;=$B$16,1,IF(L568&gt;=$B$17,$B$21,MATCH(L568,Aux_CAV!$A$2:$A$121,1))))</f>
        <v>22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1.35564423634048</v>
      </c>
      <c r="E569" s="16" t="n">
        <f aca="false">IF(D569="","",D569*$B$15)</f>
        <v>3.51382986059452</v>
      </c>
      <c r="F569" s="16" t="n">
        <f aca="false" t="array" ref="F569:F569">IF(D569="","",IFERROR(INDEX(Dados_Evap!$C$2:$N$15,MATCH($B$9,Dados_Evap!$A$2:$A$15,0),C569),0))</f>
        <v>108.2</v>
      </c>
      <c r="G569" s="16" t="n">
        <f aca="false">IF(F569="","",F569/1000)</f>
        <v>0.1082</v>
      </c>
      <c r="H569" s="16" t="n">
        <f aca="false">IF(D569="","",MAX(0,MIN($B$8,IFERROR(LOOKUP(2,1/($U$24:U568&lt;&gt;""),$U$24:U568),$B$11))))</f>
        <v>118.141475031388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12.5898026595877</v>
      </c>
      <c r="J569" s="16" t="n">
        <f aca="false">IF(D569="","",$B$12)</f>
        <v>0.432</v>
      </c>
      <c r="K569" s="16" t="n">
        <f aca="false">IF(J569="","",J569*$B$15)</f>
        <v>1.119744</v>
      </c>
      <c r="L569" s="16" t="n">
        <f aca="false">IF(D569="","",H569+E569-K569-G569*I569)</f>
        <v>119.173344244216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12.664929719342</v>
      </c>
      <c r="N569" s="16" t="n">
        <f aca="false">IF(D569="","",(I569+M569)/2)</f>
        <v>12.6273661894648</v>
      </c>
      <c r="O569" s="16" t="n">
        <f aca="false">IF(D569="","",G569*N569)</f>
        <v>1.3662810217001</v>
      </c>
      <c r="P569" s="16" t="n">
        <f aca="false">IF(D569="","",H569+E569-K569-O569)</f>
        <v>119.169279870283</v>
      </c>
      <c r="Q569" s="16" t="n">
        <f aca="false">IF(D569="","",IF(P569&gt;=0,K569,MAX(0,K569+P569)))</f>
        <v>1.119744</v>
      </c>
      <c r="R569" s="16" t="n">
        <f aca="false">IF(D569="","",Q569/$B$15)</f>
        <v>0.432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119.169279870283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73.561283870545</v>
      </c>
      <c r="Z569" s="18" t="n">
        <f aca="false">IF(D569="","",MAX(0,IF(P569&gt;=0,P569,IF(K569+P569&gt;=0,0,P569+K569))))</f>
        <v>119.169279870283</v>
      </c>
      <c r="AA569" s="18" t="n">
        <f aca="false">IF(D569="","",IF(H569&lt;=$B$16,1,IF(H569&gt;=$B$17,$B$21,MATCH(H569,Aux_CAV!$A$2:$A$121,1))))</f>
        <v>22</v>
      </c>
      <c r="AB569" s="18" t="n">
        <f aca="false">IF(D569="","",IF(L569&lt;=$B$16,1,IF(L569&gt;=$B$17,$B$21,MATCH(L569,Aux_CAV!$A$2:$A$121,1))))</f>
        <v>22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0.374657628975496</v>
      </c>
      <c r="E570" s="16" t="n">
        <f aca="false">IF(D570="","",D570*$B$15)</f>
        <v>0.971112574304486</v>
      </c>
      <c r="F570" s="16" t="n">
        <f aca="false" t="array" ref="F570:F570">IF(D570="","",IFERROR(INDEX(Dados_Evap!$C$2:$N$15,MATCH($B$9,Dados_Evap!$A$2:$A$15,0),C570),0))</f>
        <v>149</v>
      </c>
      <c r="G570" s="16" t="n">
        <f aca="false">IF(F570="","",F570/1000)</f>
        <v>0.149</v>
      </c>
      <c r="H570" s="16" t="n">
        <f aca="false">IF(D570="","",MAX(0,MIN($B$8,IFERROR(LOOKUP(2,1/($U$24:U569&lt;&gt;""),$U$24:U569),$B$11))))</f>
        <v>119.169279870283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12.6646338054224</v>
      </c>
      <c r="J570" s="16" t="n">
        <f aca="false">IF(D570="","",$B$12)</f>
        <v>0.432</v>
      </c>
      <c r="K570" s="16" t="n">
        <f aca="false">IF(J570="","",J570*$B$15)</f>
        <v>1.119744</v>
      </c>
      <c r="L570" s="16" t="n">
        <f aca="false">IF(D570="","",H570+E570-K570-G570*I570)</f>
        <v>117.133618007579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12.5164238496472</v>
      </c>
      <c r="N570" s="16" t="n">
        <f aca="false">IF(D570="","",(I570+M570)/2)</f>
        <v>12.5905288275348</v>
      </c>
      <c r="O570" s="16" t="n">
        <f aca="false">IF(D570="","",G570*N570)</f>
        <v>1.87598879530268</v>
      </c>
      <c r="P570" s="16" t="n">
        <f aca="false">IF(D570="","",H570+E570-K570-O570)</f>
        <v>117.144659649285</v>
      </c>
      <c r="Q570" s="16" t="n">
        <f aca="false">IF(D570="","",IF(P570&gt;=0,K570,MAX(0,K570+P570)))</f>
        <v>1.119744</v>
      </c>
      <c r="R570" s="16" t="n">
        <f aca="false">IF(D570="","",Q570/$B$15)</f>
        <v>0.432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117.144659649285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72.3115183020276</v>
      </c>
      <c r="Z570" s="18" t="n">
        <f aca="false">IF(D570="","",MAX(0,IF(P570&gt;=0,P570,IF(K570+P570&gt;=0,0,P570+K570))))</f>
        <v>117.144659649285</v>
      </c>
      <c r="AA570" s="18" t="n">
        <f aca="false">IF(D570="","",IF(H570&lt;=$B$16,1,IF(H570&gt;=$B$17,$B$21,MATCH(H570,Aux_CAV!$A$2:$A$121,1))))</f>
        <v>22</v>
      </c>
      <c r="AB570" s="18" t="n">
        <f aca="false">IF(D570="","",IF(L570&lt;=$B$16,1,IF(L570&gt;=$B$17,$B$21,MATCH(L570,Aux_CAV!$A$2:$A$121,1))))</f>
        <v>22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0.391478276203083</v>
      </c>
      <c r="E571" s="16" t="n">
        <f aca="false">IF(D571="","",D571*$B$15)</f>
        <v>1.01471169191839</v>
      </c>
      <c r="F571" s="16" t="n">
        <f aca="false" t="array" ref="F571:F571">IF(D571="","",IFERROR(INDEX(Dados_Evap!$C$2:$N$15,MATCH($B$9,Dados_Evap!$A$2:$A$15,0),C571),0))</f>
        <v>206.8</v>
      </c>
      <c r="G571" s="16" t="n">
        <f aca="false">IF(F571="","",F571/1000)</f>
        <v>0.2068</v>
      </c>
      <c r="H571" s="16" t="n">
        <f aca="false">IF(D571="","",MAX(0,MIN($B$8,IFERROR(LOOKUP(2,1/($U$24:U570&lt;&gt;""),$U$24:U570),$B$11))))</f>
        <v>117.144659649285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12.517227755865</v>
      </c>
      <c r="J571" s="16" t="n">
        <f aca="false">IF(D571="","",$B$12)</f>
        <v>0.432</v>
      </c>
      <c r="K571" s="16" t="n">
        <f aca="false">IF(J571="","",J571*$B$15)</f>
        <v>1.119744</v>
      </c>
      <c r="L571" s="16" t="n">
        <f aca="false">IF(D571="","",H571+E571-K571-G571*I571)</f>
        <v>114.45106464129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12.3211158158982</v>
      </c>
      <c r="N571" s="16" t="n">
        <f aca="false">IF(D571="","",(I571+M571)/2)</f>
        <v>12.4191717858816</v>
      </c>
      <c r="O571" s="16" t="n">
        <f aca="false">IF(D571="","",G571*N571)</f>
        <v>2.56828472532032</v>
      </c>
      <c r="P571" s="16" t="n">
        <f aca="false">IF(D571="","",H571+E571-K571-O571)</f>
        <v>114.471342615883</v>
      </c>
      <c r="Q571" s="16" t="n">
        <f aca="false">IF(D571="","",IF(P571&gt;=0,K571,MAX(0,K571+P571)))</f>
        <v>1.119744</v>
      </c>
      <c r="R571" s="16" t="n">
        <f aca="false">IF(D571="","",Q571/$B$15)</f>
        <v>0.432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114.471342615883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70.6613226023968</v>
      </c>
      <c r="Z571" s="18" t="n">
        <f aca="false">IF(D571="","",MAX(0,IF(P571&gt;=0,P571,IF(K571+P571&gt;=0,0,P571+K571))))</f>
        <v>114.471342615883</v>
      </c>
      <c r="AA571" s="18" t="n">
        <f aca="false">IF(D571="","",IF(H571&lt;=$B$16,1,IF(H571&gt;=$B$17,$B$21,MATCH(H571,Aux_CAV!$A$2:$A$121,1))))</f>
        <v>22</v>
      </c>
      <c r="AB571" s="18" t="n">
        <f aca="false">IF(D571="","",IF(L571&lt;=$B$16,1,IF(L571&gt;=$B$17,$B$21,MATCH(L571,Aux_CAV!$A$2:$A$121,1))))</f>
        <v>22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0.227201618432112</v>
      </c>
      <c r="E572" s="16" t="n">
        <f aca="false">IF(D572="","",D572*$B$15)</f>
        <v>0.588906594976034</v>
      </c>
      <c r="F572" s="16" t="n">
        <f aca="false" t="array" ref="F572:F572">IF(D572="","",IFERROR(INDEX(Dados_Evap!$C$2:$N$15,MATCH($B$9,Dados_Evap!$A$2:$A$15,0),C572),0))</f>
        <v>245.9</v>
      </c>
      <c r="G572" s="16" t="n">
        <f aca="false">IF(F572="","",F572/1000)</f>
        <v>0.2459</v>
      </c>
      <c r="H572" s="16" t="n">
        <f aca="false">IF(D572="","",MAX(0,MIN($B$8,IFERROR(LOOKUP(2,1/($U$24:U571&lt;&gt;""),$U$24:U571),$B$11))))</f>
        <v>114.471342615883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12.3225921896382</v>
      </c>
      <c r="J572" s="16" t="n">
        <f aca="false">IF(D572="","",$B$12)</f>
        <v>0.432</v>
      </c>
      <c r="K572" s="16" t="n">
        <f aca="false">IF(J572="","",J572*$B$15)</f>
        <v>1.119744</v>
      </c>
      <c r="L572" s="16" t="n">
        <f aca="false">IF(D572="","",H572+E572-K572-G572*I572)</f>
        <v>110.910379791427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12.0633300044987</v>
      </c>
      <c r="N572" s="16" t="n">
        <f aca="false">IF(D572="","",(I572+M572)/2)</f>
        <v>12.1929610970684</v>
      </c>
      <c r="O572" s="16" t="n">
        <f aca="false">IF(D572="","",G572*N572)</f>
        <v>2.99824913376913</v>
      </c>
      <c r="P572" s="16" t="n">
        <f aca="false">IF(D572="","",H572+E572-K572-O572)</f>
        <v>110.94225607709</v>
      </c>
      <c r="Q572" s="16" t="n">
        <f aca="false">IF(D572="","",IF(P572&gt;=0,K572,MAX(0,K572+P572)))</f>
        <v>1.119744</v>
      </c>
      <c r="R572" s="16" t="n">
        <f aca="false">IF(D572="","",Q572/$B$15)</f>
        <v>0.432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110.94225607709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68.4828741216603</v>
      </c>
      <c r="Z572" s="18" t="n">
        <f aca="false">IF(D572="","",MAX(0,IF(P572&gt;=0,P572,IF(K572+P572&gt;=0,0,P572+K572))))</f>
        <v>110.94225607709</v>
      </c>
      <c r="AA572" s="18" t="n">
        <f aca="false">IF(D572="","",IF(H572&lt;=$B$16,1,IF(H572&gt;=$B$17,$B$21,MATCH(H572,Aux_CAV!$A$2:$A$121,1))))</f>
        <v>22</v>
      </c>
      <c r="AB572" s="18" t="n">
        <f aca="false">IF(D572="","",IF(L572&lt;=$B$16,1,IF(L572&gt;=$B$17,$B$21,MATCH(L572,Aux_CAV!$A$2:$A$121,1))))</f>
        <v>22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0.459707209082535</v>
      </c>
      <c r="E573" s="16" t="n">
        <f aca="false">IF(D573="","",D573*$B$15)</f>
        <v>1.19156108594193</v>
      </c>
      <c r="F573" s="16" t="n">
        <f aca="false" t="array" ref="F573:F573">IF(D573="","",IFERROR(INDEX(Dados_Evap!$C$2:$N$15,MATCH($B$9,Dados_Evap!$A$2:$A$15,0),C573),0))</f>
        <v>282.3</v>
      </c>
      <c r="G573" s="16" t="n">
        <f aca="false">IF(F573="","",F573/1000)</f>
        <v>0.2823</v>
      </c>
      <c r="H573" s="16" t="n">
        <f aca="false">IF(D573="","",MAX(0,MIN($B$8,IFERROR(LOOKUP(2,1/($U$24:U572&lt;&gt;""),$U$24:U572),$B$11))))</f>
        <v>110.94225607709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12.0656508137524</v>
      </c>
      <c r="J573" s="16" t="n">
        <f aca="false">IF(D573="","",$B$12)</f>
        <v>0.432</v>
      </c>
      <c r="K573" s="16" t="n">
        <f aca="false">IF(J573="","",J573*$B$15)</f>
        <v>1.119744</v>
      </c>
      <c r="L573" s="16" t="n">
        <f aca="false">IF(D573="","",H573+E573-K573-G573*I573)</f>
        <v>107.607939938309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11.822890040697</v>
      </c>
      <c r="N573" s="16" t="n">
        <f aca="false">IF(D573="","",(I573+M573)/2)</f>
        <v>11.9442704272247</v>
      </c>
      <c r="O573" s="16" t="n">
        <f aca="false">IF(D573="","",G573*N573)</f>
        <v>3.37186754160553</v>
      </c>
      <c r="P573" s="16" t="n">
        <f aca="false">IF(D573="","",H573+E573-K573-O573)</f>
        <v>107.642205621426</v>
      </c>
      <c r="Q573" s="16" t="n">
        <f aca="false">IF(D573="","",IF(P573&gt;=0,K573,MAX(0,K573+P573)))</f>
        <v>1.119744</v>
      </c>
      <c r="R573" s="16" t="n">
        <f aca="false">IF(D573="","",Q573/$B$15)</f>
        <v>0.432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107.642205621426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66.4458059391519</v>
      </c>
      <c r="Z573" s="18" t="n">
        <f aca="false">IF(D573="","",MAX(0,IF(P573&gt;=0,P573,IF(K573+P573&gt;=0,0,P573+K573))))</f>
        <v>107.642205621426</v>
      </c>
      <c r="AA573" s="18" t="n">
        <f aca="false">IF(D573="","",IF(H573&lt;=$B$16,1,IF(H573&gt;=$B$17,$B$21,MATCH(H573,Aux_CAV!$A$2:$A$121,1))))</f>
        <v>22</v>
      </c>
      <c r="AB573" s="18" t="n">
        <f aca="false">IF(D573="","",IF(L573&lt;=$B$16,1,IF(L573&gt;=$B$17,$B$21,MATCH(L573,Aux_CAV!$A$2:$A$121,1))))</f>
        <v>22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0.242662306957231</v>
      </c>
      <c r="E574" s="16" t="n">
        <f aca="false">IF(D574="","",D574*$B$15)</f>
        <v>0.628980699633143</v>
      </c>
      <c r="F574" s="16" t="n">
        <f aca="false" t="array" ref="F574:F574">IF(D574="","",IFERROR(INDEX(Dados_Evap!$C$2:$N$15,MATCH($B$9,Dados_Evap!$A$2:$A$15,0),C574),0))</f>
        <v>241.3</v>
      </c>
      <c r="G574" s="16" t="n">
        <f aca="false">IF(F574="","",F574/1000)</f>
        <v>0.2413</v>
      </c>
      <c r="H574" s="16" t="n">
        <f aca="false">IF(D574="","",MAX(0,MIN($B$8,IFERROR(LOOKUP(2,1/($U$24:U573&lt;&gt;""),$U$24:U573),$B$11))))</f>
        <v>107.642205621426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11.8253848142507</v>
      </c>
      <c r="J574" s="16" t="n">
        <f aca="false">IF(D574="","",$B$12)</f>
        <v>0.432</v>
      </c>
      <c r="K574" s="16" t="n">
        <f aca="false">IF(J574="","",J574*$B$15)</f>
        <v>1.119744</v>
      </c>
      <c r="L574" s="16" t="n">
        <f aca="false">IF(D574="","",H574+E574-K574-G574*I574)</f>
        <v>104.297976965381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11.5819023428758</v>
      </c>
      <c r="N574" s="16" t="n">
        <f aca="false">IF(D574="","",(I574+M574)/2)</f>
        <v>11.7036435785633</v>
      </c>
      <c r="O574" s="16" t="n">
        <f aca="false">IF(D574="","",G574*N574)</f>
        <v>2.82408919550731</v>
      </c>
      <c r="P574" s="16" t="n">
        <f aca="false">IF(D574="","",H574+E574-K574-O574)</f>
        <v>104.327353125552</v>
      </c>
      <c r="Q574" s="16" t="n">
        <f aca="false">IF(D574="","",IF(P574&gt;=0,K574,MAX(0,K574+P574)))</f>
        <v>1.119744</v>
      </c>
      <c r="R574" s="16" t="n">
        <f aca="false">IF(D574="","",Q574/$B$15)</f>
        <v>0.432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104.327353125552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64.3996006947851</v>
      </c>
      <c r="Z574" s="18" t="n">
        <f aca="false">IF(D574="","",MAX(0,IF(P574&gt;=0,P574,IF(K574+P574&gt;=0,0,P574+K574))))</f>
        <v>104.327353125552</v>
      </c>
      <c r="AA574" s="18" t="n">
        <f aca="false">IF(D574="","",IF(H574&lt;=$B$16,1,IF(H574&gt;=$B$17,$B$21,MATCH(H574,Aux_CAV!$A$2:$A$121,1))))</f>
        <v>22</v>
      </c>
      <c r="AB574" s="18" t="n">
        <f aca="false">IF(D574="","",IF(L574&lt;=$B$16,1,IF(L574&gt;=$B$17,$B$21,MATCH(L574,Aux_CAV!$A$2:$A$121,1))))</f>
        <v>22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0.483305394228016</v>
      </c>
      <c r="E575" s="16" t="n">
        <f aca="false">IF(D575="","",D575*$B$15)</f>
        <v>1.25272758183902</v>
      </c>
      <c r="F575" s="16" t="n">
        <f aca="false" t="array" ref="F575:F575">IF(D575="","",IFERROR(INDEX(Dados_Evap!$C$2:$N$15,MATCH($B$9,Dados_Evap!$A$2:$A$15,0),C575),0))</f>
        <v>241.8</v>
      </c>
      <c r="G575" s="16" t="n">
        <f aca="false">IF(F575="","",F575/1000)</f>
        <v>0.2418</v>
      </c>
      <c r="H575" s="16" t="n">
        <f aca="false">IF(D575="","",MAX(0,MIN($B$8,IFERROR(LOOKUP(2,1/($U$24:U574&lt;&gt;""),$U$24:U574),$B$11))))</f>
        <v>104.327353125552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11.5840411260793</v>
      </c>
      <c r="J575" s="16" t="n">
        <f aca="false">IF(D575="","",$B$12)</f>
        <v>0.432</v>
      </c>
      <c r="K575" s="16" t="n">
        <f aca="false">IF(J575="","",J575*$B$15)</f>
        <v>1.119744</v>
      </c>
      <c r="L575" s="16" t="n">
        <f aca="false">IF(D575="","",H575+E575-K575-G575*I575)</f>
        <v>101.659315563105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11.389789941056</v>
      </c>
      <c r="N575" s="16" t="n">
        <f aca="false">IF(D575="","",(I575+M575)/2)</f>
        <v>11.4869155335676</v>
      </c>
      <c r="O575" s="16" t="n">
        <f aca="false">IF(D575="","",G575*N575)</f>
        <v>2.77753617601665</v>
      </c>
      <c r="P575" s="16" t="n">
        <f aca="false">IF(D575="","",H575+E575-K575-O575)</f>
        <v>101.682800531374</v>
      </c>
      <c r="Q575" s="16" t="n">
        <f aca="false">IF(D575="","",IF(P575&gt;=0,K575,MAX(0,K575+P575)))</f>
        <v>1.119744</v>
      </c>
      <c r="R575" s="16" t="n">
        <f aca="false">IF(D575="","",Q575/$B$15)</f>
        <v>0.432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101.682800531374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62.767160821836</v>
      </c>
      <c r="Z575" s="18" t="n">
        <f aca="false">IF(D575="","",MAX(0,IF(P575&gt;=0,P575,IF(K575+P575&gt;=0,0,P575+K575))))</f>
        <v>101.682800531374</v>
      </c>
      <c r="AA575" s="18" t="n">
        <f aca="false">IF(D575="","",IF(H575&lt;=$B$16,1,IF(H575&gt;=$B$17,$B$21,MATCH(H575,Aux_CAV!$A$2:$A$121,1))))</f>
        <v>22</v>
      </c>
      <c r="AB575" s="18" t="n">
        <f aca="false">IF(D575="","",IF(L575&lt;=$B$16,1,IF(L575&gt;=$B$17,$B$21,MATCH(L575,Aux_CAV!$A$2:$A$121,1))))</f>
        <v>22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0.239181969634307</v>
      </c>
      <c r="E576" s="16" t="n">
        <f aca="false">IF(D576="","",D576*$B$15)</f>
        <v>0.619959665292124</v>
      </c>
      <c r="F576" s="16" t="n">
        <f aca="false" t="array" ref="F576:F576">IF(D576="","",IFERROR(INDEX(Dados_Evap!$C$2:$N$15,MATCH($B$9,Dados_Evap!$A$2:$A$15,0),C576),0))</f>
        <v>189</v>
      </c>
      <c r="G576" s="16" t="n">
        <f aca="false">IF(F576="","",F576/1000)</f>
        <v>0.189</v>
      </c>
      <c r="H576" s="16" t="n">
        <f aca="false">IF(D576="","",MAX(0,MIN($B$8,IFERROR(LOOKUP(2,1/($U$24:U575&lt;&gt;""),$U$24:U575),$B$11))))</f>
        <v>101.682800531374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11.3914998056324</v>
      </c>
      <c r="J576" s="16" t="n">
        <f aca="false">IF(D576="","",$B$12)</f>
        <v>0.432</v>
      </c>
      <c r="K576" s="16" t="n">
        <f aca="false">IF(J576="","",J576*$B$15)</f>
        <v>1.119744</v>
      </c>
      <c r="L576" s="16" t="n">
        <f aca="false">IF(D576="","",H576+E576-K576-G576*I576)</f>
        <v>99.0300227334019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11.198359634702</v>
      </c>
      <c r="N576" s="16" t="n">
        <f aca="false">IF(D576="","",(I576+M576)/2)</f>
        <v>11.2949297201672</v>
      </c>
      <c r="O576" s="16" t="n">
        <f aca="false">IF(D576="","",G576*N576)</f>
        <v>2.1347417171116</v>
      </c>
      <c r="P576" s="16" t="n">
        <f aca="false">IF(D576="","",H576+E576-K576-O576)</f>
        <v>99.0482744795548</v>
      </c>
      <c r="Q576" s="16" t="n">
        <f aca="false">IF(D576="","",IF(P576&gt;=0,K576,MAX(0,K576+P576)))</f>
        <v>1.119744</v>
      </c>
      <c r="R576" s="16" t="n">
        <f aca="false">IF(D576="","",Q576/$B$15)</f>
        <v>0.432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99.0482744795548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61.1409101725647</v>
      </c>
      <c r="Z576" s="18" t="n">
        <f aca="false">IF(D576="","",MAX(0,IF(P576&gt;=0,P576,IF(K576+P576&gt;=0,0,P576+K576))))</f>
        <v>99.0482744795548</v>
      </c>
      <c r="AA576" s="18" t="n">
        <f aca="false">IF(D576="","",IF(H576&lt;=$B$16,1,IF(H576&gt;=$B$17,$B$21,MATCH(H576,Aux_CAV!$A$2:$A$121,1))))</f>
        <v>22</v>
      </c>
      <c r="AB576" s="18" t="n">
        <f aca="false">IF(D576="","",IF(L576&lt;=$B$16,1,IF(L576&gt;=$B$17,$B$21,MATCH(L576,Aux_CAV!$A$2:$A$121,1))))</f>
        <v>22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1.44194127147548</v>
      </c>
      <c r="E577" s="16" t="n">
        <f aca="false">IF(D577="","",D577*$B$15)</f>
        <v>3.73751177566444</v>
      </c>
      <c r="F577" s="16" t="n">
        <f aca="false" t="array" ref="F577:F577">IF(D577="","",IFERROR(INDEX(Dados_Evap!$C$2:$N$15,MATCH($B$9,Dados_Evap!$A$2:$A$15,0),C577),0))</f>
        <v>136.9</v>
      </c>
      <c r="G577" s="16" t="n">
        <f aca="false">IF(F577="","",F577/1000)</f>
        <v>0.1369</v>
      </c>
      <c r="H577" s="16" t="n">
        <f aca="false">IF(D577="","",MAX(0,MIN($B$8,IFERROR(LOOKUP(2,1/($U$24:U576&lt;&gt;""),$U$24:U576),$B$11))))</f>
        <v>99.0482744795548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11.1996884853033</v>
      </c>
      <c r="J577" s="16" t="n">
        <f aca="false">IF(D577="","",$B$12)</f>
        <v>0.432</v>
      </c>
      <c r="K577" s="16" t="n">
        <f aca="false">IF(J577="","",J577*$B$15)</f>
        <v>1.119744</v>
      </c>
      <c r="L577" s="16" t="n">
        <f aca="false">IF(D577="","",H577+E577-K577-G577*I577)</f>
        <v>100.132804901581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11.2786496373641</v>
      </c>
      <c r="N577" s="16" t="n">
        <f aca="false">IF(D577="","",(I577+M577)/2)</f>
        <v>11.2391690613337</v>
      </c>
      <c r="O577" s="16" t="n">
        <f aca="false">IF(D577="","",G577*N577)</f>
        <v>1.53864224449658</v>
      </c>
      <c r="P577" s="16" t="n">
        <f aca="false">IF(D577="","",H577+E577-K577-O577)</f>
        <v>100.127400010723</v>
      </c>
      <c r="Q577" s="16" t="n">
        <f aca="false">IF(D577="","",IF(P577&gt;=0,K577,MAX(0,K577+P577)))</f>
        <v>1.119744</v>
      </c>
      <c r="R577" s="16" t="n">
        <f aca="false">IF(D577="","",Q577/$B$15)</f>
        <v>0.432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100.127400010723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61.807037043656</v>
      </c>
      <c r="Z577" s="18" t="n">
        <f aca="false">IF(D577="","",MAX(0,IF(P577&gt;=0,P577,IF(K577+P577&gt;=0,0,P577+K577))))</f>
        <v>100.127400010723</v>
      </c>
      <c r="AA577" s="18" t="n">
        <f aca="false">IF(D577="","",IF(H577&lt;=$B$16,1,IF(H577&gt;=$B$17,$B$21,MATCH(H577,Aux_CAV!$A$2:$A$121,1))))</f>
        <v>22</v>
      </c>
      <c r="AB577" s="18" t="n">
        <f aca="false">IF(D577="","",IF(L577&lt;=$B$16,1,IF(L577&gt;=$B$17,$B$21,MATCH(L577,Aux_CAV!$A$2:$A$121,1))))</f>
        <v>22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3.5479385947256</v>
      </c>
      <c r="E578" s="16" t="n">
        <f aca="false">IF(D578="","",D578*$B$15)</f>
        <v>9.19625683752876</v>
      </c>
      <c r="F578" s="16" t="n">
        <f aca="false" t="array" ref="F578:F578">IF(D578="","",IFERROR(INDEX(Dados_Evap!$C$2:$N$15,MATCH($B$9,Dados_Evap!$A$2:$A$15,0),C578),0))</f>
        <v>102.9</v>
      </c>
      <c r="G578" s="16" t="n">
        <f aca="false">IF(F578="","",F578/1000)</f>
        <v>0.1029</v>
      </c>
      <c r="H578" s="16" t="n">
        <f aca="false">IF(D578="","",MAX(0,MIN($B$8,IFERROR(LOOKUP(2,1/($U$24:U577&lt;&gt;""),$U$24:U577),$B$11))))</f>
        <v>100.127400010723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11.2782561247431</v>
      </c>
      <c r="J578" s="16" t="n">
        <f aca="false">IF(D578="","",$B$12)</f>
        <v>0.432</v>
      </c>
      <c r="K578" s="16" t="n">
        <f aca="false">IF(J578="","",J578*$B$15)</f>
        <v>1.119744</v>
      </c>
      <c r="L578" s="16" t="n">
        <f aca="false">IF(D578="","",H578+E578-K578-G578*I578)</f>
        <v>107.043380293015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11.781786279019</v>
      </c>
      <c r="N578" s="16" t="n">
        <f aca="false">IF(D578="","",(I578+M578)/2)</f>
        <v>11.5300212018811</v>
      </c>
      <c r="O578" s="16" t="n">
        <f aca="false">IF(D578="","",G578*N578)</f>
        <v>1.18643918167356</v>
      </c>
      <c r="P578" s="16" t="n">
        <f aca="false">IF(D578="","",H578+E578-K578-O578)</f>
        <v>107.017473666578</v>
      </c>
      <c r="Q578" s="16" t="n">
        <f aca="false">IF(D578="","",IF(P578&gt;=0,K578,MAX(0,K578+P578)))</f>
        <v>1.119744</v>
      </c>
      <c r="R578" s="16" t="n">
        <f aca="false">IF(D578="","",Q578/$B$15)</f>
        <v>0.432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107.017473666578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66.0601689299863</v>
      </c>
      <c r="Z578" s="18" t="n">
        <f aca="false">IF(D578="","",MAX(0,IF(P578&gt;=0,P578,IF(K578+P578&gt;=0,0,P578+K578))))</f>
        <v>107.017473666578</v>
      </c>
      <c r="AA578" s="18" t="n">
        <f aca="false">IF(D578="","",IF(H578&lt;=$B$16,1,IF(H578&gt;=$B$17,$B$21,MATCH(H578,Aux_CAV!$A$2:$A$121,1))))</f>
        <v>22</v>
      </c>
      <c r="AB578" s="18" t="n">
        <f aca="false">IF(D578="","",IF(L578&lt;=$B$16,1,IF(L578&gt;=$B$17,$B$21,MATCH(L578,Aux_CAV!$A$2:$A$121,1))))</f>
        <v>22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8.90799073077034</v>
      </c>
      <c r="E579" s="16" t="n">
        <f aca="false">IF(D579="","",D579*$B$15)</f>
        <v>23.0895119741567</v>
      </c>
      <c r="F579" s="16" t="n">
        <f aca="false" t="array" ref="F579:F579">IF(D579="","",IFERROR(INDEX(Dados_Evap!$C$2:$N$15,MATCH($B$9,Dados_Evap!$A$2:$A$15,0),C579),0))</f>
        <v>81.8</v>
      </c>
      <c r="G579" s="16" t="n">
        <f aca="false">IF(F579="","",F579/1000)</f>
        <v>0.0818</v>
      </c>
      <c r="H579" s="16" t="n">
        <f aca="false">IF(D579="","",MAX(0,MIN($B$8,IFERROR(LOOKUP(2,1/($U$24:U578&lt;&gt;""),$U$24:U578),$B$11))))</f>
        <v>107.017473666578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11.7799001013444</v>
      </c>
      <c r="J579" s="16" t="n">
        <f aca="false">IF(D579="","",$B$12)</f>
        <v>0.432</v>
      </c>
      <c r="K579" s="16" t="n">
        <f aca="false">IF(J579="","",J579*$B$15)</f>
        <v>1.119744</v>
      </c>
      <c r="L579" s="16" t="n">
        <f aca="false">IF(D579="","",H579+E579-K579-G579*I579)</f>
        <v>128.023645812445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13.3092915497898</v>
      </c>
      <c r="N579" s="16" t="n">
        <f aca="false">IF(D579="","",(I579+M579)/2)</f>
        <v>12.5445958255671</v>
      </c>
      <c r="O579" s="16" t="n">
        <f aca="false">IF(D579="","",G579*N579)</f>
        <v>1.02614793853139</v>
      </c>
      <c r="P579" s="16" t="n">
        <f aca="false">IF(D579="","",H579+E579-K579-O579)</f>
        <v>127.961093702203</v>
      </c>
      <c r="Q579" s="16" t="n">
        <f aca="false">IF(D579="","",IF(P579&gt;=0,K579,MAX(0,K579+P579)))</f>
        <v>1.119744</v>
      </c>
      <c r="R579" s="16" t="n">
        <f aca="false">IF(D579="","",Q579/$B$15)</f>
        <v>0.432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127.961093702203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78.9883294458044</v>
      </c>
      <c r="Z579" s="18" t="n">
        <f aca="false">IF(D579="","",MAX(0,IF(P579&gt;=0,P579,IF(K579+P579&gt;=0,0,P579+K579))))</f>
        <v>127.961093702203</v>
      </c>
      <c r="AA579" s="18" t="n">
        <f aca="false">IF(D579="","",IF(H579&lt;=$B$16,1,IF(H579&gt;=$B$17,$B$21,MATCH(H579,Aux_CAV!$A$2:$A$121,1))))</f>
        <v>22</v>
      </c>
      <c r="AB579" s="18" t="n">
        <f aca="false">IF(D579="","",IF(L579&lt;=$B$16,1,IF(L579&gt;=$B$17,$B$21,MATCH(L579,Aux_CAV!$A$2:$A$121,1))))</f>
        <v>22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2.3995356346174</v>
      </c>
      <c r="E580" s="16" t="n">
        <f aca="false">IF(D580="","",D580*$B$15)</f>
        <v>6.2195963649283</v>
      </c>
      <c r="F580" s="16" t="n">
        <f aca="false" t="array" ref="F580:F580">IF(D580="","",IFERROR(INDEX(Dados_Evap!$C$2:$N$15,MATCH($B$9,Dados_Evap!$A$2:$A$15,0),C580),0))</f>
        <v>83.6</v>
      </c>
      <c r="G580" s="16" t="n">
        <f aca="false">IF(F580="","",F580/1000)</f>
        <v>0.0836</v>
      </c>
      <c r="H580" s="16" t="n">
        <f aca="false">IF(D580="","",MAX(0,MIN($B$8,IFERROR(LOOKUP(2,1/($U$24:U579&lt;&gt;""),$U$24:U579),$B$11))))</f>
        <v>127.961093702203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13.304737332971</v>
      </c>
      <c r="J580" s="16" t="n">
        <f aca="false">IF(D580="","",$B$12)</f>
        <v>0.432</v>
      </c>
      <c r="K580" s="16" t="n">
        <f aca="false">IF(J580="","",J580*$B$15)</f>
        <v>1.119744</v>
      </c>
      <c r="L580" s="16" t="n">
        <f aca="false">IF(D580="","",H580+E580-K580-G580*I580)</f>
        <v>131.948670026095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13.5950598671022</v>
      </c>
      <c r="N580" s="16" t="n">
        <f aca="false">IF(D580="","",(I580+M580)/2)</f>
        <v>13.4498986000366</v>
      </c>
      <c r="O580" s="16" t="n">
        <f aca="false">IF(D580="","",G580*N580)</f>
        <v>1.12441152296306</v>
      </c>
      <c r="P580" s="16" t="n">
        <f aca="false">IF(D580="","",H580+E580-K580-O580)</f>
        <v>131.936534544168</v>
      </c>
      <c r="Q580" s="16" t="n">
        <f aca="false">IF(D580="","",IF(P580&gt;=0,K580,MAX(0,K580+P580)))</f>
        <v>1.119744</v>
      </c>
      <c r="R580" s="16" t="n">
        <f aca="false">IF(D580="","",Q580/$B$15)</f>
        <v>0.432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131.936534544168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81.442305274178</v>
      </c>
      <c r="Z580" s="18" t="n">
        <f aca="false">IF(D580="","",MAX(0,IF(P580&gt;=0,P580,IF(K580+P580&gt;=0,0,P580+K580))))</f>
        <v>131.936534544168</v>
      </c>
      <c r="AA580" s="18" t="n">
        <f aca="false">IF(D580="","",IF(H580&lt;=$B$16,1,IF(H580&gt;=$B$17,$B$21,MATCH(H580,Aux_CAV!$A$2:$A$121,1))))</f>
        <v>22</v>
      </c>
      <c r="AB580" s="18" t="n">
        <f aca="false">IF(D580="","",IF(L580&lt;=$B$16,1,IF(L580&gt;=$B$17,$B$21,MATCH(L580,Aux_CAV!$A$2:$A$121,1))))</f>
        <v>22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1.62027683113984</v>
      </c>
      <c r="E581" s="16" t="n">
        <f aca="false">IF(D581="","",D581*$B$15)</f>
        <v>4.19975754631447</v>
      </c>
      <c r="F581" s="16" t="n">
        <f aca="false" t="array" ref="F581:F581">IF(D581="","",IFERROR(INDEX(Dados_Evap!$C$2:$N$15,MATCH($B$9,Dados_Evap!$A$2:$A$15,0),C581),0))</f>
        <v>108.2</v>
      </c>
      <c r="G581" s="16" t="n">
        <f aca="false">IF(F581="","",F581/1000)</f>
        <v>0.1082</v>
      </c>
      <c r="H581" s="16" t="n">
        <f aca="false">IF(D581="","",MAX(0,MIN($B$8,IFERROR(LOOKUP(2,1/($U$24:U580&lt;&gt;""),$U$24:U580),$B$11))))</f>
        <v>131.936534544168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13.5941763219159</v>
      </c>
      <c r="J581" s="16" t="n">
        <f aca="false">IF(D581="","",$B$12)</f>
        <v>0.432</v>
      </c>
      <c r="K581" s="16" t="n">
        <f aca="false">IF(J581="","",J581*$B$15)</f>
        <v>1.119744</v>
      </c>
      <c r="L581" s="16" t="n">
        <f aca="false">IF(D581="","",H581+E581-K581-G581*I581)</f>
        <v>133.545658212452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13.7113314114141</v>
      </c>
      <c r="N581" s="16" t="n">
        <f aca="false">IF(D581="","",(I581+M581)/2)</f>
        <v>13.652753866665</v>
      </c>
      <c r="O581" s="16" t="n">
        <f aca="false">IF(D581="","",G581*N581)</f>
        <v>1.47722796837315</v>
      </c>
      <c r="P581" s="16" t="n">
        <f aca="false">IF(D581="","",H581+E581-K581-O581)</f>
        <v>133.53932012211</v>
      </c>
      <c r="Q581" s="16" t="n">
        <f aca="false">IF(D581="","",IF(P581&gt;=0,K581,MAX(0,K581+P581)))</f>
        <v>1.119744</v>
      </c>
      <c r="R581" s="16" t="n">
        <f aca="false">IF(D581="","",Q581/$B$15)</f>
        <v>0.432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133.53932012211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82.4316790877221</v>
      </c>
      <c r="Z581" s="18" t="n">
        <f aca="false">IF(D581="","",MAX(0,IF(P581&gt;=0,P581,IF(K581+P581&gt;=0,0,P581+K581))))</f>
        <v>133.53932012211</v>
      </c>
      <c r="AA581" s="18" t="n">
        <f aca="false">IF(D581="","",IF(H581&lt;=$B$16,1,IF(H581&gt;=$B$17,$B$21,MATCH(H581,Aux_CAV!$A$2:$A$121,1))))</f>
        <v>22</v>
      </c>
      <c r="AB581" s="18" t="n">
        <f aca="false">IF(D581="","",IF(L581&lt;=$B$16,1,IF(L581&gt;=$B$17,$B$21,MATCH(L581,Aux_CAV!$A$2:$A$121,1))))</f>
        <v>22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1.2804979161829</v>
      </c>
      <c r="E582" s="16" t="n">
        <f aca="false">IF(D582="","",D582*$B$15)</f>
        <v>3.31905059874608</v>
      </c>
      <c r="F582" s="16" t="n">
        <f aca="false" t="array" ref="F582:F582">IF(D582="","",IFERROR(INDEX(Dados_Evap!$C$2:$N$15,MATCH($B$9,Dados_Evap!$A$2:$A$15,0),C582),0))</f>
        <v>149</v>
      </c>
      <c r="G582" s="16" t="n">
        <f aca="false">IF(F582="","",F582/1000)</f>
        <v>0.149</v>
      </c>
      <c r="H582" s="16" t="n">
        <f aca="false">IF(D582="","",MAX(0,MIN($B$8,IFERROR(LOOKUP(2,1/($U$24:U581&lt;&gt;""),$U$24:U581),$B$11))))</f>
        <v>133.53932012211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13.7108699555572</v>
      </c>
      <c r="J582" s="16" t="n">
        <f aca="false">IF(D582="","",$B$12)</f>
        <v>0.432</v>
      </c>
      <c r="K582" s="16" t="n">
        <f aca="false">IF(J582="","",J582*$B$15)</f>
        <v>1.119744</v>
      </c>
      <c r="L582" s="16" t="n">
        <f aca="false">IF(D582="","",H582+E582-K582-G582*I582)</f>
        <v>133.695707097478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13.7222559853924</v>
      </c>
      <c r="N582" s="16" t="n">
        <f aca="false">IF(D582="","",(I582+M582)/2)</f>
        <v>13.7165629704748</v>
      </c>
      <c r="O582" s="16" t="n">
        <f aca="false">IF(D582="","",G582*N582)</f>
        <v>2.04376788260074</v>
      </c>
      <c r="P582" s="16" t="n">
        <f aca="false">IF(D582="","",H582+E582-K582-O582)</f>
        <v>133.694858838255</v>
      </c>
      <c r="Q582" s="16" t="n">
        <f aca="false">IF(D582="","",IF(P582&gt;=0,K582,MAX(0,K582+P582)))</f>
        <v>1.119744</v>
      </c>
      <c r="R582" s="16" t="n">
        <f aca="false">IF(D582="","",Q582/$B$15)</f>
        <v>0.432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133.694858838255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82.5276906408982</v>
      </c>
      <c r="Z582" s="18" t="n">
        <f aca="false">IF(D582="","",MAX(0,IF(P582&gt;=0,P582,IF(K582+P582&gt;=0,0,P582+K582))))</f>
        <v>133.694858838255</v>
      </c>
      <c r="AA582" s="18" t="n">
        <f aca="false">IF(D582="","",IF(H582&lt;=$B$16,1,IF(H582&gt;=$B$17,$B$21,MATCH(H582,Aux_CAV!$A$2:$A$121,1))))</f>
        <v>22</v>
      </c>
      <c r="AB582" s="18" t="n">
        <f aca="false">IF(D582="","",IF(L582&lt;=$B$16,1,IF(L582&gt;=$B$17,$B$21,MATCH(L582,Aux_CAV!$A$2:$A$121,1))))</f>
        <v>22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1.47331200862414</v>
      </c>
      <c r="E583" s="16" t="n">
        <f aca="false">IF(D583="","",D583*$B$15)</f>
        <v>3.81882472635377</v>
      </c>
      <c r="F583" s="16" t="n">
        <f aca="false" t="array" ref="F583:F583">IF(D583="","",IFERROR(INDEX(Dados_Evap!$C$2:$N$15,MATCH($B$9,Dados_Evap!$A$2:$A$15,0),C583),0))</f>
        <v>206.8</v>
      </c>
      <c r="G583" s="16" t="n">
        <f aca="false">IF(F583="","",F583/1000)</f>
        <v>0.2068</v>
      </c>
      <c r="H583" s="16" t="n">
        <f aca="false">IF(D583="","",MAX(0,MIN($B$8,IFERROR(LOOKUP(2,1/($U$24:U582&lt;&gt;""),$U$24:U582),$B$11))))</f>
        <v>133.694858838255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13.7221942263821</v>
      </c>
      <c r="J583" s="16" t="n">
        <f aca="false">IF(D583="","",$B$12)</f>
        <v>0.432</v>
      </c>
      <c r="K583" s="16" t="n">
        <f aca="false">IF(J583="","",J583*$B$15)</f>
        <v>1.119744</v>
      </c>
      <c r="L583" s="16" t="n">
        <f aca="false">IF(D583="","",H583+E583-K583-G583*I583)</f>
        <v>133.556189798593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13.7120981821361</v>
      </c>
      <c r="N583" s="16" t="n">
        <f aca="false">IF(D583="","",(I583+M583)/2)</f>
        <v>13.7171462042591</v>
      </c>
      <c r="O583" s="16" t="n">
        <f aca="false">IF(D583="","",G583*N583)</f>
        <v>2.83670583504079</v>
      </c>
      <c r="P583" s="16" t="n">
        <f aca="false">IF(D583="","",H583+E583-K583-O583)</f>
        <v>133.557233729568</v>
      </c>
      <c r="Q583" s="16" t="n">
        <f aca="false">IF(D583="","",IF(P583&gt;=0,K583,MAX(0,K583+P583)))</f>
        <v>1.119744</v>
      </c>
      <c r="R583" s="16" t="n">
        <f aca="false">IF(D583="","",Q583/$B$15)</f>
        <v>0.432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133.557233729568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82.4427368701037</v>
      </c>
      <c r="Z583" s="18" t="n">
        <f aca="false">IF(D583="","",MAX(0,IF(P583&gt;=0,P583,IF(K583+P583&gt;=0,0,P583+K583))))</f>
        <v>133.557233729568</v>
      </c>
      <c r="AA583" s="18" t="n">
        <f aca="false">IF(D583="","",IF(H583&lt;=$B$16,1,IF(H583&gt;=$B$17,$B$21,MATCH(H583,Aux_CAV!$A$2:$A$121,1))))</f>
        <v>22</v>
      </c>
      <c r="AB583" s="18" t="n">
        <f aca="false">IF(D583="","",IF(L583&lt;=$B$16,1,IF(L583&gt;=$B$17,$B$21,MATCH(L583,Aux_CAV!$A$2:$A$121,1))))</f>
        <v>22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0.444775498374542</v>
      </c>
      <c r="E584" s="16" t="n">
        <f aca="false">IF(D584="","",D584*$B$15)</f>
        <v>1.15285809178681</v>
      </c>
      <c r="F584" s="16" t="n">
        <f aca="false" t="array" ref="F584:F584">IF(D584="","",IFERROR(INDEX(Dados_Evap!$C$2:$N$15,MATCH($B$9,Dados_Evap!$A$2:$A$15,0),C584),0))</f>
        <v>245.9</v>
      </c>
      <c r="G584" s="16" t="n">
        <f aca="false">IF(F584="","",F584/1000)</f>
        <v>0.2459</v>
      </c>
      <c r="H584" s="16" t="n">
        <f aca="false">IF(D584="","",MAX(0,MIN($B$8,IFERROR(LOOKUP(2,1/($U$24:U583&lt;&gt;""),$U$24:U583),$B$11))))</f>
        <v>133.557233729568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13.7121741873738</v>
      </c>
      <c r="J584" s="16" t="n">
        <f aca="false">IF(D584="","",$B$12)</f>
        <v>0.432</v>
      </c>
      <c r="K584" s="16" t="n">
        <f aca="false">IF(J584="","",J584*$B$15)</f>
        <v>1.119744</v>
      </c>
      <c r="L584" s="16" t="n">
        <f aca="false">IF(D584="","",H584+E584-K584-G584*I584)</f>
        <v>130.21852418868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13.4690935449216</v>
      </c>
      <c r="N584" s="16" t="n">
        <f aca="false">IF(D584="","",(I584+M584)/2)</f>
        <v>13.5906338661477</v>
      </c>
      <c r="O584" s="16" t="n">
        <f aca="false">IF(D584="","",G584*N584)</f>
        <v>3.34193686768572</v>
      </c>
      <c r="P584" s="16" t="n">
        <f aca="false">IF(D584="","",H584+E584-K584-O584)</f>
        <v>130.248410953669</v>
      </c>
      <c r="Q584" s="16" t="n">
        <f aca="false">IF(D584="","",IF(P584&gt;=0,K584,MAX(0,K584+P584)))</f>
        <v>1.119744</v>
      </c>
      <c r="R584" s="16" t="n">
        <f aca="false">IF(D584="","",Q584/$B$15)</f>
        <v>0.432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130.248410953669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80.4002536751044</v>
      </c>
      <c r="Z584" s="18" t="n">
        <f aca="false">IF(D584="","",MAX(0,IF(P584&gt;=0,P584,IF(K584+P584&gt;=0,0,P584+K584))))</f>
        <v>130.248410953669</v>
      </c>
      <c r="AA584" s="18" t="n">
        <f aca="false">IF(D584="","",IF(H584&lt;=$B$16,1,IF(H584&gt;=$B$17,$B$21,MATCH(H584,Aux_CAV!$A$2:$A$121,1))))</f>
        <v>22</v>
      </c>
      <c r="AB584" s="18" t="n">
        <f aca="false">IF(D584="","",IF(L584&lt;=$B$16,1,IF(L584&gt;=$B$17,$B$21,MATCH(L584,Aux_CAV!$A$2:$A$121,1))))</f>
        <v>22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0.352400450993626</v>
      </c>
      <c r="E585" s="16" t="n">
        <f aca="false">IF(D585="","",D585*$B$15)</f>
        <v>0.913421968975479</v>
      </c>
      <c r="F585" s="16" t="n">
        <f aca="false" t="array" ref="F585:F585">IF(D585="","",IFERROR(INDEX(Dados_Evap!$C$2:$N$15,MATCH($B$9,Dados_Evap!$A$2:$A$15,0),C585),0))</f>
        <v>282.3</v>
      </c>
      <c r="G585" s="16" t="n">
        <f aca="false">IF(F585="","",F585/1000)</f>
        <v>0.2823</v>
      </c>
      <c r="H585" s="16" t="n">
        <f aca="false">IF(D585="","",MAX(0,MIN($B$8,IFERROR(LOOKUP(2,1/($U$24:U584&lt;&gt;""),$U$24:U584),$B$11))))</f>
        <v>130.248410953669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13.4712695036103</v>
      </c>
      <c r="J585" s="16" t="n">
        <f aca="false">IF(D585="","",$B$12)</f>
        <v>0.432</v>
      </c>
      <c r="K585" s="16" t="n">
        <f aca="false">IF(J585="","",J585*$B$15)</f>
        <v>1.119744</v>
      </c>
      <c r="L585" s="16" t="n">
        <f aca="false">IF(D585="","",H585+E585-K585-G585*I585)</f>
        <v>126.239149541775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13.1793681483632</v>
      </c>
      <c r="N585" s="16" t="n">
        <f aca="false">IF(D585="","",(I585+M585)/2)</f>
        <v>13.3253188259867</v>
      </c>
      <c r="O585" s="16" t="n">
        <f aca="false">IF(D585="","",G585*N585)</f>
        <v>3.76173750457606</v>
      </c>
      <c r="P585" s="16" t="n">
        <f aca="false">IF(D585="","",H585+E585-K585-O585)</f>
        <v>126.280351418069</v>
      </c>
      <c r="Q585" s="16" t="n">
        <f aca="false">IF(D585="","",IF(P585&gt;=0,K585,MAX(0,K585+P585)))</f>
        <v>1.119744</v>
      </c>
      <c r="R585" s="16" t="n">
        <f aca="false">IF(D585="","",Q585/$B$15)</f>
        <v>0.432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126.280351418069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77.9508342086843</v>
      </c>
      <c r="Z585" s="18" t="n">
        <f aca="false">IF(D585="","",MAX(0,IF(P585&gt;=0,P585,IF(K585+P585&gt;=0,0,P585+K585))))</f>
        <v>126.280351418069</v>
      </c>
      <c r="AA585" s="18" t="n">
        <f aca="false">IF(D585="","",IF(H585&lt;=$B$16,1,IF(H585&gt;=$B$17,$B$21,MATCH(H585,Aux_CAV!$A$2:$A$121,1))))</f>
        <v>22</v>
      </c>
      <c r="AB585" s="18" t="n">
        <f aca="false">IF(D585="","",IF(L585&lt;=$B$16,1,IF(L585&gt;=$B$17,$B$21,MATCH(L585,Aux_CAV!$A$2:$A$121,1))))</f>
        <v>22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0.29807262094353</v>
      </c>
      <c r="E586" s="16" t="n">
        <f aca="false">IF(D586="","",D586*$B$15)</f>
        <v>0.77260423348563</v>
      </c>
      <c r="F586" s="16" t="n">
        <f aca="false" t="array" ref="F586:F586">IF(D586="","",IFERROR(INDEX(Dados_Evap!$C$2:$N$15,MATCH($B$9,Dados_Evap!$A$2:$A$15,0),C586),0))</f>
        <v>241.3</v>
      </c>
      <c r="G586" s="16" t="n">
        <f aca="false">IF(F586="","",F586/1000)</f>
        <v>0.2413</v>
      </c>
      <c r="H586" s="16" t="n">
        <f aca="false">IF(D586="","",MAX(0,MIN($B$8,IFERROR(LOOKUP(2,1/($U$24:U585&lt;&gt;""),$U$24:U585),$B$11))))</f>
        <v>126.280351418069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13.1823679237066</v>
      </c>
      <c r="J586" s="16" t="n">
        <f aca="false">IF(D586="","",$B$12)</f>
        <v>0.432</v>
      </c>
      <c r="K586" s="16" t="n">
        <f aca="false">IF(J586="","",J586*$B$15)</f>
        <v>1.119744</v>
      </c>
      <c r="L586" s="16" t="n">
        <f aca="false">IF(D586="","",H586+E586-K586-G586*I586)</f>
        <v>122.752306271564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12.9255023682248</v>
      </c>
      <c r="N586" s="16" t="n">
        <f aca="false">IF(D586="","",(I586+M586)/2)</f>
        <v>13.0539351459657</v>
      </c>
      <c r="O586" s="16" t="n">
        <f aca="false">IF(D586="","",G586*N586)</f>
        <v>3.14991455072153</v>
      </c>
      <c r="P586" s="16" t="n">
        <f aca="false">IF(D586="","",H586+E586-K586-O586)</f>
        <v>122.783297100833</v>
      </c>
      <c r="Q586" s="16" t="n">
        <f aca="false">IF(D586="","",IF(P586&gt;=0,K586,MAX(0,K586+P586)))</f>
        <v>1.119744</v>
      </c>
      <c r="R586" s="16" t="n">
        <f aca="false">IF(D586="","",Q586/$B$15)</f>
        <v>0.432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122.783297100833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75.7921587042177</v>
      </c>
      <c r="Z586" s="18" t="n">
        <f aca="false">IF(D586="","",MAX(0,IF(P586&gt;=0,P586,IF(K586+P586&gt;=0,0,P586+K586))))</f>
        <v>122.783297100833</v>
      </c>
      <c r="AA586" s="18" t="n">
        <f aca="false">IF(D586="","",IF(H586&lt;=$B$16,1,IF(H586&gt;=$B$17,$B$21,MATCH(H586,Aux_CAV!$A$2:$A$121,1))))</f>
        <v>22</v>
      </c>
      <c r="AB586" s="18" t="n">
        <f aca="false">IF(D586="","",IF(L586&lt;=$B$16,1,IF(L586&gt;=$B$17,$B$21,MATCH(L586,Aux_CAV!$A$2:$A$121,1))))</f>
        <v>22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0.427662291675351</v>
      </c>
      <c r="E587" s="16" t="n">
        <f aca="false">IF(D587="","",D587*$B$15)</f>
        <v>1.10850066002251</v>
      </c>
      <c r="F587" s="16" t="n">
        <f aca="false" t="array" ref="F587:F587">IF(D587="","",IFERROR(INDEX(Dados_Evap!$C$2:$N$15,MATCH($B$9,Dados_Evap!$A$2:$A$15,0),C587),0))</f>
        <v>241.8</v>
      </c>
      <c r="G587" s="16" t="n">
        <f aca="false">IF(F587="","",F587/1000)</f>
        <v>0.2418</v>
      </c>
      <c r="H587" s="16" t="n">
        <f aca="false">IF(D587="","",MAX(0,MIN($B$8,IFERROR(LOOKUP(2,1/($U$24:U586&lt;&gt;""),$U$24:U586),$B$11))))</f>
        <v>122.783297100833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12.9277587102625</v>
      </c>
      <c r="J587" s="16" t="n">
        <f aca="false">IF(D587="","",$B$12)</f>
        <v>0.432</v>
      </c>
      <c r="K587" s="16" t="n">
        <f aca="false">IF(J587="","",J587*$B$15)</f>
        <v>1.119744</v>
      </c>
      <c r="L587" s="16" t="n">
        <f aca="false">IF(D587="","",H587+E587-K587-G587*I587)</f>
        <v>119.646121704714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12.699351117019</v>
      </c>
      <c r="N587" s="16" t="n">
        <f aca="false">IF(D587="","",(I587+M587)/2)</f>
        <v>12.8135549136408</v>
      </c>
      <c r="O587" s="16" t="n">
        <f aca="false">IF(D587="","",G587*N587)</f>
        <v>3.09831757811833</v>
      </c>
      <c r="P587" s="16" t="n">
        <f aca="false">IF(D587="","",H587+E587-K587-O587)</f>
        <v>119.673736182737</v>
      </c>
      <c r="Q587" s="16" t="n">
        <f aca="false">IF(D587="","",IF(P587&gt;=0,K587,MAX(0,K587+P587)))</f>
        <v>1.119744</v>
      </c>
      <c r="R587" s="16" t="n">
        <f aca="false">IF(D587="","",Q587/$B$15)</f>
        <v>0.432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119.673736182737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73.8726766560104</v>
      </c>
      <c r="Z587" s="18" t="n">
        <f aca="false">IF(D587="","",MAX(0,IF(P587&gt;=0,P587,IF(K587+P587&gt;=0,0,P587+K587))))</f>
        <v>119.673736182737</v>
      </c>
      <c r="AA587" s="18" t="n">
        <f aca="false">IF(D587="","",IF(H587&lt;=$B$16,1,IF(H587&gt;=$B$17,$B$21,MATCH(H587,Aux_CAV!$A$2:$A$121,1))))</f>
        <v>22</v>
      </c>
      <c r="AB587" s="18" t="n">
        <f aca="false">IF(D587="","",IF(L587&lt;=$B$16,1,IF(L587&gt;=$B$17,$B$21,MATCH(L587,Aux_CAV!$A$2:$A$121,1))))</f>
        <v>22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0.746766741621311</v>
      </c>
      <c r="E588" s="16" t="n">
        <f aca="false">IF(D588="","",D588*$B$15)</f>
        <v>1.93561939428244</v>
      </c>
      <c r="F588" s="16" t="n">
        <f aca="false" t="array" ref="F588:F588">IF(D588="","",IFERROR(INDEX(Dados_Evap!$C$2:$N$15,MATCH($B$9,Dados_Evap!$A$2:$A$15,0),C588),0))</f>
        <v>189</v>
      </c>
      <c r="G588" s="16" t="n">
        <f aca="false">IF(F588="","",F588/1000)</f>
        <v>0.189</v>
      </c>
      <c r="H588" s="16" t="n">
        <f aca="false">IF(D588="","",MAX(0,MIN($B$8,IFERROR(LOOKUP(2,1/($U$24:U587&lt;&gt;""),$U$24:U587),$B$11))))</f>
        <v>119.673736182737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12.7013616378434</v>
      </c>
      <c r="J588" s="16" t="n">
        <f aca="false">IF(D588="","",$B$12)</f>
        <v>0.432</v>
      </c>
      <c r="K588" s="16" t="n">
        <f aca="false">IF(J588="","",J588*$B$15)</f>
        <v>1.119744</v>
      </c>
      <c r="L588" s="16" t="n">
        <f aca="false">IF(D588="","",H588+E588-K588-G588*I588)</f>
        <v>118.089054227467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12.5859860704118</v>
      </c>
      <c r="N588" s="16" t="n">
        <f aca="false">IF(D588="","",(I588+M588)/2)</f>
        <v>12.6436738541276</v>
      </c>
      <c r="O588" s="16" t="n">
        <f aca="false">IF(D588="","",G588*N588)</f>
        <v>2.38965435843012</v>
      </c>
      <c r="P588" s="16" t="n">
        <f aca="false">IF(D588="","",H588+E588-K588-O588)</f>
        <v>118.099957218589</v>
      </c>
      <c r="Q588" s="16" t="n">
        <f aca="false">IF(D588="","",IF(P588&gt;=0,K588,MAX(0,K588+P588)))</f>
        <v>1.119744</v>
      </c>
      <c r="R588" s="16" t="n">
        <f aca="false">IF(D588="","",Q588/$B$15)</f>
        <v>0.432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118.099957218589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72.9012081596229</v>
      </c>
      <c r="Z588" s="18" t="n">
        <f aca="false">IF(D588="","",MAX(0,IF(P588&gt;=0,P588,IF(K588+P588&gt;=0,0,P588+K588))))</f>
        <v>118.099957218589</v>
      </c>
      <c r="AA588" s="18" t="n">
        <f aca="false">IF(D588="","",IF(H588&lt;=$B$16,1,IF(H588&gt;=$B$17,$B$21,MATCH(H588,Aux_CAV!$A$2:$A$121,1))))</f>
        <v>22</v>
      </c>
      <c r="AB588" s="18" t="n">
        <f aca="false">IF(D588="","",IF(L588&lt;=$B$16,1,IF(L588&gt;=$B$17,$B$21,MATCH(L588,Aux_CAV!$A$2:$A$121,1))))</f>
        <v>22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0.313759060575598</v>
      </c>
      <c r="E589" s="16" t="n">
        <f aca="false">IF(D589="","",D589*$B$15)</f>
        <v>0.81326348501195</v>
      </c>
      <c r="F589" s="16" t="n">
        <f aca="false" t="array" ref="F589:F589">IF(D589="","",IFERROR(INDEX(Dados_Evap!$C$2:$N$15,MATCH($B$9,Dados_Evap!$A$2:$A$15,0),C589),0))</f>
        <v>136.9</v>
      </c>
      <c r="G589" s="16" t="n">
        <f aca="false">IF(F589="","",F589/1000)</f>
        <v>0.1369</v>
      </c>
      <c r="H589" s="16" t="n">
        <f aca="false">IF(D589="","",MAX(0,MIN($B$8,IFERROR(LOOKUP(2,1/($U$24:U588&lt;&gt;""),$U$24:U588),$B$11))))</f>
        <v>118.099957218589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12.5867798819292</v>
      </c>
      <c r="J589" s="16" t="n">
        <f aca="false">IF(D589="","",$B$12)</f>
        <v>0.432</v>
      </c>
      <c r="K589" s="16" t="n">
        <f aca="false">IF(J589="","",J589*$B$15)</f>
        <v>1.119744</v>
      </c>
      <c r="L589" s="16" t="n">
        <f aca="false">IF(D589="","",H589+E589-K589-G589*I589)</f>
        <v>116.070346537765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12.4390104931338</v>
      </c>
      <c r="N589" s="16" t="n">
        <f aca="false">IF(D589="","",(I589+M589)/2)</f>
        <v>12.5128951875315</v>
      </c>
      <c r="O589" s="16" t="n">
        <f aca="false">IF(D589="","",G589*N589)</f>
        <v>1.71301535117306</v>
      </c>
      <c r="P589" s="16" t="n">
        <f aca="false">IF(D589="","",H589+E589-K589-O589)</f>
        <v>116.080461352428</v>
      </c>
      <c r="Q589" s="16" t="n">
        <f aca="false">IF(D589="","",IF(P589&gt;=0,K589,MAX(0,K589+P589)))</f>
        <v>1.119744</v>
      </c>
      <c r="R589" s="16" t="n">
        <f aca="false">IF(D589="","",Q589/$B$15)</f>
        <v>0.432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116.080461352428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71.6546057731037</v>
      </c>
      <c r="Z589" s="18" t="n">
        <f aca="false">IF(D589="","",MAX(0,IF(P589&gt;=0,P589,IF(K589+P589&gt;=0,0,P589+K589))))</f>
        <v>116.080461352428</v>
      </c>
      <c r="AA589" s="18" t="n">
        <f aca="false">IF(D589="","",IF(H589&lt;=$B$16,1,IF(H589&gt;=$B$17,$B$21,MATCH(H589,Aux_CAV!$A$2:$A$121,1))))</f>
        <v>22</v>
      </c>
      <c r="AB589" s="18" t="n">
        <f aca="false">IF(D589="","",IF(L589&lt;=$B$16,1,IF(L589&gt;=$B$17,$B$21,MATCH(L589,Aux_CAV!$A$2:$A$121,1))))</f>
        <v>22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3.30269410162426</v>
      </c>
      <c r="E590" s="16" t="n">
        <f aca="false">IF(D590="","",D590*$B$15)</f>
        <v>8.56058311141008</v>
      </c>
      <c r="F590" s="16" t="n">
        <f aca="false" t="array" ref="F590:F590">IF(D590="","",IFERROR(INDEX(Dados_Evap!$C$2:$N$15,MATCH($B$9,Dados_Evap!$A$2:$A$15,0),C590),0))</f>
        <v>102.9</v>
      </c>
      <c r="G590" s="16" t="n">
        <f aca="false">IF(F590="","",F590/1000)</f>
        <v>0.1029</v>
      </c>
      <c r="H590" s="16" t="n">
        <f aca="false">IF(D590="","",MAX(0,MIN($B$8,IFERROR(LOOKUP(2,1/($U$24:U589&lt;&gt;""),$U$24:U589),$B$11))))</f>
        <v>116.080461352428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12.4397469200725</v>
      </c>
      <c r="J590" s="16" t="n">
        <f aca="false">IF(D590="","",$B$12)</f>
        <v>0.432</v>
      </c>
      <c r="K590" s="16" t="n">
        <f aca="false">IF(J590="","",J590*$B$15)</f>
        <v>1.119744</v>
      </c>
      <c r="L590" s="16" t="n">
        <f aca="false">IF(D590="","",H590+E590-K590-G590*I590)</f>
        <v>122.241250505763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12.8882940509518</v>
      </c>
      <c r="N590" s="16" t="n">
        <f aca="false">IF(D590="","",(I590+M590)/2)</f>
        <v>12.6640204855122</v>
      </c>
      <c r="O590" s="16" t="n">
        <f aca="false">IF(D590="","",G590*N590)</f>
        <v>1.3031277079592</v>
      </c>
      <c r="P590" s="16" t="n">
        <f aca="false">IF(D590="","",H590+E590-K590-O590)</f>
        <v>122.218172755879</v>
      </c>
      <c r="Q590" s="16" t="n">
        <f aca="false">IF(D590="","",IF(P590&gt;=0,K590,MAX(0,K590+P590)))</f>
        <v>1.119744</v>
      </c>
      <c r="R590" s="16" t="n">
        <f aca="false">IF(D590="","",Q590/$B$15)</f>
        <v>0.432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122.218172755879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75.4433165159747</v>
      </c>
      <c r="Z590" s="18" t="n">
        <f aca="false">IF(D590="","",MAX(0,IF(P590&gt;=0,P590,IF(K590+P590&gt;=0,0,P590+K590))))</f>
        <v>122.218172755879</v>
      </c>
      <c r="AA590" s="18" t="n">
        <f aca="false">IF(D590="","",IF(H590&lt;=$B$16,1,IF(H590&gt;=$B$17,$B$21,MATCH(H590,Aux_CAV!$A$2:$A$121,1))))</f>
        <v>22</v>
      </c>
      <c r="AB590" s="18" t="n">
        <f aca="false">IF(D590="","",IF(L590&lt;=$B$16,1,IF(L590&gt;=$B$17,$B$21,MATCH(L590,Aux_CAV!$A$2:$A$121,1))))</f>
        <v>22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9.64295224724987</v>
      </c>
      <c r="E591" s="16" t="n">
        <f aca="false">IF(D591="","",D591*$B$15)</f>
        <v>24.9945322248717</v>
      </c>
      <c r="F591" s="16" t="n">
        <f aca="false" t="array" ref="F591:F591">IF(D591="","",IFERROR(INDEX(Dados_Evap!$C$2:$N$15,MATCH($B$9,Dados_Evap!$A$2:$A$15,0),C591),0))</f>
        <v>81.8</v>
      </c>
      <c r="G591" s="16" t="n">
        <f aca="false">IF(F591="","",F591/1000)</f>
        <v>0.0818</v>
      </c>
      <c r="H591" s="16" t="n">
        <f aca="false">IF(D591="","",MAX(0,MIN($B$8,IFERROR(LOOKUP(2,1/($U$24:U590&lt;&gt;""),$U$24:U590),$B$11))))</f>
        <v>122.218172755879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12.8866138346289</v>
      </c>
      <c r="J591" s="16" t="n">
        <f aca="false">IF(D591="","",$B$12)</f>
        <v>0.432</v>
      </c>
      <c r="K591" s="16" t="n">
        <f aca="false">IF(J591="","",J591*$B$15)</f>
        <v>1.119744</v>
      </c>
      <c r="L591" s="16" t="n">
        <f aca="false">IF(D591="","",H591+E591-K591-G591*I591)</f>
        <v>145.038835969078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14.5481125086264</v>
      </c>
      <c r="N591" s="16" t="n">
        <f aca="false">IF(D591="","",(I591+M591)/2)</f>
        <v>13.7173631716276</v>
      </c>
      <c r="O591" s="16" t="n">
        <f aca="false">IF(D591="","",G591*N591)</f>
        <v>1.12208030743914</v>
      </c>
      <c r="P591" s="16" t="n">
        <f aca="false">IF(D591="","",H591+E591-K591-O591)</f>
        <v>144.970880673311</v>
      </c>
      <c r="Q591" s="16" t="n">
        <f aca="false">IF(D591="","",IF(P591&gt;=0,K591,MAX(0,K591+P591)))</f>
        <v>1.119744</v>
      </c>
      <c r="R591" s="16" t="n">
        <f aca="false">IF(D591="","",Q591/$B$15)</f>
        <v>0.432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144.970880673311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89.4881979464886</v>
      </c>
      <c r="Z591" s="18" t="n">
        <f aca="false">IF(D591="","",MAX(0,IF(P591&gt;=0,P591,IF(K591+P591&gt;=0,0,P591+K591))))</f>
        <v>144.970880673311</v>
      </c>
      <c r="AA591" s="18" t="n">
        <f aca="false">IF(D591="","",IF(H591&lt;=$B$16,1,IF(H591&gt;=$B$17,$B$21,MATCH(H591,Aux_CAV!$A$2:$A$121,1))))</f>
        <v>22</v>
      </c>
      <c r="AB591" s="18" t="n">
        <f aca="false">IF(D591="","",IF(L591&lt;=$B$16,1,IF(L591&gt;=$B$17,$B$21,MATCH(L591,Aux_CAV!$A$2:$A$121,1))))</f>
        <v>22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3.1856591707462</v>
      </c>
      <c r="E592" s="16" t="n">
        <f aca="false">IF(D592="","",D592*$B$15)</f>
        <v>8.25722857057415</v>
      </c>
      <c r="F592" s="16" t="n">
        <f aca="false" t="array" ref="F592:F592">IF(D592="","",IFERROR(INDEX(Dados_Evap!$C$2:$N$15,MATCH($B$9,Dados_Evap!$A$2:$A$15,0),C592),0))</f>
        <v>83.6</v>
      </c>
      <c r="G592" s="16" t="n">
        <f aca="false">IF(F592="","",F592/1000)</f>
        <v>0.0836</v>
      </c>
      <c r="H592" s="16" t="n">
        <f aca="false">IF(D592="","",MAX(0,MIN($B$8,IFERROR(LOOKUP(2,1/($U$24:U591&lt;&gt;""),$U$24:U591),$B$11))))</f>
        <v>144.970880673311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14.5431649033463</v>
      </c>
      <c r="J592" s="16" t="n">
        <f aca="false">IF(D592="","",$B$12)</f>
        <v>0.432</v>
      </c>
      <c r="K592" s="16" t="n">
        <f aca="false">IF(J592="","",J592*$B$15)</f>
        <v>1.119744</v>
      </c>
      <c r="L592" s="16" t="n">
        <f aca="false">IF(D592="","",H592+E592-K592-G592*I592)</f>
        <v>150.892556657966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14.9743029778373</v>
      </c>
      <c r="N592" s="16" t="n">
        <f aca="false">IF(D592="","",(I592+M592)/2)</f>
        <v>14.7587339405918</v>
      </c>
      <c r="O592" s="16" t="n">
        <f aca="false">IF(D592="","",G592*N592)</f>
        <v>1.23383015743348</v>
      </c>
      <c r="P592" s="16" t="n">
        <f aca="false">IF(D592="","",H592+E592-K592-O592)</f>
        <v>150.874535086452</v>
      </c>
      <c r="Q592" s="16" t="n">
        <f aca="false">IF(D592="","",IF(P592&gt;=0,K592,MAX(0,K592+P592)))</f>
        <v>1.119744</v>
      </c>
      <c r="R592" s="16" t="n">
        <f aca="false">IF(D592="","",Q592/$B$15)</f>
        <v>0.432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150.874535086452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93.1324290657112</v>
      </c>
      <c r="Z592" s="18" t="n">
        <f aca="false">IF(D592="","",MAX(0,IF(P592&gt;=0,P592,IF(K592+P592&gt;=0,0,P592+K592))))</f>
        <v>150.874535086452</v>
      </c>
      <c r="AA592" s="18" t="n">
        <f aca="false">IF(D592="","",IF(H592&lt;=$B$16,1,IF(H592&gt;=$B$17,$B$21,MATCH(H592,Aux_CAV!$A$2:$A$121,1))))</f>
        <v>22</v>
      </c>
      <c r="AB592" s="18" t="n">
        <f aca="false">IF(D592="","",IF(L592&lt;=$B$16,1,IF(L592&gt;=$B$17,$B$21,MATCH(L592,Aux_CAV!$A$2:$A$121,1))))</f>
        <v>22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1.51997930275499</v>
      </c>
      <c r="E593" s="16" t="n">
        <f aca="false">IF(D593="","",D593*$B$15)</f>
        <v>3.93978635274093</v>
      </c>
      <c r="F593" s="16" t="n">
        <f aca="false" t="array" ref="F593:F593">IF(D593="","",IFERROR(INDEX(Dados_Evap!$C$2:$N$15,MATCH($B$9,Dados_Evap!$A$2:$A$15,0),C593),0))</f>
        <v>108.2</v>
      </c>
      <c r="G593" s="16" t="n">
        <f aca="false">IF(F593="","",F593/1000)</f>
        <v>0.1082</v>
      </c>
      <c r="H593" s="16" t="n">
        <f aca="false">IF(D593="","",MAX(0,MIN($B$8,IFERROR(LOOKUP(2,1/($U$24:U592&lt;&gt;""),$U$24:U592),$B$11))))</f>
        <v>150.874535086452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14.9729908855071</v>
      </c>
      <c r="J593" s="16" t="n">
        <f aca="false">IF(D593="","",$B$12)</f>
        <v>0.432</v>
      </c>
      <c r="K593" s="16" t="n">
        <f aca="false">IF(J593="","",J593*$B$15)</f>
        <v>1.119744</v>
      </c>
      <c r="L593" s="16" t="n">
        <f aca="false">IF(D593="","",H593+E593-K593-G593*I593)</f>
        <v>152.074499825381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15.0603564368036</v>
      </c>
      <c r="N593" s="16" t="n">
        <f aca="false">IF(D593="","",(I593+M593)/2)</f>
        <v>15.0166736611553</v>
      </c>
      <c r="O593" s="16" t="n">
        <f aca="false">IF(D593="","",G593*N593)</f>
        <v>1.62480409013701</v>
      </c>
      <c r="P593" s="16" t="n">
        <f aca="false">IF(D593="","",H593+E593-K593-O593)</f>
        <v>152.069773349056</v>
      </c>
      <c r="Q593" s="16" t="n">
        <f aca="false">IF(D593="","",IF(P593&gt;=0,K593,MAX(0,K593+P593)))</f>
        <v>1.119744</v>
      </c>
      <c r="R593" s="16" t="n">
        <f aca="false">IF(D593="","",Q593/$B$15)</f>
        <v>0.432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152.069773349056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93.8702304623803</v>
      </c>
      <c r="Z593" s="18" t="n">
        <f aca="false">IF(D593="","",MAX(0,IF(P593&gt;=0,P593,IF(K593+P593&gt;=0,0,P593+K593))))</f>
        <v>152.069773349056</v>
      </c>
      <c r="AA593" s="18" t="n">
        <f aca="false">IF(D593="","",IF(H593&lt;=$B$16,1,IF(H593&gt;=$B$17,$B$21,MATCH(H593,Aux_CAV!$A$2:$A$121,1))))</f>
        <v>22</v>
      </c>
      <c r="AB593" s="18" t="n">
        <f aca="false">IF(D593="","",IF(L593&lt;=$B$16,1,IF(L593&gt;=$B$17,$B$21,MATCH(L593,Aux_CAV!$A$2:$A$121,1))))</f>
        <v>22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0.614953229710596</v>
      </c>
      <c r="E594" s="16" t="n">
        <f aca="false">IF(D594="","",D594*$B$15)</f>
        <v>1.59395877140986</v>
      </c>
      <c r="F594" s="16" t="n">
        <f aca="false" t="array" ref="F594:F594">IF(D594="","",IFERROR(INDEX(Dados_Evap!$C$2:$N$15,MATCH($B$9,Dados_Evap!$A$2:$A$15,0),C594),0))</f>
        <v>149</v>
      </c>
      <c r="G594" s="16" t="n">
        <f aca="false">IF(F594="","",F594/1000)</f>
        <v>0.149</v>
      </c>
      <c r="H594" s="16" t="n">
        <f aca="false">IF(D594="","",MAX(0,MIN($B$8,IFERROR(LOOKUP(2,1/($U$24:U593&lt;&gt;""),$U$24:U593),$B$11))))</f>
        <v>152.069773349056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15.0600123173504</v>
      </c>
      <c r="J594" s="16" t="n">
        <f aca="false">IF(D594="","",$B$12)</f>
        <v>0.432</v>
      </c>
      <c r="K594" s="16" t="n">
        <f aca="false">IF(J594="","",J594*$B$15)</f>
        <v>1.119744</v>
      </c>
      <c r="L594" s="16" t="n">
        <f aca="false">IF(D594="","",H594+E594-K594-G594*I594)</f>
        <v>150.300046285181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14.9311642140987</v>
      </c>
      <c r="N594" s="16" t="n">
        <f aca="false">IF(D594="","",(I594+M594)/2)</f>
        <v>14.9955882657246</v>
      </c>
      <c r="O594" s="16" t="n">
        <f aca="false">IF(D594="","",G594*N594)</f>
        <v>2.23434265159296</v>
      </c>
      <c r="P594" s="16" t="n">
        <f aca="false">IF(D594="","",H594+E594-K594-O594)</f>
        <v>150.309645468873</v>
      </c>
      <c r="Q594" s="16" t="n">
        <f aca="false">IF(D594="","",IF(P594&gt;=0,K594,MAX(0,K594+P594)))</f>
        <v>1.119744</v>
      </c>
      <c r="R594" s="16" t="n">
        <f aca="false">IF(D594="","",Q594/$B$15)</f>
        <v>0.432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150.309645468873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92.7837317709092</v>
      </c>
      <c r="Z594" s="18" t="n">
        <f aca="false">IF(D594="","",MAX(0,IF(P594&gt;=0,P594,IF(K594+P594&gt;=0,0,P594+K594))))</f>
        <v>150.309645468873</v>
      </c>
      <c r="AA594" s="18" t="n">
        <f aca="false">IF(D594="","",IF(H594&lt;=$B$16,1,IF(H594&gt;=$B$17,$B$21,MATCH(H594,Aux_CAV!$A$2:$A$121,1))))</f>
        <v>22</v>
      </c>
      <c r="AB594" s="18" t="n">
        <f aca="false">IF(D594="","",IF(L594&lt;=$B$16,1,IF(L594&gt;=$B$17,$B$21,MATCH(L594,Aux_CAV!$A$2:$A$121,1))))</f>
        <v>22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0.343107500135536</v>
      </c>
      <c r="E595" s="16" t="n">
        <f aca="false">IF(D595="","",D595*$B$15)</f>
        <v>0.889334640351309</v>
      </c>
      <c r="F595" s="16" t="n">
        <f aca="false" t="array" ref="F595:F595">IF(D595="","",IFERROR(INDEX(Dados_Evap!$C$2:$N$15,MATCH($B$9,Dados_Evap!$A$2:$A$15,0),C595),0))</f>
        <v>206.8</v>
      </c>
      <c r="G595" s="16" t="n">
        <f aca="false">IF(F595="","",F595/1000)</f>
        <v>0.2068</v>
      </c>
      <c r="H595" s="16" t="n">
        <f aca="false">IF(D595="","",MAX(0,MIN($B$8,IFERROR(LOOKUP(2,1/($U$24:U594&lt;&gt;""),$U$24:U594),$B$11))))</f>
        <v>150.309645468873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14.9318630996143</v>
      </c>
      <c r="J595" s="16" t="n">
        <f aca="false">IF(D595="","",$B$12)</f>
        <v>0.432</v>
      </c>
      <c r="K595" s="16" t="n">
        <f aca="false">IF(J595="","",J595*$B$15)</f>
        <v>1.119744</v>
      </c>
      <c r="L595" s="16" t="n">
        <f aca="false">IF(D595="","",H595+E595-K595-G595*I595)</f>
        <v>146.991326820224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14.6902670520708</v>
      </c>
      <c r="N595" s="16" t="n">
        <f aca="false">IF(D595="","",(I595+M595)/2)</f>
        <v>14.8110650758425</v>
      </c>
      <c r="O595" s="16" t="n">
        <f aca="false">IF(D595="","",G595*N595)</f>
        <v>3.06292825768424</v>
      </c>
      <c r="P595" s="16" t="n">
        <f aca="false">IF(D595="","",H595+E595-K595-O595)</f>
        <v>147.01630785154</v>
      </c>
      <c r="Q595" s="16" t="n">
        <f aca="false">IF(D595="","",IF(P595&gt;=0,K595,MAX(0,K595+P595)))</f>
        <v>1.119744</v>
      </c>
      <c r="R595" s="16" t="n">
        <f aca="false">IF(D595="","",Q595/$B$15)</f>
        <v>0.432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147.01630785154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90.7508073157654</v>
      </c>
      <c r="Z595" s="18" t="n">
        <f aca="false">IF(D595="","",MAX(0,IF(P595&gt;=0,P595,IF(K595+P595&gt;=0,0,P595+K595))))</f>
        <v>147.01630785154</v>
      </c>
      <c r="AA595" s="18" t="n">
        <f aca="false">IF(D595="","",IF(H595&lt;=$B$16,1,IF(H595&gt;=$B$17,$B$21,MATCH(H595,Aux_CAV!$A$2:$A$121,1))))</f>
        <v>22</v>
      </c>
      <c r="AB595" s="18" t="n">
        <f aca="false">IF(D595="","",IF(L595&lt;=$B$16,1,IF(L595&gt;=$B$17,$B$21,MATCH(L595,Aux_CAV!$A$2:$A$121,1))))</f>
        <v>22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0.430811760090691</v>
      </c>
      <c r="E596" s="16" t="n">
        <f aca="false">IF(D596="","",D596*$B$15)</f>
        <v>1.11666408215507</v>
      </c>
      <c r="F596" s="16" t="n">
        <f aca="false" t="array" ref="F596:F596">IF(D596="","",IFERROR(INDEX(Dados_Evap!$C$2:$N$15,MATCH($B$9,Dados_Evap!$A$2:$A$15,0),C596),0))</f>
        <v>245.9</v>
      </c>
      <c r="G596" s="16" t="n">
        <f aca="false">IF(F596="","",F596/1000)</f>
        <v>0.2459</v>
      </c>
      <c r="H596" s="16" t="n">
        <f aca="false">IF(D596="","",MAX(0,MIN($B$8,IFERROR(LOOKUP(2,1/($U$24:U595&lt;&gt;""),$U$24:U595),$B$11))))</f>
        <v>147.01630785154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14.6920858401585</v>
      </c>
      <c r="J596" s="16" t="n">
        <f aca="false">IF(D596="","",$B$12)</f>
        <v>0.432</v>
      </c>
      <c r="K596" s="16" t="n">
        <f aca="false">IF(J596="","",J596*$B$15)</f>
        <v>1.119744</v>
      </c>
      <c r="L596" s="16" t="n">
        <f aca="false">IF(D596="","",H596+E596-K596-G596*I596)</f>
        <v>143.4004440256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14.4288264906809</v>
      </c>
      <c r="N596" s="16" t="n">
        <f aca="false">IF(D596="","",(I596+M596)/2)</f>
        <v>14.5604561654197</v>
      </c>
      <c r="O596" s="16" t="n">
        <f aca="false">IF(D596="","",G596*N596)</f>
        <v>3.58041617107671</v>
      </c>
      <c r="P596" s="16" t="n">
        <f aca="false">IF(D596="","",H596+E596-K596-O596)</f>
        <v>143.432811762618</v>
      </c>
      <c r="Q596" s="16" t="n">
        <f aca="false">IF(D596="","",IF(P596&gt;=0,K596,MAX(0,K596+P596)))</f>
        <v>1.119744</v>
      </c>
      <c r="R596" s="16" t="n">
        <f aca="false">IF(D596="","",Q596/$B$15)</f>
        <v>0.432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143.432811762618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88.5387726929743</v>
      </c>
      <c r="Z596" s="18" t="n">
        <f aca="false">IF(D596="","",MAX(0,IF(P596&gt;=0,P596,IF(K596+P596&gt;=0,0,P596+K596))))</f>
        <v>143.432811762618</v>
      </c>
      <c r="AA596" s="18" t="n">
        <f aca="false">IF(D596="","",IF(H596&lt;=$B$16,1,IF(H596&gt;=$B$17,$B$21,MATCH(H596,Aux_CAV!$A$2:$A$121,1))))</f>
        <v>22</v>
      </c>
      <c r="AB596" s="18" t="n">
        <f aca="false">IF(D596="","",IF(L596&lt;=$B$16,1,IF(L596&gt;=$B$17,$B$21,MATCH(L596,Aux_CAV!$A$2:$A$121,1))))</f>
        <v>22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0.330805921505853</v>
      </c>
      <c r="E597" s="16" t="n">
        <f aca="false">IF(D597="","",D597*$B$15)</f>
        <v>0.857448948543171</v>
      </c>
      <c r="F597" s="16" t="n">
        <f aca="false" t="array" ref="F597:F597">IF(D597="","",IFERROR(INDEX(Dados_Evap!$C$2:$N$15,MATCH($B$9,Dados_Evap!$A$2:$A$15,0),C597),0))</f>
        <v>282.3</v>
      </c>
      <c r="G597" s="16" t="n">
        <f aca="false">IF(F597="","",F597/1000)</f>
        <v>0.2823</v>
      </c>
      <c r="H597" s="16" t="n">
        <f aca="false">IF(D597="","",MAX(0,MIN($B$8,IFERROR(LOOKUP(2,1/($U$24:U596&lt;&gt;""),$U$24:U596),$B$11))))</f>
        <v>143.432811762618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14.4311830809182</v>
      </c>
      <c r="J597" s="16" t="n">
        <f aca="false">IF(D597="","",$B$12)</f>
        <v>0.432</v>
      </c>
      <c r="K597" s="16" t="n">
        <f aca="false">IF(J597="","",J597*$B$15)</f>
        <v>1.119744</v>
      </c>
      <c r="L597" s="16" t="n">
        <f aca="false">IF(D597="","",H597+E597-K597-G597*I597)</f>
        <v>139.096593727418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14.1154770714854</v>
      </c>
      <c r="N597" s="16" t="n">
        <f aca="false">IF(D597="","",(I597+M597)/2)</f>
        <v>14.2733300762018</v>
      </c>
      <c r="O597" s="16" t="n">
        <f aca="false">IF(D597="","",G597*N597)</f>
        <v>4.02936108051176</v>
      </c>
      <c r="P597" s="16" t="n">
        <f aca="false">IF(D597="","",H597+E597-K597-O597)</f>
        <v>139.14115563065</v>
      </c>
      <c r="Q597" s="16" t="n">
        <f aca="false">IF(D597="","",IF(P597&gt;=0,K597,MAX(0,K597+P597)))</f>
        <v>1.119744</v>
      </c>
      <c r="R597" s="16" t="n">
        <f aca="false">IF(D597="","",Q597/$B$15)</f>
        <v>0.432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139.14115563065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85.8896022411418</v>
      </c>
      <c r="Z597" s="18" t="n">
        <f aca="false">IF(D597="","",MAX(0,IF(P597&gt;=0,P597,IF(K597+P597&gt;=0,0,P597+K597))))</f>
        <v>139.14115563065</v>
      </c>
      <c r="AA597" s="18" t="n">
        <f aca="false">IF(D597="","",IF(H597&lt;=$B$16,1,IF(H597&gt;=$B$17,$B$21,MATCH(H597,Aux_CAV!$A$2:$A$121,1))))</f>
        <v>22</v>
      </c>
      <c r="AB597" s="18" t="n">
        <f aca="false">IF(D597="","",IF(L597&lt;=$B$16,1,IF(L597&gt;=$B$17,$B$21,MATCH(L597,Aux_CAV!$A$2:$A$121,1))))</f>
        <v>22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0.290761916857329</v>
      </c>
      <c r="E598" s="16" t="n">
        <f aca="false">IF(D598="","",D598*$B$15)</f>
        <v>0.753654888494197</v>
      </c>
      <c r="F598" s="16" t="n">
        <f aca="false" t="array" ref="F598:F598">IF(D598="","",IFERROR(INDEX(Dados_Evap!$C$2:$N$15,MATCH($B$9,Dados_Evap!$A$2:$A$15,0),C598),0))</f>
        <v>241.3</v>
      </c>
      <c r="G598" s="16" t="n">
        <f aca="false">IF(F598="","",F598/1000)</f>
        <v>0.2413</v>
      </c>
      <c r="H598" s="16" t="n">
        <f aca="false">IF(D598="","",MAX(0,MIN($B$8,IFERROR(LOOKUP(2,1/($U$24:U597&lt;&gt;""),$U$24:U597),$B$11))))</f>
        <v>139.14115563065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14.118721479522</v>
      </c>
      <c r="J598" s="16" t="n">
        <f aca="false">IF(D598="","",$B$12)</f>
        <v>0.432</v>
      </c>
      <c r="K598" s="16" t="n">
        <f aca="false">IF(J598="","",J598*$B$15)</f>
        <v>1.119744</v>
      </c>
      <c r="L598" s="16" t="n">
        <f aca="false">IF(D598="","",H598+E598-K598-G598*I598)</f>
        <v>135.368219026135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13.844026169096</v>
      </c>
      <c r="N598" s="16" t="n">
        <f aca="false">IF(D598="","",(I598+M598)/2)</f>
        <v>13.981373824309</v>
      </c>
      <c r="O598" s="16" t="n">
        <f aca="false">IF(D598="","",G598*N598)</f>
        <v>3.37370550380576</v>
      </c>
      <c r="P598" s="16" t="n">
        <f aca="false">IF(D598="","",H598+E598-K598-O598)</f>
        <v>135.401361015338</v>
      </c>
      <c r="Q598" s="16" t="n">
        <f aca="false">IF(D598="","",IF(P598&gt;=0,K598,MAX(0,K598+P598)))</f>
        <v>1.119744</v>
      </c>
      <c r="R598" s="16" t="n">
        <f aca="false">IF(D598="","",Q598/$B$15)</f>
        <v>0.432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135.401361015338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83.5810870465051</v>
      </c>
      <c r="Z598" s="18" t="n">
        <f aca="false">IF(D598="","",MAX(0,IF(P598&gt;=0,P598,IF(K598+P598&gt;=0,0,P598+K598))))</f>
        <v>135.401361015338</v>
      </c>
      <c r="AA598" s="18" t="n">
        <f aca="false">IF(D598="","",IF(H598&lt;=$B$16,1,IF(H598&gt;=$B$17,$B$21,MATCH(H598,Aux_CAV!$A$2:$A$121,1))))</f>
        <v>22</v>
      </c>
      <c r="AB598" s="18" t="n">
        <f aca="false">IF(D598="","",IF(L598&lt;=$B$16,1,IF(L598&gt;=$B$17,$B$21,MATCH(L598,Aux_CAV!$A$2:$A$121,1))))</f>
        <v>22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0.331284418892413</v>
      </c>
      <c r="E599" s="16" t="n">
        <f aca="false">IF(D599="","",D599*$B$15)</f>
        <v>0.858689213769135</v>
      </c>
      <c r="F599" s="16" t="n">
        <f aca="false" t="array" ref="F599:F599">IF(D599="","",IFERROR(INDEX(Dados_Evap!$C$2:$N$15,MATCH($B$9,Dados_Evap!$A$2:$A$15,0),C599),0))</f>
        <v>241.8</v>
      </c>
      <c r="G599" s="16" t="n">
        <f aca="false">IF(F599="","",F599/1000)</f>
        <v>0.2418</v>
      </c>
      <c r="H599" s="16" t="n">
        <f aca="false">IF(D599="","",MAX(0,MIN($B$8,IFERROR(LOOKUP(2,1/($U$24:U598&lt;&gt;""),$U$24:U598),$B$11))))</f>
        <v>135.401361015338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13.8464391301305</v>
      </c>
      <c r="J599" s="16" t="n">
        <f aca="false">IF(D599="","",$B$12)</f>
        <v>0.432</v>
      </c>
      <c r="K599" s="16" t="n">
        <f aca="false">IF(J599="","",J599*$B$15)</f>
        <v>1.119744</v>
      </c>
      <c r="L599" s="16" t="n">
        <f aca="false">IF(D599="","",H599+E599-K599-G599*I599)</f>
        <v>131.792237247442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13.5836705024779</v>
      </c>
      <c r="N599" s="16" t="n">
        <f aca="false">IF(D599="","",(I599+M599)/2)</f>
        <v>13.7150548163042</v>
      </c>
      <c r="O599" s="16" t="n">
        <f aca="false">IF(D599="","",G599*N599)</f>
        <v>3.31630025458236</v>
      </c>
      <c r="P599" s="16" t="n">
        <f aca="false">IF(D599="","",H599+E599-K599-O599)</f>
        <v>131.824005974525</v>
      </c>
      <c r="Q599" s="16" t="n">
        <f aca="false">IF(D599="","",IF(P599&gt;=0,K599,MAX(0,K599+P599)))</f>
        <v>1.119744</v>
      </c>
      <c r="R599" s="16" t="n">
        <f aca="false">IF(D599="","",Q599/$B$15)</f>
        <v>0.432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131.824005974525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81.3728431941512</v>
      </c>
      <c r="Z599" s="18" t="n">
        <f aca="false">IF(D599="","",MAX(0,IF(P599&gt;=0,P599,IF(K599+P599&gt;=0,0,P599+K599))))</f>
        <v>131.824005974525</v>
      </c>
      <c r="AA599" s="18" t="n">
        <f aca="false">IF(D599="","",IF(H599&lt;=$B$16,1,IF(H599&gt;=$B$17,$B$21,MATCH(H599,Aux_CAV!$A$2:$A$121,1))))</f>
        <v>22</v>
      </c>
      <c r="AB599" s="18" t="n">
        <f aca="false">IF(D599="","",IF(L599&lt;=$B$16,1,IF(L599&gt;=$B$17,$B$21,MATCH(L599,Aux_CAV!$A$2:$A$121,1))))</f>
        <v>22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0.279968227837049</v>
      </c>
      <c r="E600" s="16" t="n">
        <f aca="false">IF(D600="","",D600*$B$15)</f>
        <v>0.725677646553631</v>
      </c>
      <c r="F600" s="16" t="n">
        <f aca="false" t="array" ref="F600:F600">IF(D600="","",IFERROR(INDEX(Dados_Evap!$C$2:$N$15,MATCH($B$9,Dados_Evap!$A$2:$A$15,0),C600),0))</f>
        <v>189</v>
      </c>
      <c r="G600" s="16" t="n">
        <f aca="false">IF(F600="","",F600/1000)</f>
        <v>0.189</v>
      </c>
      <c r="H600" s="16" t="n">
        <f aca="false">IF(D600="","",MAX(0,MIN($B$8,IFERROR(LOOKUP(2,1/($U$24:U599&lt;&gt;""),$U$24:U599),$B$11))))</f>
        <v>131.824005974525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13.5859834807394</v>
      </c>
      <c r="J600" s="16" t="n">
        <f aca="false">IF(D600="","",$B$12)</f>
        <v>0.432</v>
      </c>
      <c r="K600" s="16" t="n">
        <f aca="false">IF(J600="","",J600*$B$15)</f>
        <v>1.119744</v>
      </c>
      <c r="L600" s="16" t="n">
        <f aca="false">IF(D600="","",H600+E600-K600-G600*I600)</f>
        <v>128.862188743219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13.3703431482712</v>
      </c>
      <c r="N600" s="16" t="n">
        <f aca="false">IF(D600="","",(I600+M600)/2)</f>
        <v>13.4781633145053</v>
      </c>
      <c r="O600" s="16" t="n">
        <f aca="false">IF(D600="","",G600*N600)</f>
        <v>2.5473728664415</v>
      </c>
      <c r="P600" s="16" t="n">
        <f aca="false">IF(D600="","",H600+E600-K600-O600)</f>
        <v>128.882566754637</v>
      </c>
      <c r="Q600" s="16" t="n">
        <f aca="false">IF(D600="","",IF(P600&gt;=0,K600,MAX(0,K600+P600)))</f>
        <v>1.119744</v>
      </c>
      <c r="R600" s="16" t="n">
        <f aca="false">IF(D600="","",Q600/$B$15)</f>
        <v>0.432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128.882566754637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79.5571399719983</v>
      </c>
      <c r="Z600" s="18" t="n">
        <f aca="false">IF(D600="","",MAX(0,IF(P600&gt;=0,P600,IF(K600+P600&gt;=0,0,P600+K600))))</f>
        <v>128.882566754637</v>
      </c>
      <c r="AA600" s="18" t="n">
        <f aca="false">IF(D600="","",IF(H600&lt;=$B$16,1,IF(H600&gt;=$B$17,$B$21,MATCH(H600,Aux_CAV!$A$2:$A$121,1))))</f>
        <v>22</v>
      </c>
      <c r="AB600" s="18" t="n">
        <f aca="false">IF(D600="","",IF(L600&lt;=$B$16,1,IF(L600&gt;=$B$17,$B$21,MATCH(L600,Aux_CAV!$A$2:$A$121,1))))</f>
        <v>22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0.293213946176855</v>
      </c>
      <c r="E601" s="16" t="n">
        <f aca="false">IF(D601="","",D601*$B$15)</f>
        <v>0.760010548490408</v>
      </c>
      <c r="F601" s="16" t="n">
        <f aca="false" t="array" ref="F601:F601">IF(D601="","",IFERROR(INDEX(Dados_Evap!$C$2:$N$15,MATCH($B$9,Dados_Evap!$A$2:$A$15,0),C601),0))</f>
        <v>136.9</v>
      </c>
      <c r="G601" s="16" t="n">
        <f aca="false">IF(F601="","",F601/1000)</f>
        <v>0.1369</v>
      </c>
      <c r="H601" s="16" t="n">
        <f aca="false">IF(D601="","",MAX(0,MIN($B$8,IFERROR(LOOKUP(2,1/($U$24:U600&lt;&gt;""),$U$24:U600),$B$11))))</f>
        <v>128.882566754637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13.3718268053689</v>
      </c>
      <c r="J601" s="16" t="n">
        <f aca="false">IF(D601="","",$B$12)</f>
        <v>0.432</v>
      </c>
      <c r="K601" s="16" t="n">
        <f aca="false">IF(J601="","",J601*$B$15)</f>
        <v>1.119744</v>
      </c>
      <c r="L601" s="16" t="n">
        <f aca="false">IF(D601="","",H601+E601-K601-G601*I601)</f>
        <v>126.692230213473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13.2123554865578</v>
      </c>
      <c r="N601" s="16" t="n">
        <f aca="false">IF(D601="","",(I601+M601)/2)</f>
        <v>13.2920911459633</v>
      </c>
      <c r="O601" s="16" t="n">
        <f aca="false">IF(D601="","",G601*N601)</f>
        <v>1.81968727788238</v>
      </c>
      <c r="P601" s="16" t="n">
        <f aca="false">IF(D601="","",H601+E601-K601-O601)</f>
        <v>126.703146025245</v>
      </c>
      <c r="Q601" s="16" t="n">
        <f aca="false">IF(D601="","",IF(P601&gt;=0,K601,MAX(0,K601+P601)))</f>
        <v>1.119744</v>
      </c>
      <c r="R601" s="16" t="n">
        <f aca="false">IF(D601="","",Q601/$B$15)</f>
        <v>0.432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126.703146025245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78.211818534102</v>
      </c>
      <c r="Z601" s="18" t="n">
        <f aca="false">IF(D601="","",MAX(0,IF(P601&gt;=0,P601,IF(K601+P601&gt;=0,0,P601+K601))))</f>
        <v>126.703146025245</v>
      </c>
      <c r="AA601" s="18" t="n">
        <f aca="false">IF(D601="","",IF(H601&lt;=$B$16,1,IF(H601&gt;=$B$17,$B$21,MATCH(H601,Aux_CAV!$A$2:$A$121,1))))</f>
        <v>22</v>
      </c>
      <c r="AB601" s="18" t="n">
        <f aca="false">IF(D601="","",IF(L601&lt;=$B$16,1,IF(L601&gt;=$B$17,$B$21,MATCH(L601,Aux_CAV!$A$2:$A$121,1))))</f>
        <v>22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0.421896474109707</v>
      </c>
      <c r="E602" s="16" t="n">
        <f aca="false">IF(D602="","",D602*$B$15)</f>
        <v>1.09355566089236</v>
      </c>
      <c r="F602" s="16" t="n">
        <f aca="false" t="array" ref="F602:F602">IF(D602="","",IFERROR(INDEX(Dados_Evap!$C$2:$N$15,MATCH($B$9,Dados_Evap!$A$2:$A$15,0),C602),0))</f>
        <v>102.9</v>
      </c>
      <c r="G602" s="16" t="n">
        <f aca="false">IF(F602="","",F602/1000)</f>
        <v>0.1029</v>
      </c>
      <c r="H602" s="16" t="n">
        <f aca="false">IF(D602="","",MAX(0,MIN($B$8,IFERROR(LOOKUP(2,1/($U$24:U601&lt;&gt;""),$U$24:U601),$B$11))))</f>
        <v>126.703146025245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13.2131502315052</v>
      </c>
      <c r="J602" s="16" t="n">
        <f aca="false">IF(D602="","",$B$12)</f>
        <v>0.432</v>
      </c>
      <c r="K602" s="16" t="n">
        <f aca="false">IF(J602="","",J602*$B$15)</f>
        <v>1.119744</v>
      </c>
      <c r="L602" s="16" t="n">
        <f aca="false">IF(D602="","",H602+E602-K602-G602*I602)</f>
        <v>125.317324527316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13.1122530507486</v>
      </c>
      <c r="N602" s="16" t="n">
        <f aca="false">IF(D602="","",(I602+M602)/2)</f>
        <v>13.1627016411269</v>
      </c>
      <c r="O602" s="16" t="n">
        <f aca="false">IF(D602="","",G602*N602)</f>
        <v>1.35444199887196</v>
      </c>
      <c r="P602" s="16" t="n">
        <f aca="false">IF(D602="","",H602+E602-K602-O602)</f>
        <v>125.322515687266</v>
      </c>
      <c r="Q602" s="16" t="n">
        <f aca="false">IF(D602="","",IF(P602&gt;=0,K602,MAX(0,K602+P602)))</f>
        <v>1.119744</v>
      </c>
      <c r="R602" s="16" t="n">
        <f aca="false">IF(D602="","",Q602/$B$15)</f>
        <v>0.432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125.322515687266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77.3595775847319</v>
      </c>
      <c r="Z602" s="18" t="n">
        <f aca="false">IF(D602="","",MAX(0,IF(P602&gt;=0,P602,IF(K602+P602&gt;=0,0,P602+K602))))</f>
        <v>125.322515687266</v>
      </c>
      <c r="AA602" s="18" t="n">
        <f aca="false">IF(D602="","",IF(H602&lt;=$B$16,1,IF(H602&gt;=$B$17,$B$21,MATCH(H602,Aux_CAV!$A$2:$A$121,1))))</f>
        <v>22</v>
      </c>
      <c r="AB602" s="18" t="n">
        <f aca="false">IF(D602="","",IF(L602&lt;=$B$16,1,IF(L602&gt;=$B$17,$B$21,MATCH(L602,Aux_CAV!$A$2:$A$121,1))))</f>
        <v>22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0.363020595333406</v>
      </c>
      <c r="E603" s="16" t="n">
        <f aca="false">IF(D603="","",D603*$B$15)</f>
        <v>0.940949383104188</v>
      </c>
      <c r="F603" s="16" t="n">
        <f aca="false" t="array" ref="F603:F603">IF(D603="","",IFERROR(INDEX(Dados_Evap!$C$2:$N$15,MATCH($B$9,Dados_Evap!$A$2:$A$15,0),C603),0))</f>
        <v>81.8</v>
      </c>
      <c r="G603" s="16" t="n">
        <f aca="false">IF(F603="","",F603/1000)</f>
        <v>0.0818</v>
      </c>
      <c r="H603" s="16" t="n">
        <f aca="false">IF(D603="","",MAX(0,MIN($B$8,IFERROR(LOOKUP(2,1/($U$24:U602&lt;&gt;""),$U$24:U602),$B$11))))</f>
        <v>125.322515687266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13.1126310023135</v>
      </c>
      <c r="J603" s="16" t="n">
        <f aca="false">IF(D603="","",$B$12)</f>
        <v>0.432</v>
      </c>
      <c r="K603" s="16" t="n">
        <f aca="false">IF(J603="","",J603*$B$15)</f>
        <v>1.119744</v>
      </c>
      <c r="L603" s="16" t="n">
        <f aca="false">IF(D603="","",H603+E603-K603-G603*I603)</f>
        <v>124.071107854381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13.0215200457413</v>
      </c>
      <c r="N603" s="16" t="n">
        <f aca="false">IF(D603="","",(I603+M603)/2)</f>
        <v>13.0670755240274</v>
      </c>
      <c r="O603" s="16" t="n">
        <f aca="false">IF(D603="","",G603*N603)</f>
        <v>1.06888677786544</v>
      </c>
      <c r="P603" s="16" t="n">
        <f aca="false">IF(D603="","",H603+E603-K603-O603)</f>
        <v>124.074834292504</v>
      </c>
      <c r="Q603" s="16" t="n">
        <f aca="false">IF(D603="","",IF(P603&gt;=0,K603,MAX(0,K603+P603)))</f>
        <v>1.119744</v>
      </c>
      <c r="R603" s="16" t="n">
        <f aca="false">IF(D603="","",Q603/$B$15)</f>
        <v>0.432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124.074834292504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76.5894038842619</v>
      </c>
      <c r="Z603" s="18" t="n">
        <f aca="false">IF(D603="","",MAX(0,IF(P603&gt;=0,P603,IF(K603+P603&gt;=0,0,P603+K603))))</f>
        <v>124.074834292504</v>
      </c>
      <c r="AA603" s="18" t="n">
        <f aca="false">IF(D603="","",IF(H603&lt;=$B$16,1,IF(H603&gt;=$B$17,$B$21,MATCH(H603,Aux_CAV!$A$2:$A$121,1))))</f>
        <v>22</v>
      </c>
      <c r="AB603" s="18" t="n">
        <f aca="false">IF(D603="","",IF(L603&lt;=$B$16,1,IF(L603&gt;=$B$17,$B$21,MATCH(L603,Aux_CAV!$A$2:$A$121,1))))</f>
        <v>22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1.41724498380316</v>
      </c>
      <c r="E604" s="16" t="n">
        <f aca="false">IF(D604="","",D604*$B$15)</f>
        <v>3.67349899801779</v>
      </c>
      <c r="F604" s="16" t="n">
        <f aca="false" t="array" ref="F604:F604">IF(D604="","",IFERROR(INDEX(Dados_Evap!$C$2:$N$15,MATCH($B$9,Dados_Evap!$A$2:$A$15,0),C604),0))</f>
        <v>83.6</v>
      </c>
      <c r="G604" s="16" t="n">
        <f aca="false">IF(F604="","",F604/1000)</f>
        <v>0.0836</v>
      </c>
      <c r="H604" s="16" t="n">
        <f aca="false">IF(D604="","",MAX(0,MIN($B$8,IFERROR(LOOKUP(2,1/($U$24:U603&lt;&gt;""),$U$24:U603),$B$11))))</f>
        <v>124.074834292504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13.0217913556477</v>
      </c>
      <c r="J604" s="16" t="n">
        <f aca="false">IF(D604="","",$B$12)</f>
        <v>0.432</v>
      </c>
      <c r="K604" s="16" t="n">
        <f aca="false">IF(J604="","",J604*$B$15)</f>
        <v>1.119744</v>
      </c>
      <c r="L604" s="16" t="n">
        <f aca="false">IF(D604="","",H604+E604-K604-G604*I604)</f>
        <v>125.53996753319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13.1284629678566</v>
      </c>
      <c r="N604" s="16" t="n">
        <f aca="false">IF(D604="","",(I604+M604)/2)</f>
        <v>13.0751271617522</v>
      </c>
      <c r="O604" s="16" t="n">
        <f aca="false">IF(D604="","",G604*N604)</f>
        <v>1.09308063072248</v>
      </c>
      <c r="P604" s="16" t="n">
        <f aca="false">IF(D604="","",H604+E604-K604-O604)</f>
        <v>125.5355086598</v>
      </c>
      <c r="Q604" s="16" t="n">
        <f aca="false">IF(D604="","",IF(P604&gt;=0,K604,MAX(0,K604+P604)))</f>
        <v>1.119744</v>
      </c>
      <c r="R604" s="16" t="n">
        <f aca="false">IF(D604="","",Q604/$B$15)</f>
        <v>0.432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125.5355086598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77.4910547282714</v>
      </c>
      <c r="Z604" s="18" t="n">
        <f aca="false">IF(D604="","",MAX(0,IF(P604&gt;=0,P604,IF(K604+P604&gt;=0,0,P604+K604))))</f>
        <v>125.5355086598</v>
      </c>
      <c r="AA604" s="18" t="n">
        <f aca="false">IF(D604="","",IF(H604&lt;=$B$16,1,IF(H604&gt;=$B$17,$B$21,MATCH(H604,Aux_CAV!$A$2:$A$121,1))))</f>
        <v>22</v>
      </c>
      <c r="AB604" s="18" t="n">
        <f aca="false">IF(D604="","",IF(L604&lt;=$B$16,1,IF(L604&gt;=$B$17,$B$21,MATCH(L604,Aux_CAV!$A$2:$A$121,1))))</f>
        <v>22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0.415888987831535</v>
      </c>
      <c r="E605" s="16" t="n">
        <f aca="false">IF(D605="","",D605*$B$15)</f>
        <v>1.07798425645934</v>
      </c>
      <c r="F605" s="16" t="n">
        <f aca="false" t="array" ref="F605:F605">IF(D605="","",IFERROR(INDEX(Dados_Evap!$C$2:$N$15,MATCH($B$9,Dados_Evap!$A$2:$A$15,0),C605),0))</f>
        <v>108.2</v>
      </c>
      <c r="G605" s="16" t="n">
        <f aca="false">IF(F605="","",F605/1000)</f>
        <v>0.1082</v>
      </c>
      <c r="H605" s="16" t="n">
        <f aca="false">IF(D605="","",MAX(0,MIN($B$8,IFERROR(LOOKUP(2,1/($U$24:U604&lt;&gt;""),$U$24:U604),$B$11))))</f>
        <v>125.5355086598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13.1281383317075</v>
      </c>
      <c r="J605" s="16" t="n">
        <f aca="false">IF(D605="","",$B$12)</f>
        <v>0.432</v>
      </c>
      <c r="K605" s="16" t="n">
        <f aca="false">IF(J605="","",J605*$B$15)</f>
        <v>1.119744</v>
      </c>
      <c r="L605" s="16" t="n">
        <f aca="false">IF(D605="","",H605+E605-K605-G605*I605)</f>
        <v>124.073284348768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13.0216785092576</v>
      </c>
      <c r="N605" s="16" t="n">
        <f aca="false">IF(D605="","",(I605+M605)/2)</f>
        <v>13.0749084204826</v>
      </c>
      <c r="O605" s="16" t="n">
        <f aca="false">IF(D605="","",G605*N605)</f>
        <v>1.41470509109622</v>
      </c>
      <c r="P605" s="16" t="n">
        <f aca="false">IF(D605="","",H605+E605-K605-O605)</f>
        <v>124.079043825163</v>
      </c>
      <c r="Q605" s="16" t="n">
        <f aca="false">IF(D605="","",IF(P605&gt;=0,K605,MAX(0,K605+P605)))</f>
        <v>1.119744</v>
      </c>
      <c r="R605" s="16" t="n">
        <f aca="false">IF(D605="","",Q605/$B$15)</f>
        <v>0.432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124.079043825163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76.5920023612116</v>
      </c>
      <c r="Z605" s="18" t="n">
        <f aca="false">IF(D605="","",MAX(0,IF(P605&gt;=0,P605,IF(K605+P605&gt;=0,0,P605+K605))))</f>
        <v>124.079043825163</v>
      </c>
      <c r="AA605" s="18" t="n">
        <f aca="false">IF(D605="","",IF(H605&lt;=$B$16,1,IF(H605&gt;=$B$17,$B$21,MATCH(H605,Aux_CAV!$A$2:$A$121,1))))</f>
        <v>22</v>
      </c>
      <c r="AB605" s="18" t="n">
        <f aca="false">IF(D605="","",IF(L605&lt;=$B$16,1,IF(L605&gt;=$B$17,$B$21,MATCH(L605,Aux_CAV!$A$2:$A$121,1))))</f>
        <v>22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0.632570385518534</v>
      </c>
      <c r="E606" s="16" t="n">
        <f aca="false">IF(D606="","",D606*$B$15)</f>
        <v>1.63962243926404</v>
      </c>
      <c r="F606" s="16" t="n">
        <f aca="false" t="array" ref="F606:F606">IF(D606="","",IFERROR(INDEX(Dados_Evap!$C$2:$N$15,MATCH($B$9,Dados_Evap!$A$2:$A$15,0),C606),0))</f>
        <v>149</v>
      </c>
      <c r="G606" s="16" t="n">
        <f aca="false">IF(F606="","",F606/1000)</f>
        <v>0.149</v>
      </c>
      <c r="H606" s="16" t="n">
        <f aca="false">IF(D606="","",MAX(0,MIN($B$8,IFERROR(LOOKUP(2,1/($U$24:U605&lt;&gt;""),$U$24:U605),$B$11))))</f>
        <v>124.079043825163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13.0220978381046</v>
      </c>
      <c r="J606" s="16" t="n">
        <f aca="false">IF(D606="","",$B$12)</f>
        <v>0.432</v>
      </c>
      <c r="K606" s="16" t="n">
        <f aca="false">IF(J606="","",J606*$B$15)</f>
        <v>1.119744</v>
      </c>
      <c r="L606" s="16" t="n">
        <f aca="false">IF(D606="","",H606+E606-K606-G606*I606)</f>
        <v>122.658629686549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12.9186820790714</v>
      </c>
      <c r="N606" s="16" t="n">
        <f aca="false">IF(D606="","",(I606+M606)/2)</f>
        <v>12.970389958588</v>
      </c>
      <c r="O606" s="16" t="n">
        <f aca="false">IF(D606="","",G606*N606)</f>
        <v>1.93258810382962</v>
      </c>
      <c r="P606" s="16" t="n">
        <f aca="false">IF(D606="","",H606+E606-K606-O606)</f>
        <v>122.666334160597</v>
      </c>
      <c r="Q606" s="16" t="n">
        <f aca="false">IF(D606="","",IF(P606&gt;=0,K606,MAX(0,K606+P606)))</f>
        <v>1.119744</v>
      </c>
      <c r="R606" s="16" t="n">
        <f aca="false">IF(D606="","",Q606/$B$15)</f>
        <v>0.432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122.666334160597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75.7199593583934</v>
      </c>
      <c r="Z606" s="18" t="n">
        <f aca="false">IF(D606="","",MAX(0,IF(P606&gt;=0,P606,IF(K606+P606&gt;=0,0,P606+K606))))</f>
        <v>122.666334160597</v>
      </c>
      <c r="AA606" s="18" t="n">
        <f aca="false">IF(D606="","",IF(H606&lt;=$B$16,1,IF(H606&gt;=$B$17,$B$21,MATCH(H606,Aux_CAV!$A$2:$A$121,1))))</f>
        <v>22</v>
      </c>
      <c r="AB606" s="18" t="n">
        <f aca="false">IF(D606="","",IF(L606&lt;=$B$16,1,IF(L606&gt;=$B$17,$B$21,MATCH(L606,Aux_CAV!$A$2:$A$121,1))))</f>
        <v>22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0.12235984393475</v>
      </c>
      <c r="E607" s="16" t="n">
        <f aca="false">IF(D607="","",D607*$B$15)</f>
        <v>0.317156715478872</v>
      </c>
      <c r="F607" s="16" t="n">
        <f aca="false" t="array" ref="F607:F607">IF(D607="","",IFERROR(INDEX(Dados_Evap!$C$2:$N$15,MATCH($B$9,Dados_Evap!$A$2:$A$15,0),C607),0))</f>
        <v>206.8</v>
      </c>
      <c r="G607" s="16" t="n">
        <f aca="false">IF(F607="","",F607/1000)</f>
        <v>0.2068</v>
      </c>
      <c r="H607" s="16" t="n">
        <f aca="false">IF(D607="","",MAX(0,MIN($B$8,IFERROR(LOOKUP(2,1/($U$24:U606&lt;&gt;""),$U$24:U606),$B$11))))</f>
        <v>122.666334160597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12.9192430169064</v>
      </c>
      <c r="J607" s="16" t="n">
        <f aca="false">IF(D607="","",$B$12)</f>
        <v>0.432</v>
      </c>
      <c r="K607" s="16" t="n">
        <f aca="false">IF(J607="","",J607*$B$15)</f>
        <v>1.119744</v>
      </c>
      <c r="L607" s="16" t="n">
        <f aca="false">IF(D607="","",H607+E607-K607-G607*I607)</f>
        <v>119.19204742018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12.6662914370876</v>
      </c>
      <c r="N607" s="16" t="n">
        <f aca="false">IF(D607="","",(I607+M607)/2)</f>
        <v>12.792767226997</v>
      </c>
      <c r="O607" s="16" t="n">
        <f aca="false">IF(D607="","",G607*N607)</f>
        <v>2.64554426254298</v>
      </c>
      <c r="P607" s="16" t="n">
        <f aca="false">IF(D607="","",H607+E607-K607-O607)</f>
        <v>119.218202613533</v>
      </c>
      <c r="Q607" s="16" t="n">
        <f aca="false">IF(D607="","",IF(P607&gt;=0,K607,MAX(0,K607+P607)))</f>
        <v>1.119744</v>
      </c>
      <c r="R607" s="16" t="n">
        <f aca="false">IF(D607="","",Q607/$B$15)</f>
        <v>0.432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119.218202613533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73.5914830947735</v>
      </c>
      <c r="Z607" s="18" t="n">
        <f aca="false">IF(D607="","",MAX(0,IF(P607&gt;=0,P607,IF(K607+P607&gt;=0,0,P607+K607))))</f>
        <v>119.218202613533</v>
      </c>
      <c r="AA607" s="18" t="n">
        <f aca="false">IF(D607="","",IF(H607&lt;=$B$16,1,IF(H607&gt;=$B$17,$B$21,MATCH(H607,Aux_CAV!$A$2:$A$121,1))))</f>
        <v>22</v>
      </c>
      <c r="AB607" s="18" t="n">
        <f aca="false">IF(D607="","",IF(L607&lt;=$B$16,1,IF(L607&gt;=$B$17,$B$21,MATCH(L607,Aux_CAV!$A$2:$A$121,1))))</f>
        <v>22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0.111901034149701</v>
      </c>
      <c r="E608" s="16" t="n">
        <f aca="false">IF(D608="","",D608*$B$15)</f>
        <v>0.290047480516025</v>
      </c>
      <c r="F608" s="16" t="n">
        <f aca="false" t="array" ref="F608:F608">IF(D608="","",IFERROR(INDEX(Dados_Evap!$C$2:$N$15,MATCH($B$9,Dados_Evap!$A$2:$A$15,0),C608),0))</f>
        <v>245.9</v>
      </c>
      <c r="G608" s="16" t="n">
        <f aca="false">IF(F608="","",F608/1000)</f>
        <v>0.2459</v>
      </c>
      <c r="H608" s="16" t="n">
        <f aca="false">IF(D608="","",MAX(0,MIN($B$8,IFERROR(LOOKUP(2,1/($U$24:U607&lt;&gt;""),$U$24:U607),$B$11))))</f>
        <v>119.218202613533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12.6681957121154</v>
      </c>
      <c r="J608" s="16" t="n">
        <f aca="false">IF(D608="","",$B$12)</f>
        <v>0.432</v>
      </c>
      <c r="K608" s="16" t="n">
        <f aca="false">IF(J608="","",J608*$B$15)</f>
        <v>1.119744</v>
      </c>
      <c r="L608" s="16" t="n">
        <f aca="false">IF(D608="","",H608+E608-K608-G608*I608)</f>
        <v>115.27339676844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12.3809871582024</v>
      </c>
      <c r="N608" s="16" t="n">
        <f aca="false">IF(D608="","",(I608+M608)/2)</f>
        <v>12.5245914351589</v>
      </c>
      <c r="O608" s="16" t="n">
        <f aca="false">IF(D608="","",G608*N608)</f>
        <v>3.07979703390557</v>
      </c>
      <c r="P608" s="16" t="n">
        <f aca="false">IF(D608="","",H608+E608-K608-O608)</f>
        <v>115.308709060144</v>
      </c>
      <c r="Q608" s="16" t="n">
        <f aca="false">IF(D608="","",IF(P608&gt;=0,K608,MAX(0,K608+P608)))</f>
        <v>1.119744</v>
      </c>
      <c r="R608" s="16" t="n">
        <f aca="false">IF(D608="","",Q608/$B$15)</f>
        <v>0.432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115.308709060144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71.1782154692244</v>
      </c>
      <c r="Z608" s="18" t="n">
        <f aca="false">IF(D608="","",MAX(0,IF(P608&gt;=0,P608,IF(K608+P608&gt;=0,0,P608+K608))))</f>
        <v>115.308709060144</v>
      </c>
      <c r="AA608" s="18" t="n">
        <f aca="false">IF(D608="","",IF(H608&lt;=$B$16,1,IF(H608&gt;=$B$17,$B$21,MATCH(H608,Aux_CAV!$A$2:$A$121,1))))</f>
        <v>22</v>
      </c>
      <c r="AB608" s="18" t="n">
        <f aca="false">IF(D608="","",IF(L608&lt;=$B$16,1,IF(L608&gt;=$B$17,$B$21,MATCH(L608,Aux_CAV!$A$2:$A$121,1))))</f>
        <v>22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0.0994107562450143</v>
      </c>
      <c r="E609" s="16" t="n">
        <f aca="false">IF(D609="","",D609*$B$15)</f>
        <v>0.257672680187077</v>
      </c>
      <c r="F609" s="16" t="n">
        <f aca="false" t="array" ref="F609:F609">IF(D609="","",IFERROR(INDEX(Dados_Evap!$C$2:$N$15,MATCH($B$9,Dados_Evap!$A$2:$A$15,0),C609),0))</f>
        <v>282.3</v>
      </c>
      <c r="G609" s="16" t="n">
        <f aca="false">IF(F609="","",F609/1000)</f>
        <v>0.2823</v>
      </c>
      <c r="H609" s="16" t="n">
        <f aca="false">IF(D609="","",MAX(0,MIN($B$8,IFERROR(LOOKUP(2,1/($U$24:U608&lt;&gt;""),$U$24:U608),$B$11))))</f>
        <v>115.308709060144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12.383558131942</v>
      </c>
      <c r="J609" s="16" t="n">
        <f aca="false">IF(D609="","",$B$12)</f>
        <v>0.432</v>
      </c>
      <c r="K609" s="16" t="n">
        <f aca="false">IF(J609="","",J609*$B$15)</f>
        <v>1.119744</v>
      </c>
      <c r="L609" s="16" t="n">
        <f aca="false">IF(D609="","",H609+E609-K609-G609*I609)</f>
        <v>110.950759279683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12.0662699044292</v>
      </c>
      <c r="N609" s="16" t="n">
        <f aca="false">IF(D609="","",(I609+M609)/2)</f>
        <v>12.2249140181856</v>
      </c>
      <c r="O609" s="16" t="n">
        <f aca="false">IF(D609="","",G609*N609)</f>
        <v>3.45109322733379</v>
      </c>
      <c r="P609" s="16" t="n">
        <f aca="false">IF(D609="","",H609+E609-K609-O609)</f>
        <v>110.995544512997</v>
      </c>
      <c r="Q609" s="16" t="n">
        <f aca="false">IF(D609="","",IF(P609&gt;=0,K609,MAX(0,K609+P609)))</f>
        <v>1.119744</v>
      </c>
      <c r="R609" s="16" t="n">
        <f aca="false">IF(D609="","",Q609/$B$15)</f>
        <v>0.432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110.995544512997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68.5157682178993</v>
      </c>
      <c r="Z609" s="18" t="n">
        <f aca="false">IF(D609="","",MAX(0,IF(P609&gt;=0,P609,IF(K609+P609&gt;=0,0,P609+K609))))</f>
        <v>110.995544512997</v>
      </c>
      <c r="AA609" s="18" t="n">
        <f aca="false">IF(D609="","",IF(H609&lt;=$B$16,1,IF(H609&gt;=$B$17,$B$21,MATCH(H609,Aux_CAV!$A$2:$A$121,1))))</f>
        <v>22</v>
      </c>
      <c r="AB609" s="18" t="n">
        <f aca="false">IF(D609="","",IF(L609&lt;=$B$16,1,IF(L609&gt;=$B$17,$B$21,MATCH(L609,Aux_CAV!$A$2:$A$121,1))))</f>
        <v>22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0.0983318012180607</v>
      </c>
      <c r="E610" s="16" t="n">
        <f aca="false">IF(D610="","",D610*$B$15)</f>
        <v>0.254876028757213</v>
      </c>
      <c r="F610" s="16" t="n">
        <f aca="false" t="array" ref="F610:F610">IF(D610="","",IFERROR(INDEX(Dados_Evap!$C$2:$N$15,MATCH($B$9,Dados_Evap!$A$2:$A$15,0),C610),0))</f>
        <v>241.3</v>
      </c>
      <c r="G610" s="16" t="n">
        <f aca="false">IF(F610="","",F610/1000)</f>
        <v>0.2413</v>
      </c>
      <c r="H610" s="16" t="n">
        <f aca="false">IF(D610="","",MAX(0,MIN($B$8,IFERROR(LOOKUP(2,1/($U$24:U609&lt;&gt;""),$U$24:U609),$B$11))))</f>
        <v>110.995544512997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12.0695305724067</v>
      </c>
      <c r="J610" s="16" t="n">
        <f aca="false">IF(D610="","",$B$12)</f>
        <v>0.432</v>
      </c>
      <c r="K610" s="16" t="n">
        <f aca="false">IF(J610="","",J610*$B$15)</f>
        <v>1.119744</v>
      </c>
      <c r="L610" s="16" t="n">
        <f aca="false">IF(D610="","",H610+E610-K610-G610*I610)</f>
        <v>107.218298814632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11.7945215307954</v>
      </c>
      <c r="N610" s="16" t="n">
        <f aca="false">IF(D610="","",(I610+M610)/2)</f>
        <v>11.9320260516011</v>
      </c>
      <c r="O610" s="16" t="n">
        <f aca="false">IF(D610="","",G610*N610)</f>
        <v>2.87919788625134</v>
      </c>
      <c r="P610" s="16" t="n">
        <f aca="false">IF(D610="","",H610+E610-K610-O610)</f>
        <v>107.251478655503</v>
      </c>
      <c r="Q610" s="16" t="n">
        <f aca="false">IF(D610="","",IF(P610&gt;=0,K610,MAX(0,K610+P610)))</f>
        <v>1.119744</v>
      </c>
      <c r="R610" s="16" t="n">
        <f aca="false">IF(D610="","",Q610/$B$15)</f>
        <v>0.432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107.251478655503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66.204616454014</v>
      </c>
      <c r="Z610" s="18" t="n">
        <f aca="false">IF(D610="","",MAX(0,IF(P610&gt;=0,P610,IF(K610+P610&gt;=0,0,P610+K610))))</f>
        <v>107.251478655503</v>
      </c>
      <c r="AA610" s="18" t="n">
        <f aca="false">IF(D610="","",IF(H610&lt;=$B$16,1,IF(H610&gt;=$B$17,$B$21,MATCH(H610,Aux_CAV!$A$2:$A$121,1))))</f>
        <v>22</v>
      </c>
      <c r="AB610" s="18" t="n">
        <f aca="false">IF(D610="","",IF(L610&lt;=$B$16,1,IF(L610&gt;=$B$17,$B$21,MATCH(L610,Aux_CAV!$A$2:$A$121,1))))</f>
        <v>22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0.117459534051511</v>
      </c>
      <c r="E611" s="16" t="n">
        <f aca="false">IF(D611="","",D611*$B$15)</f>
        <v>0.304455112261517</v>
      </c>
      <c r="F611" s="16" t="n">
        <f aca="false" t="array" ref="F611:F611">IF(D611="","",IFERROR(INDEX(Dados_Evap!$C$2:$N$15,MATCH($B$9,Dados_Evap!$A$2:$A$15,0),C611),0))</f>
        <v>241.8</v>
      </c>
      <c r="G611" s="16" t="n">
        <f aca="false">IF(F611="","",F611/1000)</f>
        <v>0.2418</v>
      </c>
      <c r="H611" s="16" t="n">
        <f aca="false">IF(D611="","",MAX(0,MIN($B$8,IFERROR(LOOKUP(2,1/($U$24:U610&lt;&gt;""),$U$24:U610),$B$11))))</f>
        <v>107.251478655503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11.7969372476874</v>
      </c>
      <c r="J611" s="16" t="n">
        <f aca="false">IF(D611="","",$B$12)</f>
        <v>0.432</v>
      </c>
      <c r="K611" s="16" t="n">
        <f aca="false">IF(J611="","",J611*$B$15)</f>
        <v>1.119744</v>
      </c>
      <c r="L611" s="16" t="n">
        <f aca="false">IF(D611="","",H611+E611-K611-G611*I611)</f>
        <v>103.583690341273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11.5298974441697</v>
      </c>
      <c r="N611" s="16" t="n">
        <f aca="false">IF(D611="","",(I611+M611)/2)</f>
        <v>11.6634173459286</v>
      </c>
      <c r="O611" s="16" t="n">
        <f aca="false">IF(D611="","",G611*N611)</f>
        <v>2.82021431424553</v>
      </c>
      <c r="P611" s="16" t="n">
        <f aca="false">IF(D611="","",H611+E611-K611-O611)</f>
        <v>103.615975453519</v>
      </c>
      <c r="Q611" s="16" t="n">
        <f aca="false">IF(D611="","",IF(P611&gt;=0,K611,MAX(0,K611+P611)))</f>
        <v>1.119744</v>
      </c>
      <c r="R611" s="16" t="n">
        <f aca="false">IF(D611="","",Q611/$B$15)</f>
        <v>0.432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103.615975453519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63.9604786750116</v>
      </c>
      <c r="Z611" s="18" t="n">
        <f aca="false">IF(D611="","",MAX(0,IF(P611&gt;=0,P611,IF(K611+P611&gt;=0,0,P611+K611))))</f>
        <v>103.615975453519</v>
      </c>
      <c r="AA611" s="18" t="n">
        <f aca="false">IF(D611="","",IF(H611&lt;=$B$16,1,IF(H611&gt;=$B$17,$B$21,MATCH(H611,Aux_CAV!$A$2:$A$121,1))))</f>
        <v>22</v>
      </c>
      <c r="AB611" s="18" t="n">
        <f aca="false">IF(D611="","",IF(L611&lt;=$B$16,1,IF(L611&gt;=$B$17,$B$21,MATCH(L611,Aux_CAV!$A$2:$A$121,1))))</f>
        <v>22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0.376876933211846</v>
      </c>
      <c r="E612" s="16" t="n">
        <f aca="false">IF(D612="","",D612*$B$15)</f>
        <v>0.976865010885105</v>
      </c>
      <c r="F612" s="16" t="n">
        <f aca="false" t="array" ref="F612:F612">IF(D612="","",IFERROR(INDEX(Dados_Evap!$C$2:$N$15,MATCH($B$9,Dados_Evap!$A$2:$A$15,0),C612),0))</f>
        <v>189</v>
      </c>
      <c r="G612" s="16" t="n">
        <f aca="false">IF(F612="","",F612/1000)</f>
        <v>0.189</v>
      </c>
      <c r="H612" s="16" t="n">
        <f aca="false">IF(D612="","",MAX(0,MIN($B$8,IFERROR(LOOKUP(2,1/($U$24:U611&lt;&gt;""),$U$24:U611),$B$11))))</f>
        <v>103.615975453519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11.5322480187645</v>
      </c>
      <c r="J612" s="16" t="n">
        <f aca="false">IF(D612="","",$B$12)</f>
        <v>0.432</v>
      </c>
      <c r="K612" s="16" t="n">
        <f aca="false">IF(J612="","",J612*$B$15)</f>
        <v>1.119744</v>
      </c>
      <c r="L612" s="16" t="n">
        <f aca="false">IF(D612="","",H612+E612-K612-G612*I612)</f>
        <v>101.293501588857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11.3631562088343</v>
      </c>
      <c r="N612" s="16" t="n">
        <f aca="false">IF(D612="","",(I612+M612)/2)</f>
        <v>11.4477021137994</v>
      </c>
      <c r="O612" s="16" t="n">
        <f aca="false">IF(D612="","",G612*N612)</f>
        <v>2.16361569950809</v>
      </c>
      <c r="P612" s="16" t="n">
        <f aca="false">IF(D612="","",H612+E612-K612-O612)</f>
        <v>101.309480764896</v>
      </c>
      <c r="Q612" s="16" t="n">
        <f aca="false">IF(D612="","",IF(P612&gt;=0,K612,MAX(0,K612+P612)))</f>
        <v>1.119744</v>
      </c>
      <c r="R612" s="16" t="n">
        <f aca="false">IF(D612="","",Q612/$B$15)</f>
        <v>0.432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101.309480764896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62.5367165215406</v>
      </c>
      <c r="Z612" s="18" t="n">
        <f aca="false">IF(D612="","",MAX(0,IF(P612&gt;=0,P612,IF(K612+P612&gt;=0,0,P612+K612))))</f>
        <v>101.309480764896</v>
      </c>
      <c r="AA612" s="18" t="n">
        <f aca="false">IF(D612="","",IF(H612&lt;=$B$16,1,IF(H612&gt;=$B$17,$B$21,MATCH(H612,Aux_CAV!$A$2:$A$121,1))))</f>
        <v>22</v>
      </c>
      <c r="AB612" s="18" t="n">
        <f aca="false">IF(D612="","",IF(L612&lt;=$B$16,1,IF(L612&gt;=$B$17,$B$21,MATCH(L612,Aux_CAV!$A$2:$A$121,1))))</f>
        <v>22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1.03039985297705</v>
      </c>
      <c r="E613" s="16" t="n">
        <f aca="false">IF(D613="","",D613*$B$15)</f>
        <v>2.67079641891651</v>
      </c>
      <c r="F613" s="16" t="n">
        <f aca="false" t="array" ref="F613:F613">IF(D613="","",IFERROR(INDEX(Dados_Evap!$C$2:$N$15,MATCH($B$9,Dados_Evap!$A$2:$A$15,0),C613),0))</f>
        <v>136.9</v>
      </c>
      <c r="G613" s="16" t="n">
        <f aca="false">IF(F613="","",F613/1000)</f>
        <v>0.1369</v>
      </c>
      <c r="H613" s="16" t="n">
        <f aca="false">IF(D613="","",MAX(0,MIN($B$8,IFERROR(LOOKUP(2,1/($U$24:U612&lt;&gt;""),$U$24:U612),$B$11))))</f>
        <v>101.309480764896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11.3643196009562</v>
      </c>
      <c r="J613" s="16" t="n">
        <f aca="false">IF(D613="","",$B$12)</f>
        <v>0.432</v>
      </c>
      <c r="K613" s="16" t="n">
        <f aca="false">IF(J613="","",J613*$B$15)</f>
        <v>1.119744</v>
      </c>
      <c r="L613" s="16" t="n">
        <f aca="false">IF(D613="","",H613+E613-K613-G613*I613)</f>
        <v>101.304757830441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11.3639757393751</v>
      </c>
      <c r="N613" s="16" t="n">
        <f aca="false">IF(D613="","",(I613+M613)/2)</f>
        <v>11.3641476701657</v>
      </c>
      <c r="O613" s="16" t="n">
        <f aca="false">IF(D613="","",G613*N613)</f>
        <v>1.55575181604568</v>
      </c>
      <c r="P613" s="16" t="n">
        <f aca="false">IF(D613="","",H613+E613-K613-O613)</f>
        <v>101.304781367767</v>
      </c>
      <c r="Q613" s="16" t="n">
        <f aca="false">IF(D613="","",IF(P613&gt;=0,K613,MAX(0,K613+P613)))</f>
        <v>1.119744</v>
      </c>
      <c r="R613" s="16" t="n">
        <f aca="false">IF(D613="","",Q613/$B$15)</f>
        <v>0.432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101.304781367767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62.5338156591152</v>
      </c>
      <c r="Z613" s="18" t="n">
        <f aca="false">IF(D613="","",MAX(0,IF(P613&gt;=0,P613,IF(K613+P613&gt;=0,0,P613+K613))))</f>
        <v>101.304781367767</v>
      </c>
      <c r="AA613" s="18" t="n">
        <f aca="false">IF(D613="","",IF(H613&lt;=$B$16,1,IF(H613&gt;=$B$17,$B$21,MATCH(H613,Aux_CAV!$A$2:$A$121,1))))</f>
        <v>22</v>
      </c>
      <c r="AB613" s="18" t="n">
        <f aca="false">IF(D613="","",IF(L613&lt;=$B$16,1,IF(L613&gt;=$B$17,$B$21,MATCH(L613,Aux_CAV!$A$2:$A$121,1))))</f>
        <v>22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3.44010587942358</v>
      </c>
      <c r="E614" s="16" t="n">
        <f aca="false">IF(D614="","",D614*$B$15)</f>
        <v>8.91675443946592</v>
      </c>
      <c r="F614" s="16" t="n">
        <f aca="false" t="array" ref="F614:F614">IF(D614="","",IFERROR(INDEX(Dados_Evap!$C$2:$N$15,MATCH($B$9,Dados_Evap!$A$2:$A$15,0),C614),0))</f>
        <v>102.9</v>
      </c>
      <c r="G614" s="16" t="n">
        <f aca="false">IF(F614="","",F614/1000)</f>
        <v>0.1029</v>
      </c>
      <c r="H614" s="16" t="n">
        <f aca="false">IF(D614="","",MAX(0,MIN($B$8,IFERROR(LOOKUP(2,1/($U$24:U613&lt;&gt;""),$U$24:U613),$B$11))))</f>
        <v>101.304781367767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11.3639774530517</v>
      </c>
      <c r="J614" s="16" t="n">
        <f aca="false">IF(D614="","",$B$12)</f>
        <v>0.432</v>
      </c>
      <c r="K614" s="16" t="n">
        <f aca="false">IF(J614="","",J614*$B$15)</f>
        <v>1.119744</v>
      </c>
      <c r="L614" s="16" t="n">
        <f aca="false">IF(D614="","",H614+E614-K614-G614*I614)</f>
        <v>107.932438527314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11.8465157333558</v>
      </c>
      <c r="N614" s="16" t="n">
        <f aca="false">IF(D614="","",(I614+M614)/2)</f>
        <v>11.6052465932037</v>
      </c>
      <c r="O614" s="16" t="n">
        <f aca="false">IF(D614="","",G614*N614)</f>
        <v>1.19417987444066</v>
      </c>
      <c r="P614" s="16" t="n">
        <f aca="false">IF(D614="","",H614+E614-K614-O614)</f>
        <v>107.907611932792</v>
      </c>
      <c r="Q614" s="16" t="n">
        <f aca="false">IF(D614="","",IF(P614&gt;=0,K614,MAX(0,K614+P614)))</f>
        <v>1.119744</v>
      </c>
      <c r="R614" s="16" t="n">
        <f aca="false">IF(D614="","",Q614/$B$15)</f>
        <v>0.432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107.907611932792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66.6096369955505</v>
      </c>
      <c r="Z614" s="18" t="n">
        <f aca="false">IF(D614="","",MAX(0,IF(P614&gt;=0,P614,IF(K614+P614&gt;=0,0,P614+K614))))</f>
        <v>107.907611932792</v>
      </c>
      <c r="AA614" s="18" t="n">
        <f aca="false">IF(D614="","",IF(H614&lt;=$B$16,1,IF(H614&gt;=$B$17,$B$21,MATCH(H614,Aux_CAV!$A$2:$A$121,1))))</f>
        <v>22</v>
      </c>
      <c r="AB614" s="18" t="n">
        <f aca="false">IF(D614="","",IF(L614&lt;=$B$16,1,IF(L614&gt;=$B$17,$B$21,MATCH(L614,Aux_CAV!$A$2:$A$121,1))))</f>
        <v>22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3.90158553989812</v>
      </c>
      <c r="E615" s="16" t="n">
        <f aca="false">IF(D615="","",D615*$B$15)</f>
        <v>10.1129097194159</v>
      </c>
      <c r="F615" s="16" t="n">
        <f aca="false" t="array" ref="F615:F615">IF(D615="","",IFERROR(INDEX(Dados_Evap!$C$2:$N$15,MATCH($B$9,Dados_Evap!$A$2:$A$15,0),C615),0))</f>
        <v>81.8</v>
      </c>
      <c r="G615" s="16" t="n">
        <f aca="false">IF(F615="","",F615/1000)</f>
        <v>0.0818</v>
      </c>
      <c r="H615" s="16" t="n">
        <f aca="false">IF(D615="","",MAX(0,MIN($B$8,IFERROR(LOOKUP(2,1/($U$24:U614&lt;&gt;""),$U$24:U614),$B$11))))</f>
        <v>107.907611932792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11.8447081893115</v>
      </c>
      <c r="J615" s="16" t="n">
        <f aca="false">IF(D615="","",$B$12)</f>
        <v>0.432</v>
      </c>
      <c r="K615" s="16" t="n">
        <f aca="false">IF(J615="","",J615*$B$15)</f>
        <v>1.119744</v>
      </c>
      <c r="L615" s="16" t="n">
        <f aca="false">IF(D615="","",H615+E615-K615-G615*I615)</f>
        <v>115.931880522322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12.4289292304245</v>
      </c>
      <c r="N615" s="16" t="n">
        <f aca="false">IF(D615="","",(I615+M615)/2)</f>
        <v>12.136818709868</v>
      </c>
      <c r="O615" s="16" t="n">
        <f aca="false">IF(D615="","",G615*N615)</f>
        <v>0.992791770467202</v>
      </c>
      <c r="P615" s="16" t="n">
        <f aca="false">IF(D615="","",H615+E615-K615-O615)</f>
        <v>115.907985881741</v>
      </c>
      <c r="Q615" s="16" t="n">
        <f aca="false">IF(D615="","",IF(P615&gt;=0,K615,MAX(0,K615+P615)))</f>
        <v>1.119744</v>
      </c>
      <c r="R615" s="16" t="n">
        <f aca="false">IF(D615="","",Q615/$B$15)</f>
        <v>0.432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115.907985881741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71.5481394331732</v>
      </c>
      <c r="Z615" s="18" t="n">
        <f aca="false">IF(D615="","",MAX(0,IF(P615&gt;=0,P615,IF(K615+P615&gt;=0,0,P615+K615))))</f>
        <v>115.907985881741</v>
      </c>
      <c r="AA615" s="18" t="n">
        <f aca="false">IF(D615="","",IF(H615&lt;=$B$16,1,IF(H615&gt;=$B$17,$B$21,MATCH(H615,Aux_CAV!$A$2:$A$121,1))))</f>
        <v>22</v>
      </c>
      <c r="AB615" s="18" t="n">
        <f aca="false">IF(D615="","",IF(L615&lt;=$B$16,1,IF(L615&gt;=$B$17,$B$21,MATCH(L615,Aux_CAV!$A$2:$A$121,1))))</f>
        <v>22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5.17400938930612</v>
      </c>
      <c r="E616" s="16" t="n">
        <f aca="false">IF(D616="","",D616*$B$15)</f>
        <v>13.4110323370815</v>
      </c>
      <c r="F616" s="16" t="n">
        <f aca="false" t="array" ref="F616:F616">IF(D616="","",IFERROR(INDEX(Dados_Evap!$C$2:$N$15,MATCH($B$9,Dados_Evap!$A$2:$A$15,0),C616),0))</f>
        <v>83.6</v>
      </c>
      <c r="G616" s="16" t="n">
        <f aca="false">IF(F616="","",F616/1000)</f>
        <v>0.0836</v>
      </c>
      <c r="H616" s="16" t="n">
        <f aca="false">IF(D616="","",MAX(0,MIN($B$8,IFERROR(LOOKUP(2,1/($U$24:U615&lt;&gt;""),$U$24:U615),$B$11))))</f>
        <v>115.907985881741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12.4271895389321</v>
      </c>
      <c r="J616" s="16" t="n">
        <f aca="false">IF(D616="","",$B$12)</f>
        <v>0.432</v>
      </c>
      <c r="K616" s="16" t="n">
        <f aca="false">IF(J616="","",J616*$B$15)</f>
        <v>1.119744</v>
      </c>
      <c r="L616" s="16" t="n">
        <f aca="false">IF(D616="","",H616+E616-K616-G616*I616)</f>
        <v>127.160361173367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13.2464385875552</v>
      </c>
      <c r="N616" s="16" t="n">
        <f aca="false">IF(D616="","",(I616+M616)/2)</f>
        <v>12.8368140632436</v>
      </c>
      <c r="O616" s="16" t="n">
        <f aca="false">IF(D616="","",G616*N616)</f>
        <v>1.07315765568717</v>
      </c>
      <c r="P616" s="16" t="n">
        <f aca="false">IF(D616="","",H616+E616-K616-O616)</f>
        <v>127.126116563135</v>
      </c>
      <c r="Q616" s="16" t="n">
        <f aca="false">IF(D616="","",IF(P616&gt;=0,K616,MAX(0,K616+P616)))</f>
        <v>1.119744</v>
      </c>
      <c r="R616" s="16" t="n">
        <f aca="false">IF(D616="","",Q616/$B$15)</f>
        <v>0.432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127.126116563135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78.4729114587252</v>
      </c>
      <c r="Z616" s="18" t="n">
        <f aca="false">IF(D616="","",MAX(0,IF(P616&gt;=0,P616,IF(K616+P616&gt;=0,0,P616+K616))))</f>
        <v>127.126116563135</v>
      </c>
      <c r="AA616" s="18" t="n">
        <f aca="false">IF(D616="","",IF(H616&lt;=$B$16,1,IF(H616&gt;=$B$17,$B$21,MATCH(H616,Aux_CAV!$A$2:$A$121,1))))</f>
        <v>22</v>
      </c>
      <c r="AB616" s="18" t="n">
        <f aca="false">IF(D616="","",IF(L616&lt;=$B$16,1,IF(L616&gt;=$B$17,$B$21,MATCH(L616,Aux_CAV!$A$2:$A$121,1))))</f>
        <v>22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3.36507921961508</v>
      </c>
      <c r="E617" s="16" t="n">
        <f aca="false">IF(D617="","",D617*$B$15)</f>
        <v>8.72228533724229</v>
      </c>
      <c r="F617" s="16" t="n">
        <f aca="false" t="array" ref="F617:F617">IF(D617="","",IFERROR(INDEX(Dados_Evap!$C$2:$N$15,MATCH($B$9,Dados_Evap!$A$2:$A$15,0),C617),0))</f>
        <v>108.2</v>
      </c>
      <c r="G617" s="16" t="n">
        <f aca="false">IF(F617="","",F617/1000)</f>
        <v>0.1082</v>
      </c>
      <c r="H617" s="16" t="n">
        <f aca="false">IF(D617="","",MAX(0,MIN($B$8,IFERROR(LOOKUP(2,1/($U$24:U616&lt;&gt;""),$U$24:U616),$B$11))))</f>
        <v>127.126116563135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13.24394534825</v>
      </c>
      <c r="J617" s="16" t="n">
        <f aca="false">IF(D617="","",$B$12)</f>
        <v>0.432</v>
      </c>
      <c r="K617" s="16" t="n">
        <f aca="false">IF(J617="","",J617*$B$15)</f>
        <v>1.119744</v>
      </c>
      <c r="L617" s="16" t="n">
        <f aca="false">IF(D617="","",H617+E617-K617-G617*I617)</f>
        <v>133.295663013697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13.6931300696145</v>
      </c>
      <c r="N617" s="16" t="n">
        <f aca="false">IF(D617="","",(I617+M617)/2)</f>
        <v>13.4685377089322</v>
      </c>
      <c r="O617" s="16" t="n">
        <f aca="false">IF(D617="","",G617*N617)</f>
        <v>1.45729578010647</v>
      </c>
      <c r="P617" s="16" t="n">
        <f aca="false">IF(D617="","",H617+E617-K617-O617)</f>
        <v>133.271362120271</v>
      </c>
      <c r="Q617" s="16" t="n">
        <f aca="false">IF(D617="","",IF(P617&gt;=0,K617,MAX(0,K617+P617)))</f>
        <v>1.119744</v>
      </c>
      <c r="R617" s="16" t="n">
        <f aca="false">IF(D617="","",Q617/$B$15)</f>
        <v>0.432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133.271362120271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82.2662729137473</v>
      </c>
      <c r="Z617" s="18" t="n">
        <f aca="false">IF(D617="","",MAX(0,IF(P617&gt;=0,P617,IF(K617+P617&gt;=0,0,P617+K617))))</f>
        <v>133.271362120271</v>
      </c>
      <c r="AA617" s="18" t="n">
        <f aca="false">IF(D617="","",IF(H617&lt;=$B$16,1,IF(H617&gt;=$B$17,$B$21,MATCH(H617,Aux_CAV!$A$2:$A$121,1))))</f>
        <v>22</v>
      </c>
      <c r="AB617" s="18" t="n">
        <f aca="false">IF(D617="","",IF(L617&lt;=$B$16,1,IF(L617&gt;=$B$17,$B$21,MATCH(L617,Aux_CAV!$A$2:$A$121,1))))</f>
        <v>22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1.20171720447764</v>
      </c>
      <c r="E618" s="16" t="n">
        <f aca="false">IF(D618="","",D618*$B$15)</f>
        <v>3.11485099400604</v>
      </c>
      <c r="F618" s="16" t="n">
        <f aca="false" t="array" ref="F618:F618">IF(D618="","",IFERROR(INDEX(Dados_Evap!$C$2:$N$15,MATCH($B$9,Dados_Evap!$A$2:$A$15,0),C618),0))</f>
        <v>149</v>
      </c>
      <c r="G618" s="16" t="n">
        <f aca="false">IF(F618="","",F618/1000)</f>
        <v>0.149</v>
      </c>
      <c r="H618" s="16" t="n">
        <f aca="false">IF(D618="","",MAX(0,MIN($B$8,IFERROR(LOOKUP(2,1/($U$24:U617&lt;&gt;""),$U$24:U617),$B$11))))</f>
        <v>133.271362120271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13.6913608001666</v>
      </c>
      <c r="J618" s="16" t="n">
        <f aca="false">IF(D618="","",$B$12)</f>
        <v>0.432</v>
      </c>
      <c r="K618" s="16" t="n">
        <f aca="false">IF(J618="","",J618*$B$15)</f>
        <v>1.119744</v>
      </c>
      <c r="L618" s="16" t="n">
        <f aca="false">IF(D618="","",H618+E618-K618-G618*I618)</f>
        <v>133.226456355052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13.6880913566509</v>
      </c>
      <c r="N618" s="16" t="n">
        <f aca="false">IF(D618="","",(I618+M618)/2)</f>
        <v>13.6897260784088</v>
      </c>
      <c r="O618" s="16" t="n">
        <f aca="false">IF(D618="","",G618*N618)</f>
        <v>2.0397691856829</v>
      </c>
      <c r="P618" s="16" t="n">
        <f aca="false">IF(D618="","",H618+E618-K618-O618)</f>
        <v>133.226699928594</v>
      </c>
      <c r="Q618" s="16" t="n">
        <f aca="false">IF(D618="","",IF(P618&gt;=0,K618,MAX(0,K618+P618)))</f>
        <v>1.119744</v>
      </c>
      <c r="R618" s="16" t="n">
        <f aca="false">IF(D618="","",Q618/$B$15)</f>
        <v>0.432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133.226699928594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82.2387036596258</v>
      </c>
      <c r="Z618" s="18" t="n">
        <f aca="false">IF(D618="","",MAX(0,IF(P618&gt;=0,P618,IF(K618+P618&gt;=0,0,P618+K618))))</f>
        <v>133.226699928594</v>
      </c>
      <c r="AA618" s="18" t="n">
        <f aca="false">IF(D618="","",IF(H618&lt;=$B$16,1,IF(H618&gt;=$B$17,$B$21,MATCH(H618,Aux_CAV!$A$2:$A$121,1))))</f>
        <v>22</v>
      </c>
      <c r="AB618" s="18" t="n">
        <f aca="false">IF(D618="","",IF(L618&lt;=$B$16,1,IF(L618&gt;=$B$17,$B$21,MATCH(L618,Aux_CAV!$A$2:$A$121,1))))</f>
        <v>22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0.464445253267509</v>
      </c>
      <c r="E619" s="16" t="n">
        <f aca="false">IF(D619="","",D619*$B$15)</f>
        <v>1.20384209646938</v>
      </c>
      <c r="F619" s="16" t="n">
        <f aca="false" t="array" ref="F619:F619">IF(D619="","",IFERROR(INDEX(Dados_Evap!$C$2:$N$15,MATCH($B$9,Dados_Evap!$A$2:$A$15,0),C619),0))</f>
        <v>206.8</v>
      </c>
      <c r="G619" s="16" t="n">
        <f aca="false">IF(F619="","",F619/1000)</f>
        <v>0.2068</v>
      </c>
      <c r="H619" s="16" t="n">
        <f aca="false">IF(D619="","",MAX(0,MIN($B$8,IFERROR(LOOKUP(2,1/($U$24:U618&lt;&gt;""),$U$24:U618),$B$11))))</f>
        <v>133.226699928594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13.6881090904527</v>
      </c>
      <c r="J619" s="16" t="n">
        <f aca="false">IF(D619="","",$B$12)</f>
        <v>0.432</v>
      </c>
      <c r="K619" s="16" t="n">
        <f aca="false">IF(J619="","",J619*$B$15)</f>
        <v>1.119744</v>
      </c>
      <c r="L619" s="16" t="n">
        <f aca="false">IF(D619="","",H619+E619-K619-G619*I619)</f>
        <v>130.480097065158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13.4881378199877</v>
      </c>
      <c r="N619" s="16" t="n">
        <f aca="false">IF(D619="","",(I619+M619)/2)</f>
        <v>13.5881234552202</v>
      </c>
      <c r="O619" s="16" t="n">
        <f aca="false">IF(D619="","",G619*N619)</f>
        <v>2.81002393053953</v>
      </c>
      <c r="P619" s="16" t="n">
        <f aca="false">IF(D619="","",H619+E619-K619-O619)</f>
        <v>130.500774094524</v>
      </c>
      <c r="Q619" s="16" t="n">
        <f aca="false">IF(D619="","",IF(P619&gt;=0,K619,MAX(0,K619+P619)))</f>
        <v>1.119744</v>
      </c>
      <c r="R619" s="16" t="n">
        <f aca="false">IF(D619="","",Q619/$B$15)</f>
        <v>0.432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130.500774094524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80.5560333916813</v>
      </c>
      <c r="Z619" s="18" t="n">
        <f aca="false">IF(D619="","",MAX(0,IF(P619&gt;=0,P619,IF(K619+P619&gt;=0,0,P619+K619))))</f>
        <v>130.500774094524</v>
      </c>
      <c r="AA619" s="18" t="n">
        <f aca="false">IF(D619="","",IF(H619&lt;=$B$16,1,IF(H619&gt;=$B$17,$B$21,MATCH(H619,Aux_CAV!$A$2:$A$121,1))))</f>
        <v>22</v>
      </c>
      <c r="AB619" s="18" t="n">
        <f aca="false">IF(D619="","",IF(L619&lt;=$B$16,1,IF(L619&gt;=$B$17,$B$21,MATCH(L619,Aux_CAV!$A$2:$A$121,1))))</f>
        <v>22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0.279251427058628</v>
      </c>
      <c r="E620" s="16" t="n">
        <f aca="false">IF(D620="","",D620*$B$15)</f>
        <v>0.723819698935964</v>
      </c>
      <c r="F620" s="16" t="n">
        <f aca="false" t="array" ref="F620:F620">IF(D620="","",IFERROR(INDEX(Dados_Evap!$C$2:$N$15,MATCH($B$9,Dados_Evap!$A$2:$A$15,0),C620),0))</f>
        <v>245.9</v>
      </c>
      <c r="G620" s="16" t="n">
        <f aca="false">IF(F620="","",F620/1000)</f>
        <v>0.2459</v>
      </c>
      <c r="H620" s="16" t="n">
        <f aca="false">IF(D620="","",MAX(0,MIN($B$8,IFERROR(LOOKUP(2,1/($U$24:U619&lt;&gt;""),$U$24:U619),$B$11))))</f>
        <v>130.500774094524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13.489643247615</v>
      </c>
      <c r="J620" s="16" t="n">
        <f aca="false">IF(D620="","",$B$12)</f>
        <v>0.432</v>
      </c>
      <c r="K620" s="16" t="n">
        <f aca="false">IF(J620="","",J620*$B$15)</f>
        <v>1.119744</v>
      </c>
      <c r="L620" s="16" t="n">
        <f aca="false">IF(D620="","",H620+E620-K620-G620*I620)</f>
        <v>126.787746518871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13.2193097198017</v>
      </c>
      <c r="N620" s="16" t="n">
        <f aca="false">IF(D620="","",(I620+M620)/2)</f>
        <v>13.3544764837083</v>
      </c>
      <c r="O620" s="16" t="n">
        <f aca="false">IF(D620="","",G620*N620)</f>
        <v>3.28386576734387</v>
      </c>
      <c r="P620" s="16" t="n">
        <f aca="false">IF(D620="","",H620+E620-K620-O620)</f>
        <v>126.820984026116</v>
      </c>
      <c r="Q620" s="16" t="n">
        <f aca="false">IF(D620="","",IF(P620&gt;=0,K620,MAX(0,K620+P620)))</f>
        <v>1.119744</v>
      </c>
      <c r="R620" s="16" t="n">
        <f aca="false">IF(D620="","",Q620/$B$15)</f>
        <v>0.432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126.820984026116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78.2845580408122</v>
      </c>
      <c r="Z620" s="18" t="n">
        <f aca="false">IF(D620="","",MAX(0,IF(P620&gt;=0,P620,IF(K620+P620&gt;=0,0,P620+K620))))</f>
        <v>126.820984026116</v>
      </c>
      <c r="AA620" s="18" t="n">
        <f aca="false">IF(D620="","",IF(H620&lt;=$B$16,1,IF(H620&gt;=$B$17,$B$21,MATCH(H620,Aux_CAV!$A$2:$A$121,1))))</f>
        <v>22</v>
      </c>
      <c r="AB620" s="18" t="n">
        <f aca="false">IF(D620="","",IF(L620&lt;=$B$16,1,IF(L620&gt;=$B$17,$B$21,MATCH(L620,Aux_CAV!$A$2:$A$121,1))))</f>
        <v>22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0.274317117925247</v>
      </c>
      <c r="E621" s="16" t="n">
        <f aca="false">IF(D621="","",D621*$B$15)</f>
        <v>0.71102996966224</v>
      </c>
      <c r="F621" s="16" t="n">
        <f aca="false" t="array" ref="F621:F621">IF(D621="","",IFERROR(INDEX(Dados_Evap!$C$2:$N$15,MATCH($B$9,Dados_Evap!$A$2:$A$15,0),C621),0))</f>
        <v>282.3</v>
      </c>
      <c r="G621" s="16" t="n">
        <f aca="false">IF(F621="","",F621/1000)</f>
        <v>0.2823</v>
      </c>
      <c r="H621" s="16" t="n">
        <f aca="false">IF(D621="","",MAX(0,MIN($B$8,IFERROR(LOOKUP(2,1/($U$24:U620&lt;&gt;""),$U$24:U620),$B$11))))</f>
        <v>126.820984026116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13.2217296351958</v>
      </c>
      <c r="J621" s="16" t="n">
        <f aca="false">IF(D621="","",$B$12)</f>
        <v>0.432</v>
      </c>
      <c r="K621" s="16" t="n">
        <f aca="false">IF(J621="","",J621*$B$15)</f>
        <v>1.119744</v>
      </c>
      <c r="L621" s="16" t="n">
        <f aca="false">IF(D621="","",H621+E621-K621-G621*I621)</f>
        <v>122.679775719762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12.9202216533518</v>
      </c>
      <c r="N621" s="16" t="n">
        <f aca="false">IF(D621="","",(I621+M621)/2)</f>
        <v>13.0709756442738</v>
      </c>
      <c r="O621" s="16" t="n">
        <f aca="false">IF(D621="","",G621*N621)</f>
        <v>3.68993642437849</v>
      </c>
      <c r="P621" s="16" t="n">
        <f aca="false">IF(D621="","",H621+E621-K621-O621)</f>
        <v>122.7223335714</v>
      </c>
      <c r="Q621" s="16" t="n">
        <f aca="false">IF(D621="","",IF(P621&gt;=0,K621,MAX(0,K621+P621)))</f>
        <v>1.119744</v>
      </c>
      <c r="R621" s="16" t="n">
        <f aca="false">IF(D621="","",Q621/$B$15)</f>
        <v>0.432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122.7223335714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75.7545268959256</v>
      </c>
      <c r="Z621" s="18" t="n">
        <f aca="false">IF(D621="","",MAX(0,IF(P621&gt;=0,P621,IF(K621+P621&gt;=0,0,P621+K621))))</f>
        <v>122.7223335714</v>
      </c>
      <c r="AA621" s="18" t="n">
        <f aca="false">IF(D621="","",IF(H621&lt;=$B$16,1,IF(H621&gt;=$B$17,$B$21,MATCH(H621,Aux_CAV!$A$2:$A$121,1))))</f>
        <v>22</v>
      </c>
      <c r="AB621" s="18" t="n">
        <f aca="false">IF(D621="","",IF(L621&lt;=$B$16,1,IF(L621&gt;=$B$17,$B$21,MATCH(L621,Aux_CAV!$A$2:$A$121,1))))</f>
        <v>22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0.280837079643637</v>
      </c>
      <c r="E622" s="16" t="n">
        <f aca="false">IF(D622="","",D622*$B$15)</f>
        <v>0.727929710436307</v>
      </c>
      <c r="F622" s="16" t="n">
        <f aca="false" t="array" ref="F622:F622">IF(D622="","",IFERROR(INDEX(Dados_Evap!$C$2:$N$15,MATCH($B$9,Dados_Evap!$A$2:$A$15,0),C622),0))</f>
        <v>241.3</v>
      </c>
      <c r="G622" s="16" t="n">
        <f aca="false">IF(F622="","",F622/1000)</f>
        <v>0.2413</v>
      </c>
      <c r="H622" s="16" t="n">
        <f aca="false">IF(D622="","",MAX(0,MIN($B$8,IFERROR(LOOKUP(2,1/($U$24:U621&lt;&gt;""),$U$24:U621),$B$11))))</f>
        <v>122.7223335714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12.923320152874</v>
      </c>
      <c r="J622" s="16" t="n">
        <f aca="false">IF(D622="","",$B$12)</f>
        <v>0.432</v>
      </c>
      <c r="K622" s="16" t="n">
        <f aca="false">IF(J622="","",J622*$B$15)</f>
        <v>1.119744</v>
      </c>
      <c r="L622" s="16" t="n">
        <f aca="false">IF(D622="","",H622+E622-K622-G622*I622)</f>
        <v>119.212122128947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12.6677530117003</v>
      </c>
      <c r="N622" s="16" t="n">
        <f aca="false">IF(D622="","",(I622+M622)/2)</f>
        <v>12.7955365822872</v>
      </c>
      <c r="O622" s="16" t="n">
        <f aca="false">IF(D622="","",G622*N622)</f>
        <v>3.0875629773059</v>
      </c>
      <c r="P622" s="16" t="n">
        <f aca="false">IF(D622="","",H622+E622-K622-O622)</f>
        <v>119.24295630453</v>
      </c>
      <c r="Q622" s="16" t="n">
        <f aca="false">IF(D622="","",IF(P622&gt;=0,K622,MAX(0,K622+P622)))</f>
        <v>1.119744</v>
      </c>
      <c r="R622" s="16" t="n">
        <f aca="false">IF(D622="","",Q622/$B$15)</f>
        <v>0.432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119.24295630453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73.6067631509444</v>
      </c>
      <c r="Z622" s="18" t="n">
        <f aca="false">IF(D622="","",MAX(0,IF(P622&gt;=0,P622,IF(K622+P622&gt;=0,0,P622+K622))))</f>
        <v>119.24295630453</v>
      </c>
      <c r="AA622" s="18" t="n">
        <f aca="false">IF(D622="","",IF(H622&lt;=$B$16,1,IF(H622&gt;=$B$17,$B$21,MATCH(H622,Aux_CAV!$A$2:$A$121,1))))</f>
        <v>22</v>
      </c>
      <c r="AB622" s="18" t="n">
        <f aca="false">IF(D622="","",IF(L622&lt;=$B$16,1,IF(L622&gt;=$B$17,$B$21,MATCH(L622,Aux_CAV!$A$2:$A$121,1))))</f>
        <v>22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0.242425474190242</v>
      </c>
      <c r="E623" s="16" t="n">
        <f aca="false">IF(D623="","",D623*$B$15)</f>
        <v>0.628366829101107</v>
      </c>
      <c r="F623" s="16" t="n">
        <f aca="false" t="array" ref="F623:F623">IF(D623="","",IFERROR(INDEX(Dados_Evap!$C$2:$N$15,MATCH($B$9,Dados_Evap!$A$2:$A$15,0),C623),0))</f>
        <v>241.8</v>
      </c>
      <c r="G623" s="16" t="n">
        <f aca="false">IF(F623="","",F623/1000)</f>
        <v>0.2418</v>
      </c>
      <c r="H623" s="16" t="n">
        <f aca="false">IF(D623="","",MAX(0,MIN($B$8,IFERROR(LOOKUP(2,1/($U$24:U622&lt;&gt;""),$U$24:U622),$B$11))))</f>
        <v>119.24295630453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12.6699979482899</v>
      </c>
      <c r="J623" s="16" t="n">
        <f aca="false">IF(D623="","",$B$12)</f>
        <v>0.432</v>
      </c>
      <c r="K623" s="16" t="n">
        <f aca="false">IF(J623="","",J623*$B$15)</f>
        <v>1.119744</v>
      </c>
      <c r="L623" s="16" t="n">
        <f aca="false">IF(D623="","",H623+E623-K623-G623*I623)</f>
        <v>115.687973629735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12.411171158504</v>
      </c>
      <c r="N623" s="16" t="n">
        <f aca="false">IF(D623="","",(I623+M623)/2)</f>
        <v>12.5405845533969</v>
      </c>
      <c r="O623" s="16" t="n">
        <f aca="false">IF(D623="","",G623*N623)</f>
        <v>3.03231334501138</v>
      </c>
      <c r="P623" s="16" t="n">
        <f aca="false">IF(D623="","",H623+E623-K623-O623)</f>
        <v>115.71926578862</v>
      </c>
      <c r="Q623" s="16" t="n">
        <f aca="false">IF(D623="","",IF(P623&gt;=0,K623,MAX(0,K623+P623)))</f>
        <v>1.119744</v>
      </c>
      <c r="R623" s="16" t="n">
        <f aca="false">IF(D623="","",Q623/$B$15)</f>
        <v>0.432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115.71926578862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71.4316455485307</v>
      </c>
      <c r="Z623" s="18" t="n">
        <f aca="false">IF(D623="","",MAX(0,IF(P623&gt;=0,P623,IF(K623+P623&gt;=0,0,P623+K623))))</f>
        <v>115.71926578862</v>
      </c>
      <c r="AA623" s="18" t="n">
        <f aca="false">IF(D623="","",IF(H623&lt;=$B$16,1,IF(H623&gt;=$B$17,$B$21,MATCH(H623,Aux_CAV!$A$2:$A$121,1))))</f>
        <v>22</v>
      </c>
      <c r="AB623" s="18" t="n">
        <f aca="false">IF(D623="","",IF(L623&lt;=$B$16,1,IF(L623&gt;=$B$17,$B$21,MATCH(L623,Aux_CAV!$A$2:$A$121,1))))</f>
        <v>22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0.268983074499965</v>
      </c>
      <c r="E624" s="16" t="n">
        <f aca="false">IF(D624="","",D624*$B$15)</f>
        <v>0.697204129103909</v>
      </c>
      <c r="F624" s="16" t="n">
        <f aca="false" t="array" ref="F624:F624">IF(D624="","",IFERROR(INDEX(Dados_Evap!$C$2:$N$15,MATCH($B$9,Dados_Evap!$A$2:$A$15,0),C624),0))</f>
        <v>189</v>
      </c>
      <c r="G624" s="16" t="n">
        <f aca="false">IF(F624="","",F624/1000)</f>
        <v>0.189</v>
      </c>
      <c r="H624" s="16" t="n">
        <f aca="false">IF(D624="","",MAX(0,MIN($B$8,IFERROR(LOOKUP(2,1/($U$24:U623&lt;&gt;""),$U$24:U623),$B$11))))</f>
        <v>115.71926578862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12.4134494393764</v>
      </c>
      <c r="J624" s="16" t="n">
        <f aca="false">IF(D624="","",$B$12)</f>
        <v>0.432</v>
      </c>
      <c r="K624" s="16" t="n">
        <f aca="false">IF(J624="","",J624*$B$15)</f>
        <v>1.119744</v>
      </c>
      <c r="L624" s="16" t="n">
        <f aca="false">IF(D624="","",H624+E624-K624-G624*I624)</f>
        <v>112.950583973681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12.211870671868</v>
      </c>
      <c r="N624" s="16" t="n">
        <f aca="false">IF(D624="","",(I624+M624)/2)</f>
        <v>12.3126600556222</v>
      </c>
      <c r="O624" s="16" t="n">
        <f aca="false">IF(D624="","",G624*N624)</f>
        <v>2.3270927505126</v>
      </c>
      <c r="P624" s="16" t="n">
        <f aca="false">IF(D624="","",H624+E624-K624-O624)</f>
        <v>112.969633167211</v>
      </c>
      <c r="Q624" s="16" t="n">
        <f aca="false">IF(D624="","",IF(P624&gt;=0,K624,MAX(0,K624+P624)))</f>
        <v>1.119744</v>
      </c>
      <c r="R624" s="16" t="n">
        <f aca="false">IF(D624="","",Q624/$B$15)</f>
        <v>0.432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112.969633167211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69.7343414612413</v>
      </c>
      <c r="Z624" s="18" t="n">
        <f aca="false">IF(D624="","",MAX(0,IF(P624&gt;=0,P624,IF(K624+P624&gt;=0,0,P624+K624))))</f>
        <v>112.969633167211</v>
      </c>
      <c r="AA624" s="18" t="n">
        <f aca="false">IF(D624="","",IF(H624&lt;=$B$16,1,IF(H624&gt;=$B$17,$B$21,MATCH(H624,Aux_CAV!$A$2:$A$121,1))))</f>
        <v>22</v>
      </c>
      <c r="AB624" s="18" t="n">
        <f aca="false">IF(D624="","",IF(L624&lt;=$B$16,1,IF(L624&gt;=$B$17,$B$21,MATCH(L624,Aux_CAV!$A$2:$A$121,1))))</f>
        <v>22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0.247439219612019</v>
      </c>
      <c r="E625" s="16" t="n">
        <f aca="false">IF(D625="","",D625*$B$15)</f>
        <v>0.641362457234353</v>
      </c>
      <c r="F625" s="16" t="n">
        <f aca="false" t="array" ref="F625:F625">IF(D625="","",IFERROR(INDEX(Dados_Evap!$C$2:$N$15,MATCH($B$9,Dados_Evap!$A$2:$A$15,0),C625),0))</f>
        <v>136.9</v>
      </c>
      <c r="G625" s="16" t="n">
        <f aca="false">IF(F625="","",F625/1000)</f>
        <v>0.1369</v>
      </c>
      <c r="H625" s="16" t="n">
        <f aca="false">IF(D625="","",MAX(0,MIN($B$8,IFERROR(LOOKUP(2,1/($U$24:U624&lt;&gt;""),$U$24:U624),$B$11))))</f>
        <v>112.969633167211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12.2132575820334</v>
      </c>
      <c r="J625" s="16" t="n">
        <f aca="false">IF(D625="","",$B$12)</f>
        <v>0.432</v>
      </c>
      <c r="K625" s="16" t="n">
        <f aca="false">IF(J625="","",J625*$B$15)</f>
        <v>1.119744</v>
      </c>
      <c r="L625" s="16" t="n">
        <f aca="false">IF(D625="","",H625+E625-K625-G625*I625)</f>
        <v>110.819256661465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12.0566956241484</v>
      </c>
      <c r="N625" s="16" t="n">
        <f aca="false">IF(D625="","",(I625+M625)/2)</f>
        <v>12.1349766030909</v>
      </c>
      <c r="O625" s="16" t="n">
        <f aca="false">IF(D625="","",G625*N625)</f>
        <v>1.66127829696314</v>
      </c>
      <c r="P625" s="16" t="n">
        <f aca="false">IF(D625="","",H625+E625-K625-O625)</f>
        <v>110.829973327482</v>
      </c>
      <c r="Q625" s="16" t="n">
        <f aca="false">IF(D625="","",IF(P625&gt;=0,K625,MAX(0,K625+P625)))</f>
        <v>1.119744</v>
      </c>
      <c r="R625" s="16" t="n">
        <f aca="false">IF(D625="","",Q625/$B$15)</f>
        <v>0.432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110.829973327482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68.4135637823964</v>
      </c>
      <c r="Z625" s="18" t="n">
        <f aca="false">IF(D625="","",MAX(0,IF(P625&gt;=0,P625,IF(K625+P625&gt;=0,0,P625+K625))))</f>
        <v>110.829973327482</v>
      </c>
      <c r="AA625" s="18" t="n">
        <f aca="false">IF(D625="","",IF(H625&lt;=$B$16,1,IF(H625&gt;=$B$17,$B$21,MATCH(H625,Aux_CAV!$A$2:$A$121,1))))</f>
        <v>22</v>
      </c>
      <c r="AB625" s="18" t="n">
        <f aca="false">IF(D625="","",IF(L625&lt;=$B$16,1,IF(L625&gt;=$B$17,$B$21,MATCH(L625,Aux_CAV!$A$2:$A$121,1))))</f>
        <v>22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2.30399743402898</v>
      </c>
      <c r="E626" s="16" t="n">
        <f aca="false">IF(D626="","",D626*$B$15)</f>
        <v>5.97196134900312</v>
      </c>
      <c r="F626" s="16" t="n">
        <f aca="false" t="array" ref="F626:F626">IF(D626="","",IFERROR(INDEX(Dados_Evap!$C$2:$N$15,MATCH($B$9,Dados_Evap!$A$2:$A$15,0),C626),0))</f>
        <v>102.9</v>
      </c>
      <c r="G626" s="16" t="n">
        <f aca="false">IF(F626="","",F626/1000)</f>
        <v>0.1029</v>
      </c>
      <c r="H626" s="16" t="n">
        <f aca="false">IF(D626="","",MAX(0,MIN($B$8,IFERROR(LOOKUP(2,1/($U$24:U625&lt;&gt;""),$U$24:U625),$B$11))))</f>
        <v>110.829973327482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12.0574758699375</v>
      </c>
      <c r="J626" s="16" t="n">
        <f aca="false">IF(D626="","",$B$12)</f>
        <v>0.432</v>
      </c>
      <c r="K626" s="16" t="n">
        <f aca="false">IF(J626="","",J626*$B$15)</f>
        <v>1.119744</v>
      </c>
      <c r="L626" s="16" t="n">
        <f aca="false">IF(D626="","",H626+E626-K626-G626*I626)</f>
        <v>114.441476409469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12.3204177277529</v>
      </c>
      <c r="N626" s="16" t="n">
        <f aca="false">IF(D626="","",(I626+M626)/2)</f>
        <v>12.1889467988452</v>
      </c>
      <c r="O626" s="16" t="n">
        <f aca="false">IF(D626="","",G626*N626)</f>
        <v>1.25424262560117</v>
      </c>
      <c r="P626" s="16" t="n">
        <f aca="false">IF(D626="","",H626+E626-K626-O626)</f>
        <v>114.427948050884</v>
      </c>
      <c r="Q626" s="16" t="n">
        <f aca="false">IF(D626="","",IF(P626&gt;=0,K626,MAX(0,K626+P626)))</f>
        <v>1.119744</v>
      </c>
      <c r="R626" s="16" t="n">
        <f aca="false">IF(D626="","",Q626/$B$15)</f>
        <v>0.432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114.427948050884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70.6345358338791</v>
      </c>
      <c r="Z626" s="18" t="n">
        <f aca="false">IF(D626="","",MAX(0,IF(P626&gt;=0,P626,IF(K626+P626&gt;=0,0,P626+K626))))</f>
        <v>114.427948050884</v>
      </c>
      <c r="AA626" s="18" t="n">
        <f aca="false">IF(D626="","",IF(H626&lt;=$B$16,1,IF(H626&gt;=$B$17,$B$21,MATCH(H626,Aux_CAV!$A$2:$A$121,1))))</f>
        <v>22</v>
      </c>
      <c r="AB626" s="18" t="n">
        <f aca="false">IF(D626="","",IF(L626&lt;=$B$16,1,IF(L626&gt;=$B$17,$B$21,MATCH(L626,Aux_CAV!$A$2:$A$121,1))))</f>
        <v>22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5.19237068243154</v>
      </c>
      <c r="E627" s="16" t="n">
        <f aca="false">IF(D627="","",D627*$B$15)</f>
        <v>13.4586248088626</v>
      </c>
      <c r="F627" s="16" t="n">
        <f aca="false" t="array" ref="F627:F627">IF(D627="","",IFERROR(INDEX(Dados_Evap!$C$2:$N$15,MATCH($B$9,Dados_Evap!$A$2:$A$15,0),C627),0))</f>
        <v>81.8</v>
      </c>
      <c r="G627" s="16" t="n">
        <f aca="false">IF(F627="","",F627/1000)</f>
        <v>0.0818</v>
      </c>
      <c r="H627" s="16" t="n">
        <f aca="false">IF(D627="","",MAX(0,MIN($B$8,IFERROR(LOOKUP(2,1/($U$24:U626&lt;&gt;""),$U$24:U626),$B$11))))</f>
        <v>114.427948050884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12.3194327717225</v>
      </c>
      <c r="J627" s="16" t="n">
        <f aca="false">IF(D627="","",$B$12)</f>
        <v>0.432</v>
      </c>
      <c r="K627" s="16" t="n">
        <f aca="false">IF(J627="","",J627*$B$15)</f>
        <v>1.119744</v>
      </c>
      <c r="L627" s="16" t="n">
        <f aca="false">IF(D627="","",H627+E627-K627-G627*I627)</f>
        <v>125.75909925902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13.144417240022</v>
      </c>
      <c r="N627" s="16" t="n">
        <f aca="false">IF(D627="","",(I627+M627)/2)</f>
        <v>12.7319250058722</v>
      </c>
      <c r="O627" s="16" t="n">
        <f aca="false">IF(D627="","",G627*N627)</f>
        <v>1.04147146548035</v>
      </c>
      <c r="P627" s="16" t="n">
        <f aca="false">IF(D627="","",H627+E627-K627-O627)</f>
        <v>125.725357394266</v>
      </c>
      <c r="Q627" s="16" t="n">
        <f aca="false">IF(D627="","",IF(P627&gt;=0,K627,MAX(0,K627+P627)))</f>
        <v>1.119744</v>
      </c>
      <c r="R627" s="16" t="n">
        <f aca="false">IF(D627="","",Q627/$B$15)</f>
        <v>0.432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125.725357394266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77.6082453051027</v>
      </c>
      <c r="Z627" s="18" t="n">
        <f aca="false">IF(D627="","",MAX(0,IF(P627&gt;=0,P627,IF(K627+P627&gt;=0,0,P627+K627))))</f>
        <v>125.725357394266</v>
      </c>
      <c r="AA627" s="18" t="n">
        <f aca="false">IF(D627="","",IF(H627&lt;=$B$16,1,IF(H627&gt;=$B$17,$B$21,MATCH(H627,Aux_CAV!$A$2:$A$121,1))))</f>
        <v>22</v>
      </c>
      <c r="AB627" s="18" t="n">
        <f aca="false">IF(D627="","",IF(L627&lt;=$B$16,1,IF(L627&gt;=$B$17,$B$21,MATCH(L627,Aux_CAV!$A$2:$A$121,1))))</f>
        <v>22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1.76705219425228</v>
      </c>
      <c r="E628" s="16" t="n">
        <f aca="false">IF(D628="","",D628*$B$15)</f>
        <v>4.58019928750191</v>
      </c>
      <c r="F628" s="16" t="n">
        <f aca="false" t="array" ref="F628:F628">IF(D628="","",IFERROR(INDEX(Dados_Evap!$C$2:$N$15,MATCH($B$9,Dados_Evap!$A$2:$A$15,0),C628),0))</f>
        <v>83.6</v>
      </c>
      <c r="G628" s="16" t="n">
        <f aca="false">IF(F628="","",F628/1000)</f>
        <v>0.0836</v>
      </c>
      <c r="H628" s="16" t="n">
        <f aca="false">IF(D628="","",MAX(0,MIN($B$8,IFERROR(LOOKUP(2,1/($U$24:U627&lt;&gt;""),$U$24:U627),$B$11))))</f>
        <v>125.725357394266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13.141960603989</v>
      </c>
      <c r="J628" s="16" t="n">
        <f aca="false">IF(D628="","",$B$12)</f>
        <v>0.432</v>
      </c>
      <c r="K628" s="16" t="n">
        <f aca="false">IF(J628="","",J628*$B$15)</f>
        <v>1.119744</v>
      </c>
      <c r="L628" s="16" t="n">
        <f aca="false">IF(D628="","",H628+E628-K628-G628*I628)</f>
        <v>128.087144775275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13.313914703883</v>
      </c>
      <c r="N628" s="16" t="n">
        <f aca="false">IF(D628="","",(I628+M628)/2)</f>
        <v>13.227937653936</v>
      </c>
      <c r="O628" s="16" t="n">
        <f aca="false">IF(D628="","",G628*N628)</f>
        <v>1.10585558786905</v>
      </c>
      <c r="P628" s="16" t="n">
        <f aca="false">IF(D628="","",H628+E628-K628-O628)</f>
        <v>128.079957093899</v>
      </c>
      <c r="Q628" s="16" t="n">
        <f aca="false">IF(D628="","",IF(P628&gt;=0,K628,MAX(0,K628+P628)))</f>
        <v>1.119744</v>
      </c>
      <c r="R628" s="16" t="n">
        <f aca="false">IF(D628="","",Q628/$B$15)</f>
        <v>0.432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128.079957093899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79.0617019098144</v>
      </c>
      <c r="Z628" s="18" t="n">
        <f aca="false">IF(D628="","",MAX(0,IF(P628&gt;=0,P628,IF(K628+P628&gt;=0,0,P628+K628))))</f>
        <v>128.079957093899</v>
      </c>
      <c r="AA628" s="18" t="n">
        <f aca="false">IF(D628="","",IF(H628&lt;=$B$16,1,IF(H628&gt;=$B$17,$B$21,MATCH(H628,Aux_CAV!$A$2:$A$121,1))))</f>
        <v>22</v>
      </c>
      <c r="AB628" s="18" t="n">
        <f aca="false">IF(D628="","",IF(L628&lt;=$B$16,1,IF(L628&gt;=$B$17,$B$21,MATCH(L628,Aux_CAV!$A$2:$A$121,1))))</f>
        <v>22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1.68419934922053</v>
      </c>
      <c r="E629" s="16" t="n">
        <f aca="false">IF(D629="","",D629*$B$15)</f>
        <v>4.36544471317961</v>
      </c>
      <c r="F629" s="16" t="n">
        <f aca="false" t="array" ref="F629:F629">IF(D629="","",IFERROR(INDEX(Dados_Evap!$C$2:$N$15,MATCH($B$9,Dados_Evap!$A$2:$A$15,0),C629),0))</f>
        <v>108.2</v>
      </c>
      <c r="G629" s="16" t="n">
        <f aca="false">IF(F629="","",F629/1000)</f>
        <v>0.1082</v>
      </c>
      <c r="H629" s="16" t="n">
        <f aca="false">IF(D629="","",MAX(0,MIN($B$8,IFERROR(LOOKUP(2,1/($U$24:U628&lt;&gt;""),$U$24:U628),$B$11))))</f>
        <v>128.079957093899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13.3133913920509</v>
      </c>
      <c r="J629" s="16" t="n">
        <f aca="false">IF(D629="","",$B$12)</f>
        <v>0.432</v>
      </c>
      <c r="K629" s="16" t="n">
        <f aca="false">IF(J629="","",J629*$B$15)</f>
        <v>1.119744</v>
      </c>
      <c r="L629" s="16" t="n">
        <f aca="false">IF(D629="","",H629+E629-K629-G629*I629)</f>
        <v>129.885148858459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13.4448215654471</v>
      </c>
      <c r="N629" s="16" t="n">
        <f aca="false">IF(D629="","",(I629+M629)/2)</f>
        <v>13.379106478749</v>
      </c>
      <c r="O629" s="16" t="n">
        <f aca="false">IF(D629="","",G629*N629)</f>
        <v>1.44761932100064</v>
      </c>
      <c r="P629" s="16" t="n">
        <f aca="false">IF(D629="","",H629+E629-K629-O629)</f>
        <v>129.878038486078</v>
      </c>
      <c r="Q629" s="16" t="n">
        <f aca="false">IF(D629="","",IF(P629&gt;=0,K629,MAX(0,K629+P629)))</f>
        <v>1.119744</v>
      </c>
      <c r="R629" s="16" t="n">
        <f aca="false">IF(D629="","",Q629/$B$15)</f>
        <v>0.432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129.878038486078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80.17162869511</v>
      </c>
      <c r="Z629" s="18" t="n">
        <f aca="false">IF(D629="","",MAX(0,IF(P629&gt;=0,P629,IF(K629+P629&gt;=0,0,P629+K629))))</f>
        <v>129.878038486078</v>
      </c>
      <c r="AA629" s="18" t="n">
        <f aca="false">IF(D629="","",IF(H629&lt;=$B$16,1,IF(H629&gt;=$B$17,$B$21,MATCH(H629,Aux_CAV!$A$2:$A$121,1))))</f>
        <v>22</v>
      </c>
      <c r="AB629" s="18" t="n">
        <f aca="false">IF(D629="","",IF(L629&lt;=$B$16,1,IF(L629&gt;=$B$17,$B$21,MATCH(L629,Aux_CAV!$A$2:$A$121,1))))</f>
        <v>22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1.079678607753</v>
      </c>
      <c r="E630" s="16" t="n">
        <f aca="false">IF(D630="","",D630*$B$15)</f>
        <v>2.79852695129578</v>
      </c>
      <c r="F630" s="16" t="n">
        <f aca="false" t="array" ref="F630:F630">IF(D630="","",IFERROR(INDEX(Dados_Evap!$C$2:$N$15,MATCH($B$9,Dados_Evap!$A$2:$A$15,0),C630),0))</f>
        <v>149</v>
      </c>
      <c r="G630" s="16" t="n">
        <f aca="false">IF(F630="","",F630/1000)</f>
        <v>0.149</v>
      </c>
      <c r="H630" s="16" t="n">
        <f aca="false">IF(D630="","",MAX(0,MIN($B$8,IFERROR(LOOKUP(2,1/($U$24:U629&lt;&gt;""),$U$24:U629),$B$11))))</f>
        <v>129.878038486078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13.4443038822329</v>
      </c>
      <c r="J630" s="16" t="n">
        <f aca="false">IF(D630="","",$B$12)</f>
        <v>0.432</v>
      </c>
      <c r="K630" s="16" t="n">
        <f aca="false">IF(J630="","",J630*$B$15)</f>
        <v>1.119744</v>
      </c>
      <c r="L630" s="16" t="n">
        <f aca="false">IF(D630="","",H630+E630-K630-G630*I630)</f>
        <v>129.553620158921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13.4206840331796</v>
      </c>
      <c r="N630" s="16" t="n">
        <f aca="false">IF(D630="","",(I630+M630)/2)</f>
        <v>13.4324939577063</v>
      </c>
      <c r="O630" s="16" t="n">
        <f aca="false">IF(D630="","",G630*N630)</f>
        <v>2.00144159969824</v>
      </c>
      <c r="P630" s="16" t="n">
        <f aca="false">IF(D630="","",H630+E630-K630-O630)</f>
        <v>129.555379837676</v>
      </c>
      <c r="Q630" s="16" t="n">
        <f aca="false">IF(D630="","",IF(P630&gt;=0,K630,MAX(0,K630+P630)))</f>
        <v>1.119744</v>
      </c>
      <c r="R630" s="16" t="n">
        <f aca="false">IF(D630="","",Q630/$B$15)</f>
        <v>0.432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129.555379837676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79.9724566899233</v>
      </c>
      <c r="Z630" s="18" t="n">
        <f aca="false">IF(D630="","",MAX(0,IF(P630&gt;=0,P630,IF(K630+P630&gt;=0,0,P630+K630))))</f>
        <v>129.555379837676</v>
      </c>
      <c r="AA630" s="18" t="n">
        <f aca="false">IF(D630="","",IF(H630&lt;=$B$16,1,IF(H630&gt;=$B$17,$B$21,MATCH(H630,Aux_CAV!$A$2:$A$121,1))))</f>
        <v>22</v>
      </c>
      <c r="AB630" s="18" t="n">
        <f aca="false">IF(D630="","",IF(L630&lt;=$B$16,1,IF(L630&gt;=$B$17,$B$21,MATCH(L630,Aux_CAV!$A$2:$A$121,1))))</f>
        <v>22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0.398803505373423</v>
      </c>
      <c r="E631" s="16" t="n">
        <f aca="false">IF(D631="","",D631*$B$15)</f>
        <v>1.03369868592791</v>
      </c>
      <c r="F631" s="16" t="n">
        <f aca="false" t="array" ref="F631:F631">IF(D631="","",IFERROR(INDEX(Dados_Evap!$C$2:$N$15,MATCH($B$9,Dados_Evap!$A$2:$A$15,0),C631),0))</f>
        <v>206.8</v>
      </c>
      <c r="G631" s="16" t="n">
        <f aca="false">IF(F631="","",F631/1000)</f>
        <v>0.2068</v>
      </c>
      <c r="H631" s="16" t="n">
        <f aca="false">IF(D631="","",MAX(0,MIN($B$8,IFERROR(LOOKUP(2,1/($U$24:U630&lt;&gt;""),$U$24:U630),$B$11))))</f>
        <v>129.555379837676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13.420812149698</v>
      </c>
      <c r="J631" s="16" t="n">
        <f aca="false">IF(D631="","",$B$12)</f>
        <v>0.432</v>
      </c>
      <c r="K631" s="16" t="n">
        <f aca="false">IF(J631="","",J631*$B$15)</f>
        <v>1.119744</v>
      </c>
      <c r="L631" s="16" t="n">
        <f aca="false">IF(D631="","",H631+E631-K631-G631*I631)</f>
        <v>126.693910571046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13.2124778279575</v>
      </c>
      <c r="N631" s="16" t="n">
        <f aca="false">IF(D631="","",(I631+M631)/2)</f>
        <v>13.3166449888278</v>
      </c>
      <c r="O631" s="16" t="n">
        <f aca="false">IF(D631="","",G631*N631)</f>
        <v>2.75388218368958</v>
      </c>
      <c r="P631" s="16" t="n">
        <f aca="false">IF(D631="","",H631+E631-K631-O631)</f>
        <v>126.715452339914</v>
      </c>
      <c r="Q631" s="16" t="n">
        <f aca="false">IF(D631="","",IF(P631&gt;=0,K631,MAX(0,K631+P631)))</f>
        <v>1.119744</v>
      </c>
      <c r="R631" s="16" t="n">
        <f aca="false">IF(D631="","",Q631/$B$15)</f>
        <v>0.432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126.715452339914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78.2194150246383</v>
      </c>
      <c r="Z631" s="18" t="n">
        <f aca="false">IF(D631="","",MAX(0,IF(P631&gt;=0,P631,IF(K631+P631&gt;=0,0,P631+K631))))</f>
        <v>126.715452339914</v>
      </c>
      <c r="AA631" s="18" t="n">
        <f aca="false">IF(D631="","",IF(H631&lt;=$B$16,1,IF(H631&gt;=$B$17,$B$21,MATCH(H631,Aux_CAV!$A$2:$A$121,1))))</f>
        <v>22</v>
      </c>
      <c r="AB631" s="18" t="n">
        <f aca="false">IF(D631="","",IF(L631&lt;=$B$16,1,IF(L631&gt;=$B$17,$B$21,MATCH(L631,Aux_CAV!$A$2:$A$121,1))))</f>
        <v>22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0.237485115605637</v>
      </c>
      <c r="E632" s="16" t="n">
        <f aca="false">IF(D632="","",D632*$B$15)</f>
        <v>0.615561419649811</v>
      </c>
      <c r="F632" s="16" t="n">
        <f aca="false" t="array" ref="F632:F632">IF(D632="","",IFERROR(INDEX(Dados_Evap!$C$2:$N$15,MATCH($B$9,Dados_Evap!$A$2:$A$15,0),C632),0))</f>
        <v>245.9</v>
      </c>
      <c r="G632" s="16" t="n">
        <f aca="false">IF(F632="","",F632/1000)</f>
        <v>0.2459</v>
      </c>
      <c r="H632" s="16" t="n">
        <f aca="false">IF(D632="","",MAX(0,MIN($B$8,IFERROR(LOOKUP(2,1/($U$24:U631&lt;&gt;""),$U$24:U631),$B$11))))</f>
        <v>126.715452339914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13.2140462144709</v>
      </c>
      <c r="J632" s="16" t="n">
        <f aca="false">IF(D632="","",$B$12)</f>
        <v>0.432</v>
      </c>
      <c r="K632" s="16" t="n">
        <f aca="false">IF(J632="","",J632*$B$15)</f>
        <v>1.119744</v>
      </c>
      <c r="L632" s="16" t="n">
        <f aca="false">IF(D632="","",H632+E632-K632-G632*I632)</f>
        <v>122.961935795425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12.9407648158002</v>
      </c>
      <c r="N632" s="16" t="n">
        <f aca="false">IF(D632="","",(I632+M632)/2)</f>
        <v>13.0774055151355</v>
      </c>
      <c r="O632" s="16" t="n">
        <f aca="false">IF(D632="","",G632*N632)</f>
        <v>3.21573401617183</v>
      </c>
      <c r="P632" s="16" t="n">
        <f aca="false">IF(D632="","",H632+E632-K632-O632)</f>
        <v>122.995535743392</v>
      </c>
      <c r="Q632" s="16" t="n">
        <f aca="false">IF(D632="","",IF(P632&gt;=0,K632,MAX(0,K632+P632)))</f>
        <v>1.119744</v>
      </c>
      <c r="R632" s="16" t="n">
        <f aca="false">IF(D632="","",Q632/$B$15)</f>
        <v>0.432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122.995535743392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75.9231702119704</v>
      </c>
      <c r="Z632" s="18" t="n">
        <f aca="false">IF(D632="","",MAX(0,IF(P632&gt;=0,P632,IF(K632+P632&gt;=0,0,P632+K632))))</f>
        <v>122.995535743392</v>
      </c>
      <c r="AA632" s="18" t="n">
        <f aca="false">IF(D632="","",IF(H632&lt;=$B$16,1,IF(H632&gt;=$B$17,$B$21,MATCH(H632,Aux_CAV!$A$2:$A$121,1))))</f>
        <v>22</v>
      </c>
      <c r="AB632" s="18" t="n">
        <f aca="false">IF(D632="","",IF(L632&lt;=$B$16,1,IF(L632&gt;=$B$17,$B$21,MATCH(L632,Aux_CAV!$A$2:$A$121,1))))</f>
        <v>22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0.237141808101274</v>
      </c>
      <c r="E633" s="16" t="n">
        <f aca="false">IF(D633="","",D633*$B$15)</f>
        <v>0.614671566598502</v>
      </c>
      <c r="F633" s="16" t="n">
        <f aca="false" t="array" ref="F633:F633">IF(D633="","",IFERROR(INDEX(Dados_Evap!$C$2:$N$15,MATCH($B$9,Dados_Evap!$A$2:$A$15,0),C633),0))</f>
        <v>282.3</v>
      </c>
      <c r="G633" s="16" t="n">
        <f aca="false">IF(F633="","",F633/1000)</f>
        <v>0.2823</v>
      </c>
      <c r="H633" s="16" t="n">
        <f aca="false">IF(D633="","",MAX(0,MIN($B$8,IFERROR(LOOKUP(2,1/($U$24:U632&lt;&gt;""),$U$24:U632),$B$11))))</f>
        <v>122.995535743392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12.943211119331</v>
      </c>
      <c r="J633" s="16" t="n">
        <f aca="false">IF(D633="","",$B$12)</f>
        <v>0.432</v>
      </c>
      <c r="K633" s="16" t="n">
        <f aca="false">IF(J633="","",J633*$B$15)</f>
        <v>1.119744</v>
      </c>
      <c r="L633" s="16" t="n">
        <f aca="false">IF(D633="","",H633+E633-K633-G633*I633)</f>
        <v>118.836594811003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12.6404120823424</v>
      </c>
      <c r="N633" s="16" t="n">
        <f aca="false">IF(D633="","",(I633+M633)/2)</f>
        <v>12.7918116008367</v>
      </c>
      <c r="O633" s="16" t="n">
        <f aca="false">IF(D633="","",G633*N633)</f>
        <v>3.6111284149162</v>
      </c>
      <c r="P633" s="16" t="n">
        <f aca="false">IF(D633="","",H633+E633-K633-O633)</f>
        <v>118.879334895074</v>
      </c>
      <c r="Q633" s="16" t="n">
        <f aca="false">IF(D633="","",IF(P633&gt;=0,K633,MAX(0,K633+P633)))</f>
        <v>1.119744</v>
      </c>
      <c r="R633" s="16" t="n">
        <f aca="false">IF(D633="","",Q633/$B$15)</f>
        <v>0.432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118.879334895074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73.3823054907866</v>
      </c>
      <c r="Z633" s="18" t="n">
        <f aca="false">IF(D633="","",MAX(0,IF(P633&gt;=0,P633,IF(K633+P633&gt;=0,0,P633+K633))))</f>
        <v>118.879334895074</v>
      </c>
      <c r="AA633" s="18" t="n">
        <f aca="false">IF(D633="","",IF(H633&lt;=$B$16,1,IF(H633&gt;=$B$17,$B$21,MATCH(H633,Aux_CAV!$A$2:$A$121,1))))</f>
        <v>22</v>
      </c>
      <c r="AB633" s="18" t="n">
        <f aca="false">IF(D633="","",IF(L633&lt;=$B$16,1,IF(L633&gt;=$B$17,$B$21,MATCH(L633,Aux_CAV!$A$2:$A$121,1))))</f>
        <v>22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0.209896646358255</v>
      </c>
      <c r="E634" s="16" t="n">
        <f aca="false">IF(D634="","",D634*$B$15)</f>
        <v>0.544052107360597</v>
      </c>
      <c r="F634" s="16" t="n">
        <f aca="false" t="array" ref="F634:F634">IF(D634="","",IFERROR(INDEX(Dados_Evap!$C$2:$N$15,MATCH($B$9,Dados_Evap!$A$2:$A$15,0),C634),0))</f>
        <v>241.3</v>
      </c>
      <c r="G634" s="16" t="n">
        <f aca="false">IF(F634="","",F634/1000)</f>
        <v>0.2413</v>
      </c>
      <c r="H634" s="16" t="n">
        <f aca="false">IF(D634="","",MAX(0,MIN($B$8,IFERROR(LOOKUP(2,1/($U$24:U633&lt;&gt;""),$U$24:U633),$B$11))))</f>
        <v>118.879334895074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12.6435238496187</v>
      </c>
      <c r="J634" s="16" t="n">
        <f aca="false">IF(D634="","",$B$12)</f>
        <v>0.432</v>
      </c>
      <c r="K634" s="16" t="n">
        <f aca="false">IF(J634="","",J634*$B$15)</f>
        <v>1.119744</v>
      </c>
      <c r="L634" s="16" t="n">
        <f aca="false">IF(D634="","",H634+E634-K634-G634*I634)</f>
        <v>115.252760697522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12.3794847126272</v>
      </c>
      <c r="N634" s="16" t="n">
        <f aca="false">IF(D634="","",(I634+M634)/2)</f>
        <v>12.511504281123</v>
      </c>
      <c r="O634" s="16" t="n">
        <f aca="false">IF(D634="","",G634*N634)</f>
        <v>3.01902598303497</v>
      </c>
      <c r="P634" s="16" t="n">
        <f aca="false">IF(D634="","",H634+E634-K634-O634)</f>
        <v>115.2846170194</v>
      </c>
      <c r="Q634" s="16" t="n">
        <f aca="false">IF(D634="","",IF(P634&gt;=0,K634,MAX(0,K634+P634)))</f>
        <v>1.119744</v>
      </c>
      <c r="R634" s="16" t="n">
        <f aca="false">IF(D634="","",Q634/$B$15)</f>
        <v>0.432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115.2846170194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71.1633438391358</v>
      </c>
      <c r="Z634" s="18" t="n">
        <f aca="false">IF(D634="","",MAX(0,IF(P634&gt;=0,P634,IF(K634+P634&gt;=0,0,P634+K634))))</f>
        <v>115.2846170194</v>
      </c>
      <c r="AA634" s="18" t="n">
        <f aca="false">IF(D634="","",IF(H634&lt;=$B$16,1,IF(H634&gt;=$B$17,$B$21,MATCH(H634,Aux_CAV!$A$2:$A$121,1))))</f>
        <v>22</v>
      </c>
      <c r="AB634" s="18" t="n">
        <f aca="false">IF(D634="","",IF(L634&lt;=$B$16,1,IF(L634&gt;=$B$17,$B$21,MATCH(L634,Aux_CAV!$A$2:$A$121,1))))</f>
        <v>22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0.259127971184298</v>
      </c>
      <c r="E635" s="16" t="n">
        <f aca="false">IF(D635="","",D635*$B$15)</f>
        <v>0.6716597013097</v>
      </c>
      <c r="F635" s="16" t="n">
        <f aca="false" t="array" ref="F635:F635">IF(D635="","",IFERROR(INDEX(Dados_Evap!$C$2:$N$15,MATCH($B$9,Dados_Evap!$A$2:$A$15,0),C635),0))</f>
        <v>241.8</v>
      </c>
      <c r="G635" s="16" t="n">
        <f aca="false">IF(F635="","",F635/1000)</f>
        <v>0.2418</v>
      </c>
      <c r="H635" s="16" t="n">
        <f aca="false">IF(D635="","",MAX(0,MIN($B$8,IFERROR(LOOKUP(2,1/($U$24:U634&lt;&gt;""),$U$24:U634),$B$11))))</f>
        <v>115.2846170194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12.3818040683823</v>
      </c>
      <c r="J635" s="16" t="n">
        <f aca="false">IF(D635="","",$B$12)</f>
        <v>0.432</v>
      </c>
      <c r="K635" s="16" t="n">
        <f aca="false">IF(J635="","",J635*$B$15)</f>
        <v>1.119744</v>
      </c>
      <c r="L635" s="16" t="n">
        <f aca="false">IF(D635="","",H635+E635-K635-G635*I635)</f>
        <v>111.842612496975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12.1312028524372</v>
      </c>
      <c r="N635" s="16" t="n">
        <f aca="false">IF(D635="","",(I635+M635)/2)</f>
        <v>12.2565034604097</v>
      </c>
      <c r="O635" s="16" t="n">
        <f aca="false">IF(D635="","",G635*N635)</f>
        <v>2.96362253672707</v>
      </c>
      <c r="P635" s="16" t="n">
        <f aca="false">IF(D635="","",H635+E635-K635-O635)</f>
        <v>111.872910183983</v>
      </c>
      <c r="Q635" s="16" t="n">
        <f aca="false">IF(D635="","",IF(P635&gt;=0,K635,MAX(0,K635+P635)))</f>
        <v>1.119744</v>
      </c>
      <c r="R635" s="16" t="n">
        <f aca="false">IF(D635="","",Q635/$B$15)</f>
        <v>0.432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111.872910183983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69.0573519654214</v>
      </c>
      <c r="Z635" s="18" t="n">
        <f aca="false">IF(D635="","",MAX(0,IF(P635&gt;=0,P635,IF(K635+P635&gt;=0,0,P635+K635))))</f>
        <v>111.872910183983</v>
      </c>
      <c r="AA635" s="18" t="n">
        <f aca="false">IF(D635="","",IF(H635&lt;=$B$16,1,IF(H635&gt;=$B$17,$B$21,MATCH(H635,Aux_CAV!$A$2:$A$121,1))))</f>
        <v>22</v>
      </c>
      <c r="AB635" s="18" t="n">
        <f aca="false">IF(D635="","",IF(L635&lt;=$B$16,1,IF(L635&gt;=$B$17,$B$21,MATCH(L635,Aux_CAV!$A$2:$A$121,1))))</f>
        <v>22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0.531826595624053</v>
      </c>
      <c r="E636" s="16" t="n">
        <f aca="false">IF(D636="","",D636*$B$15)</f>
        <v>1.37849453585755</v>
      </c>
      <c r="F636" s="16" t="n">
        <f aca="false" t="array" ref="F636:F636">IF(D636="","",IFERROR(INDEX(Dados_Evap!$C$2:$N$15,MATCH($B$9,Dados_Evap!$A$2:$A$15,0),C636),0))</f>
        <v>189</v>
      </c>
      <c r="G636" s="16" t="n">
        <f aca="false">IF(F636="","",F636/1000)</f>
        <v>0.189</v>
      </c>
      <c r="H636" s="16" t="n">
        <f aca="false">IF(D636="","",MAX(0,MIN($B$8,IFERROR(LOOKUP(2,1/($U$24:U635&lt;&gt;""),$U$24:U635),$B$11))))</f>
        <v>111.872910183983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12.1334087290288</v>
      </c>
      <c r="J636" s="16" t="n">
        <f aca="false">IF(D636="","",$B$12)</f>
        <v>0.432</v>
      </c>
      <c r="K636" s="16" t="n">
        <f aca="false">IF(J636="","",J636*$B$15)</f>
        <v>1.119744</v>
      </c>
      <c r="L636" s="16" t="n">
        <f aca="false">IF(D636="","",H636+E636-K636-G636*I636)</f>
        <v>109.838446470054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11.9852860065904</v>
      </c>
      <c r="N636" s="16" t="n">
        <f aca="false">IF(D636="","",(I636+M636)/2)</f>
        <v>12.0593473678096</v>
      </c>
      <c r="O636" s="16" t="n">
        <f aca="false">IF(D636="","",G636*N636)</f>
        <v>2.27921665251602</v>
      </c>
      <c r="P636" s="16" t="n">
        <f aca="false">IF(D636="","",H636+E636-K636-O636)</f>
        <v>109.852444067324</v>
      </c>
      <c r="Q636" s="16" t="n">
        <f aca="false">IF(D636="","",IF(P636&gt;=0,K636,MAX(0,K636+P636)))</f>
        <v>1.119744</v>
      </c>
      <c r="R636" s="16" t="n">
        <f aca="false">IF(D636="","",Q636/$B$15)</f>
        <v>0.432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109.852444067324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67.8101506588421</v>
      </c>
      <c r="Z636" s="18" t="n">
        <f aca="false">IF(D636="","",MAX(0,IF(P636&gt;=0,P636,IF(K636+P636&gt;=0,0,P636+K636))))</f>
        <v>109.852444067324</v>
      </c>
      <c r="AA636" s="18" t="n">
        <f aca="false">IF(D636="","",IF(H636&lt;=$B$16,1,IF(H636&gt;=$B$17,$B$21,MATCH(H636,Aux_CAV!$A$2:$A$121,1))))</f>
        <v>22</v>
      </c>
      <c r="AB636" s="18" t="n">
        <f aca="false">IF(D636="","",IF(L636&lt;=$B$16,1,IF(L636&gt;=$B$17,$B$21,MATCH(L636,Aux_CAV!$A$2:$A$121,1))))</f>
        <v>22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2.6647615869383</v>
      </c>
      <c r="E637" s="16" t="n">
        <f aca="false">IF(D637="","",D637*$B$15)</f>
        <v>6.90706203334407</v>
      </c>
      <c r="F637" s="16" t="n">
        <f aca="false" t="array" ref="F637:F637">IF(D637="","",IFERROR(INDEX(Dados_Evap!$C$2:$N$15,MATCH($B$9,Dados_Evap!$A$2:$A$15,0),C637),0))</f>
        <v>136.9</v>
      </c>
      <c r="G637" s="16" t="n">
        <f aca="false">IF(F637="","",F637/1000)</f>
        <v>0.1369</v>
      </c>
      <c r="H637" s="16" t="n">
        <f aca="false">IF(D637="","",MAX(0,MIN($B$8,IFERROR(LOOKUP(2,1/($U$24:U636&lt;&gt;""),$U$24:U636),$B$11))))</f>
        <v>109.852444067324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11.9863051263718</v>
      </c>
      <c r="J637" s="16" t="n">
        <f aca="false">IF(D637="","",$B$12)</f>
        <v>0.432</v>
      </c>
      <c r="K637" s="16" t="n">
        <f aca="false">IF(J637="","",J637*$B$15)</f>
        <v>1.119744</v>
      </c>
      <c r="L637" s="16" t="n">
        <f aca="false">IF(D637="","",H637+E637-K637-G637*I637)</f>
        <v>113.998836928868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12.2881905789095</v>
      </c>
      <c r="N637" s="16" t="n">
        <f aca="false">IF(D637="","",(I637+M637)/2)</f>
        <v>12.1372478526406</v>
      </c>
      <c r="O637" s="16" t="n">
        <f aca="false">IF(D637="","",G637*N637)</f>
        <v>1.6615892310265</v>
      </c>
      <c r="P637" s="16" t="n">
        <f aca="false">IF(D637="","",H637+E637-K637-O637)</f>
        <v>113.978172869642</v>
      </c>
      <c r="Q637" s="16" t="n">
        <f aca="false">IF(D637="","",IF(P637&gt;=0,K637,MAX(0,K637+P637)))</f>
        <v>1.119744</v>
      </c>
      <c r="R637" s="16" t="n">
        <f aca="false">IF(D637="","",Q637/$B$15)</f>
        <v>0.432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113.978172869642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70.3568968331122</v>
      </c>
      <c r="Z637" s="18" t="n">
        <f aca="false">IF(D637="","",MAX(0,IF(P637&gt;=0,P637,IF(K637+P637&gt;=0,0,P637+K637))))</f>
        <v>113.978172869642</v>
      </c>
      <c r="AA637" s="18" t="n">
        <f aca="false">IF(D637="","",IF(H637&lt;=$B$16,1,IF(H637&gt;=$B$17,$B$21,MATCH(H637,Aux_CAV!$A$2:$A$121,1))))</f>
        <v>22</v>
      </c>
      <c r="AB637" s="18" t="n">
        <f aca="false">IF(D637="","",IF(L637&lt;=$B$16,1,IF(L637&gt;=$B$17,$B$21,MATCH(L637,Aux_CAV!$A$2:$A$121,1))))</f>
        <v>22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6.90102296054526</v>
      </c>
      <c r="E638" s="16" t="n">
        <f aca="false">IF(D638="","",D638*$B$15)</f>
        <v>17.8874515137333</v>
      </c>
      <c r="F638" s="16" t="n">
        <f aca="false" t="array" ref="F638:F638">IF(D638="","",IFERROR(INDEX(Dados_Evap!$C$2:$N$15,MATCH($B$9,Dados_Evap!$A$2:$A$15,0),C638),0))</f>
        <v>102.9</v>
      </c>
      <c r="G638" s="16" t="n">
        <f aca="false">IF(F638="","",F638/1000)</f>
        <v>0.1029</v>
      </c>
      <c r="H638" s="16" t="n">
        <f aca="false">IF(D638="","",MAX(0,MIN($B$8,IFERROR(LOOKUP(2,1/($U$24:U637&lt;&gt;""),$U$24:U637),$B$11))))</f>
        <v>113.978172869642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12.2866860955962</v>
      </c>
      <c r="J638" s="16" t="n">
        <f aca="false">IF(D638="","",$B$12)</f>
        <v>0.432</v>
      </c>
      <c r="K638" s="16" t="n">
        <f aca="false">IF(J638="","",J638*$B$15)</f>
        <v>1.119744</v>
      </c>
      <c r="L638" s="16" t="n">
        <f aca="false">IF(D638="","",H638+E638-K638-G638*I638)</f>
        <v>129.481580384138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13.4154390501939</v>
      </c>
      <c r="N638" s="16" t="n">
        <f aca="false">IF(D638="","",(I638+M638)/2)</f>
        <v>12.851062572895</v>
      </c>
      <c r="O638" s="16" t="n">
        <f aca="false">IF(D638="","",G638*N638)</f>
        <v>1.3223743387509</v>
      </c>
      <c r="P638" s="16" t="n">
        <f aca="false">IF(D638="","",H638+E638-K638-O638)</f>
        <v>129.423506044624</v>
      </c>
      <c r="Q638" s="16" t="n">
        <f aca="false">IF(D638="","",IF(P638&gt;=0,K638,MAX(0,K638+P638)))</f>
        <v>1.119744</v>
      </c>
      <c r="R638" s="16" t="n">
        <f aca="false">IF(D638="","",Q638/$B$15)</f>
        <v>0.432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129.423506044624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79.8910531139655</v>
      </c>
      <c r="Z638" s="18" t="n">
        <f aca="false">IF(D638="","",MAX(0,IF(P638&gt;=0,P638,IF(K638+P638&gt;=0,0,P638+K638))))</f>
        <v>129.423506044624</v>
      </c>
      <c r="AA638" s="18" t="n">
        <f aca="false">IF(D638="","",IF(H638&lt;=$B$16,1,IF(H638&gt;=$B$17,$B$21,MATCH(H638,Aux_CAV!$A$2:$A$121,1))))</f>
        <v>22</v>
      </c>
      <c r="AB638" s="18" t="n">
        <f aca="false">IF(D638="","",IF(L638&lt;=$B$16,1,IF(L638&gt;=$B$17,$B$21,MATCH(L638,Aux_CAV!$A$2:$A$121,1))))</f>
        <v>22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10.7868920688154</v>
      </c>
      <c r="E639" s="16" t="n">
        <f aca="false">IF(D639="","",D639*$B$15)</f>
        <v>27.9596242423695</v>
      </c>
      <c r="F639" s="16" t="n">
        <f aca="false" t="array" ref="F639:F639">IF(D639="","",IFERROR(INDEX(Dados_Evap!$C$2:$N$15,MATCH($B$9,Dados_Evap!$A$2:$A$15,0),C639),0))</f>
        <v>81.8</v>
      </c>
      <c r="G639" s="16" t="n">
        <f aca="false">IF(F639="","",F639/1000)</f>
        <v>0.0818</v>
      </c>
      <c r="H639" s="16" t="n">
        <f aca="false">IF(D639="","",MAX(0,MIN($B$8,IFERROR(LOOKUP(2,1/($U$24:U638&lt;&gt;""),$U$24:U638),$B$11))))</f>
        <v>129.423506044624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13.4112108453782</v>
      </c>
      <c r="J639" s="16" t="n">
        <f aca="false">IF(D639="","",$B$12)</f>
        <v>0.432</v>
      </c>
      <c r="K639" s="16" t="n">
        <f aca="false">IF(J639="","",J639*$B$15)</f>
        <v>1.119744</v>
      </c>
      <c r="L639" s="16" t="n">
        <f aca="false">IF(D639="","",H639+E639-K639-G639*I639)</f>
        <v>155.166349239842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15.2854639919318</v>
      </c>
      <c r="N639" s="16" t="n">
        <f aca="false">IF(D639="","",(I639+M639)/2)</f>
        <v>14.348337418655</v>
      </c>
      <c r="O639" s="16" t="n">
        <f aca="false">IF(D639="","",G639*N639)</f>
        <v>1.17369400084598</v>
      </c>
      <c r="P639" s="16" t="n">
        <f aca="false">IF(D639="","",H639+E639-K639-O639)</f>
        <v>155.089692286148</v>
      </c>
      <c r="Q639" s="16" t="n">
        <f aca="false">IF(D639="","",IF(P639&gt;=0,K639,MAX(0,K639+P639)))</f>
        <v>1.119744</v>
      </c>
      <c r="R639" s="16" t="n">
        <f aca="false">IF(D639="","",Q639/$B$15)</f>
        <v>0.432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155.089692286148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95.7343779544122</v>
      </c>
      <c r="Z639" s="18" t="n">
        <f aca="false">IF(D639="","",MAX(0,IF(P639&gt;=0,P639,IF(K639+P639&gt;=0,0,P639+K639))))</f>
        <v>155.089692286148</v>
      </c>
      <c r="AA639" s="18" t="n">
        <f aca="false">IF(D639="","",IF(H639&lt;=$B$16,1,IF(H639&gt;=$B$17,$B$21,MATCH(H639,Aux_CAV!$A$2:$A$121,1))))</f>
        <v>22</v>
      </c>
      <c r="AB639" s="18" t="n">
        <f aca="false">IF(D639="","",IF(L639&lt;=$B$16,1,IF(L639&gt;=$B$17,$B$21,MATCH(L639,Aux_CAV!$A$2:$A$121,1))))</f>
        <v>22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9.51826316394689</v>
      </c>
      <c r="E640" s="16" t="n">
        <f aca="false">IF(D640="","",D640*$B$15)</f>
        <v>24.6713381209503</v>
      </c>
      <c r="F640" s="16" t="n">
        <f aca="false" t="array" ref="F640:F640">IF(D640="","",IFERROR(INDEX(Dados_Evap!$C$2:$N$15,MATCH($B$9,Dados_Evap!$A$2:$A$15,0),C640),0))</f>
        <v>83.6</v>
      </c>
      <c r="G640" s="16" t="n">
        <f aca="false">IF(F640="","",F640/1000)</f>
        <v>0.0836</v>
      </c>
      <c r="H640" s="16" t="n">
        <f aca="false">IF(D640="","",MAX(0,MIN($B$8,IFERROR(LOOKUP(2,1/($U$24:U639&lt;&gt;""),$U$24:U639),$B$11))))</f>
        <v>155.089692286148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15.279882847084</v>
      </c>
      <c r="J640" s="16" t="n">
        <f aca="false">IF(D640="","",$B$12)</f>
        <v>0.432</v>
      </c>
      <c r="K640" s="16" t="n">
        <f aca="false">IF(J640="","",J640*$B$15)</f>
        <v>1.119744</v>
      </c>
      <c r="L640" s="16" t="n">
        <f aca="false">IF(D640="","",H640+E640-K640-G640*I640)</f>
        <v>177.363888201082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16.7019068371695</v>
      </c>
      <c r="N640" s="16" t="n">
        <f aca="false">IF(D640="","",(I640+M640)/2)</f>
        <v>15.9908948421267</v>
      </c>
      <c r="O640" s="16" t="n">
        <f aca="false">IF(D640="","",G640*N640)</f>
        <v>1.33683880880179</v>
      </c>
      <c r="P640" s="16" t="n">
        <f aca="false">IF(D640="","",H640+E640-K640-O640)</f>
        <v>177.304447598296</v>
      </c>
      <c r="Q640" s="16" t="n">
        <f aca="false">IF(D640="","",IF(P640&gt;=0,K640,MAX(0,K640+P640)))</f>
        <v>1.119744</v>
      </c>
      <c r="R640" s="16" t="n">
        <f aca="false">IF(D640="","",Q640/$B$15)</f>
        <v>0.432</v>
      </c>
      <c r="S640" s="16" t="n">
        <f aca="false">IF(D640="","",MAX(0,J640-R640))</f>
        <v>0</v>
      </c>
      <c r="T640" s="16" t="n">
        <f aca="false">IF(D640="","",MAX(0,Z640-$B$8))</f>
        <v>15.3044475982962</v>
      </c>
      <c r="U640" s="16" t="n">
        <f aca="false">IF(D640="","",MAX(0,MIN($B$8,Z640)))</f>
        <v>162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100</v>
      </c>
      <c r="Z640" s="18" t="n">
        <f aca="false">IF(D640="","",MAX(0,IF(P640&gt;=0,P640,IF(K640+P640&gt;=0,0,P640+K640))))</f>
        <v>177.304447598296</v>
      </c>
      <c r="AA640" s="18" t="n">
        <f aca="false">IF(D640="","",IF(H640&lt;=$B$16,1,IF(H640&gt;=$B$17,$B$21,MATCH(H640,Aux_CAV!$A$2:$A$121,1))))</f>
        <v>22</v>
      </c>
      <c r="AB640" s="18" t="n">
        <f aca="false">IF(D640="","",IF(L640&lt;=$B$16,1,IF(L640&gt;=$B$17,$B$21,MATCH(L640,Aux_CAV!$A$2:$A$121,1))))</f>
        <v>23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6.01807418094086</v>
      </c>
      <c r="E641" s="16" t="n">
        <f aca="false">IF(D641="","",D641*$B$15)</f>
        <v>15.5988482769987</v>
      </c>
      <c r="F641" s="16" t="n">
        <f aca="false" t="array" ref="F641:F641">IF(D641="","",IFERROR(INDEX(Dados_Evap!$C$2:$N$15,MATCH($B$9,Dados_Evap!$A$2:$A$15,0),C641),0))</f>
        <v>108.2</v>
      </c>
      <c r="G641" s="16" t="n">
        <f aca="false">IF(F641="","",F641/1000)</f>
        <v>0.1082</v>
      </c>
      <c r="H641" s="16" t="n">
        <f aca="false">IF(D641="","",MAX(0,MIN($B$8,IFERROR(LOOKUP(2,1/($U$24:U640&lt;&gt;""),$U$24:U640),$B$11))))</f>
        <v>162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15.783</v>
      </c>
      <c r="J641" s="16" t="n">
        <f aca="false">IF(D641="","",$B$12)</f>
        <v>0.432</v>
      </c>
      <c r="K641" s="16" t="n">
        <f aca="false">IF(J641="","",J641*$B$15)</f>
        <v>1.119744</v>
      </c>
      <c r="L641" s="16" t="n">
        <f aca="false">IF(D641="","",H641+E641-K641-G641*I641)</f>
        <v>174.771383676999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16.54685037611</v>
      </c>
      <c r="N641" s="16" t="n">
        <f aca="false">IF(D641="","",(I641+M641)/2)</f>
        <v>16.164925188055</v>
      </c>
      <c r="O641" s="16" t="n">
        <f aca="false">IF(D641="","",G641*N641)</f>
        <v>1.74904490534755</v>
      </c>
      <c r="P641" s="16" t="n">
        <f aca="false">IF(D641="","",H641+E641-K641-O641)</f>
        <v>174.730059371651</v>
      </c>
      <c r="Q641" s="16" t="n">
        <f aca="false">IF(D641="","",IF(P641&gt;=0,K641,MAX(0,K641+P641)))</f>
        <v>1.119744</v>
      </c>
      <c r="R641" s="16" t="n">
        <f aca="false">IF(D641="","",Q641/$B$15)</f>
        <v>0.432</v>
      </c>
      <c r="S641" s="16" t="n">
        <f aca="false">IF(D641="","",MAX(0,J641-R641))</f>
        <v>0</v>
      </c>
      <c r="T641" s="16" t="n">
        <f aca="false">IF(D641="","",MAX(0,Z641-$B$8))</f>
        <v>12.7300593716512</v>
      </c>
      <c r="U641" s="16" t="n">
        <f aca="false">IF(D641="","",MAX(0,MIN($B$8,Z641)))</f>
        <v>162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100</v>
      </c>
      <c r="Z641" s="18" t="n">
        <f aca="false">IF(D641="","",MAX(0,IF(P641&gt;=0,P641,IF(K641+P641&gt;=0,0,P641+K641))))</f>
        <v>174.730059371651</v>
      </c>
      <c r="AA641" s="18" t="n">
        <f aca="false">IF(D641="","",IF(H641&lt;=$B$16,1,IF(H641&gt;=$B$17,$B$21,MATCH(H641,Aux_CAV!$A$2:$A$121,1))))</f>
        <v>23</v>
      </c>
      <c r="AB641" s="18" t="n">
        <f aca="false">IF(D641="","",IF(L641&lt;=$B$16,1,IF(L641&gt;=$B$17,$B$21,MATCH(L641,Aux_CAV!$A$2:$A$121,1))))</f>
        <v>23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2.62687491256094</v>
      </c>
      <c r="E642" s="16" t="n">
        <f aca="false">IF(D642="","",D642*$B$15)</f>
        <v>6.80885977335796</v>
      </c>
      <c r="F642" s="16" t="n">
        <f aca="false" t="array" ref="F642:F642">IF(D642="","",IFERROR(INDEX(Dados_Evap!$C$2:$N$15,MATCH($B$9,Dados_Evap!$A$2:$A$15,0),C642),0))</f>
        <v>149</v>
      </c>
      <c r="G642" s="16" t="n">
        <f aca="false">IF(F642="","",F642/1000)</f>
        <v>0.149</v>
      </c>
      <c r="H642" s="16" t="n">
        <f aca="false">IF(D642="","",MAX(0,MIN($B$8,IFERROR(LOOKUP(2,1/($U$24:U641&lt;&gt;""),$U$24:U641),$B$11))))</f>
        <v>162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15.783</v>
      </c>
      <c r="J642" s="16" t="n">
        <f aca="false">IF(D642="","",$B$12)</f>
        <v>0.432</v>
      </c>
      <c r="K642" s="16" t="n">
        <f aca="false">IF(J642="","",J642*$B$15)</f>
        <v>1.119744</v>
      </c>
      <c r="L642" s="16" t="n">
        <f aca="false">IF(D642="","",H642+E642-K642-G642*I642)</f>
        <v>165.337448773358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15.9826112218732</v>
      </c>
      <c r="N642" s="16" t="n">
        <f aca="false">IF(D642="","",(I642+M642)/2)</f>
        <v>15.8828056109366</v>
      </c>
      <c r="O642" s="16" t="n">
        <f aca="false">IF(D642="","",G642*N642)</f>
        <v>2.36653803602955</v>
      </c>
      <c r="P642" s="16" t="n">
        <f aca="false">IF(D642="","",H642+E642-K642-O642)</f>
        <v>165.322577737328</v>
      </c>
      <c r="Q642" s="16" t="n">
        <f aca="false">IF(D642="","",IF(P642&gt;=0,K642,MAX(0,K642+P642)))</f>
        <v>1.119744</v>
      </c>
      <c r="R642" s="16" t="n">
        <f aca="false">IF(D642="","",Q642/$B$15)</f>
        <v>0.432</v>
      </c>
      <c r="S642" s="16" t="n">
        <f aca="false">IF(D642="","",MAX(0,J642-R642))</f>
        <v>0</v>
      </c>
      <c r="T642" s="16" t="n">
        <f aca="false">IF(D642="","",MAX(0,Z642-$B$8))</f>
        <v>3.3225777373284</v>
      </c>
      <c r="U642" s="16" t="n">
        <f aca="false">IF(D642="","",MAX(0,MIN($B$8,Z642)))</f>
        <v>162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100</v>
      </c>
      <c r="Z642" s="18" t="n">
        <f aca="false">IF(D642="","",MAX(0,IF(P642&gt;=0,P642,IF(K642+P642&gt;=0,0,P642+K642))))</f>
        <v>165.322577737328</v>
      </c>
      <c r="AA642" s="18" t="n">
        <f aca="false">IF(D642="","",IF(H642&lt;=$B$16,1,IF(H642&gt;=$B$17,$B$21,MATCH(H642,Aux_CAV!$A$2:$A$121,1))))</f>
        <v>23</v>
      </c>
      <c r="AB642" s="18" t="n">
        <f aca="false">IF(D642="","",IF(L642&lt;=$B$16,1,IF(L642&gt;=$B$17,$B$21,MATCH(L642,Aux_CAV!$A$2:$A$121,1))))</f>
        <v>23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0.890715798587585</v>
      </c>
      <c r="E643" s="16" t="n">
        <f aca="false">IF(D643="","",D643*$B$15)</f>
        <v>2.30873534993902</v>
      </c>
      <c r="F643" s="16" t="n">
        <f aca="false" t="array" ref="F643:F643">IF(D643="","",IFERROR(INDEX(Dados_Evap!$C$2:$N$15,MATCH($B$9,Dados_Evap!$A$2:$A$15,0),C643),0))</f>
        <v>206.8</v>
      </c>
      <c r="G643" s="16" t="n">
        <f aca="false">IF(F643="","",F643/1000)</f>
        <v>0.2068</v>
      </c>
      <c r="H643" s="16" t="n">
        <f aca="false">IF(D643="","",MAX(0,MIN($B$8,IFERROR(LOOKUP(2,1/($U$24:U642&lt;&gt;""),$U$24:U642),$B$11))))</f>
        <v>162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15.783</v>
      </c>
      <c r="J643" s="16" t="n">
        <f aca="false">IF(D643="","",$B$12)</f>
        <v>0.432</v>
      </c>
      <c r="K643" s="16" t="n">
        <f aca="false">IF(J643="","",J643*$B$15)</f>
        <v>1.119744</v>
      </c>
      <c r="L643" s="16" t="n">
        <f aca="false">IF(D643="","",H643+E643-K643-G643*I643)</f>
        <v>159.925066949939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15.6319308360979</v>
      </c>
      <c r="N643" s="16" t="n">
        <f aca="false">IF(D643="","",(I643+M643)/2)</f>
        <v>15.7074654180489</v>
      </c>
      <c r="O643" s="16" t="n">
        <f aca="false">IF(D643="","",G643*N643)</f>
        <v>3.24830384845252</v>
      </c>
      <c r="P643" s="16" t="n">
        <f aca="false">IF(D643="","",H643+E643-K643-O643)</f>
        <v>159.940687501487</v>
      </c>
      <c r="Q643" s="16" t="n">
        <f aca="false">IF(D643="","",IF(P643&gt;=0,K643,MAX(0,K643+P643)))</f>
        <v>1.119744</v>
      </c>
      <c r="R643" s="16" t="n">
        <f aca="false">IF(D643="","",Q643/$B$15)</f>
        <v>0.432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159.940687501487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98.728819445362</v>
      </c>
      <c r="Z643" s="18" t="n">
        <f aca="false">IF(D643="","",MAX(0,IF(P643&gt;=0,P643,IF(K643+P643&gt;=0,0,P643+K643))))</f>
        <v>159.940687501487</v>
      </c>
      <c r="AA643" s="18" t="n">
        <f aca="false">IF(D643="","",IF(H643&lt;=$B$16,1,IF(H643&gt;=$B$17,$B$21,MATCH(H643,Aux_CAV!$A$2:$A$121,1))))</f>
        <v>23</v>
      </c>
      <c r="AB643" s="18" t="n">
        <f aca="false">IF(D643="","",IF(L643&lt;=$B$16,1,IF(L643&gt;=$B$17,$B$21,MATCH(L643,Aux_CAV!$A$2:$A$121,1))))</f>
        <v>22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0.612344304119981</v>
      </c>
      <c r="E644" s="16" t="n">
        <f aca="false">IF(D644="","",D644*$B$15)</f>
        <v>1.58719643627899</v>
      </c>
      <c r="F644" s="16" t="n">
        <f aca="false" t="array" ref="F644:F644">IF(D644="","",IFERROR(INDEX(Dados_Evap!$C$2:$N$15,MATCH($B$9,Dados_Evap!$A$2:$A$15,0),C644),0))</f>
        <v>245.9</v>
      </c>
      <c r="G644" s="16" t="n">
        <f aca="false">IF(F644="","",F644/1000)</f>
        <v>0.2459</v>
      </c>
      <c r="H644" s="16" t="n">
        <f aca="false">IF(D644="","",MAX(0,MIN($B$8,IFERROR(LOOKUP(2,1/($U$24:U643&lt;&gt;""),$U$24:U643),$B$11))))</f>
        <v>159.940687501487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15.6330681179306</v>
      </c>
      <c r="J644" s="16" t="n">
        <f aca="false">IF(D644="","",$B$12)</f>
        <v>0.432</v>
      </c>
      <c r="K644" s="16" t="n">
        <f aca="false">IF(J644="","",J644*$B$15)</f>
        <v>1.119744</v>
      </c>
      <c r="L644" s="16" t="n">
        <f aca="false">IF(D644="","",H644+E644-K644-G644*I644)</f>
        <v>156.563968487566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15.3872201286905</v>
      </c>
      <c r="N644" s="16" t="n">
        <f aca="false">IF(D644="","",(I644+M644)/2)</f>
        <v>15.5101441233106</v>
      </c>
      <c r="O644" s="16" t="n">
        <f aca="false">IF(D644="","",G644*N644)</f>
        <v>3.81394443992207</v>
      </c>
      <c r="P644" s="16" t="n">
        <f aca="false">IF(D644="","",H644+E644-K644-O644)</f>
        <v>156.594195497843</v>
      </c>
      <c r="Q644" s="16" t="n">
        <f aca="false">IF(D644="","",IF(P644&gt;=0,K644,MAX(0,K644+P644)))</f>
        <v>1.119744</v>
      </c>
      <c r="R644" s="16" t="n">
        <f aca="false">IF(D644="","",Q644/$B$15)</f>
        <v>0.432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156.594195497843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96.6630836406441</v>
      </c>
      <c r="Z644" s="18" t="n">
        <f aca="false">IF(D644="","",MAX(0,IF(P644&gt;=0,P644,IF(K644+P644&gt;=0,0,P644+K644))))</f>
        <v>156.594195497843</v>
      </c>
      <c r="AA644" s="18" t="n">
        <f aca="false">IF(D644="","",IF(H644&lt;=$B$16,1,IF(H644&gt;=$B$17,$B$21,MATCH(H644,Aux_CAV!$A$2:$A$121,1))))</f>
        <v>22</v>
      </c>
      <c r="AB644" s="18" t="n">
        <f aca="false">IF(D644="","",IF(L644&lt;=$B$16,1,IF(L644&gt;=$B$17,$B$21,MATCH(L644,Aux_CAV!$A$2:$A$121,1))))</f>
        <v>22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0.677281777019942</v>
      </c>
      <c r="E645" s="16" t="n">
        <f aca="false">IF(D645="","",D645*$B$15)</f>
        <v>1.75551436603569</v>
      </c>
      <c r="F645" s="16" t="n">
        <f aca="false" t="array" ref="F645:F645">IF(D645="","",IFERROR(INDEX(Dados_Evap!$C$2:$N$15,MATCH($B$9,Dados_Evap!$A$2:$A$15,0),C645),0))</f>
        <v>282.3</v>
      </c>
      <c r="G645" s="16" t="n">
        <f aca="false">IF(F645="","",F645/1000)</f>
        <v>0.2823</v>
      </c>
      <c r="H645" s="16" t="n">
        <f aca="false">IF(D645="","",MAX(0,MIN($B$8,IFERROR(LOOKUP(2,1/($U$24:U644&lt;&gt;""),$U$24:U644),$B$11))))</f>
        <v>156.594195497843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15.389420859538</v>
      </c>
      <c r="J645" s="16" t="n">
        <f aca="false">IF(D645="","",$B$12)</f>
        <v>0.432</v>
      </c>
      <c r="K645" s="16" t="n">
        <f aca="false">IF(J645="","",J645*$B$15)</f>
        <v>1.119744</v>
      </c>
      <c r="L645" s="16" t="n">
        <f aca="false">IF(D645="","",H645+E645-K645-G645*I645)</f>
        <v>152.885532355232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15.1194050919775</v>
      </c>
      <c r="N645" s="16" t="n">
        <f aca="false">IF(D645="","",(I645+M645)/2)</f>
        <v>15.2544129757578</v>
      </c>
      <c r="O645" s="16" t="n">
        <f aca="false">IF(D645="","",G645*N645)</f>
        <v>4.30632078305642</v>
      </c>
      <c r="P645" s="16" t="n">
        <f aca="false">IF(D645="","",H645+E645-K645-O645)</f>
        <v>152.923645080823</v>
      </c>
      <c r="Q645" s="16" t="n">
        <f aca="false">IF(D645="","",IF(P645&gt;=0,K645,MAX(0,K645+P645)))</f>
        <v>1.119744</v>
      </c>
      <c r="R645" s="16" t="n">
        <f aca="false">IF(D645="","",Q645/$B$15)</f>
        <v>0.432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152.923645080823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94.3973117782856</v>
      </c>
      <c r="Z645" s="18" t="n">
        <f aca="false">IF(D645="","",MAX(0,IF(P645&gt;=0,P645,IF(K645+P645&gt;=0,0,P645+K645))))</f>
        <v>152.923645080823</v>
      </c>
      <c r="AA645" s="18" t="n">
        <f aca="false">IF(D645="","",IF(H645&lt;=$B$16,1,IF(H645&gt;=$B$17,$B$21,MATCH(H645,Aux_CAV!$A$2:$A$121,1))))</f>
        <v>22</v>
      </c>
      <c r="AB645" s="18" t="n">
        <f aca="false">IF(D645="","",IF(L645&lt;=$B$16,1,IF(L645&gt;=$B$17,$B$21,MATCH(L645,Aux_CAV!$A$2:$A$121,1))))</f>
        <v>22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0.489109297805835</v>
      </c>
      <c r="E646" s="16" t="n">
        <f aca="false">IF(D646="","",D646*$B$15)</f>
        <v>1.26777129991272</v>
      </c>
      <c r="F646" s="16" t="n">
        <f aca="false" t="array" ref="F646:F646">IF(D646="","",IFERROR(INDEX(Dados_Evap!$C$2:$N$15,MATCH($B$9,Dados_Evap!$A$2:$A$15,0),C646),0))</f>
        <v>241.3</v>
      </c>
      <c r="G646" s="16" t="n">
        <f aca="false">IF(F646="","",F646/1000)</f>
        <v>0.2413</v>
      </c>
      <c r="H646" s="16" t="n">
        <f aca="false">IF(D646="","",MAX(0,MIN($B$8,IFERROR(LOOKUP(2,1/($U$24:U645&lt;&gt;""),$U$24:U645),$B$11))))</f>
        <v>152.923645080823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15.1221799562503</v>
      </c>
      <c r="J646" s="16" t="n">
        <f aca="false">IF(D646="","",$B$12)</f>
        <v>0.432</v>
      </c>
      <c r="K646" s="16" t="n">
        <f aca="false">IF(J646="","",J646*$B$15)</f>
        <v>1.119744</v>
      </c>
      <c r="L646" s="16" t="n">
        <f aca="false">IF(D646="","",H646+E646-K646-G646*I646)</f>
        <v>149.422690357292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14.86728676684</v>
      </c>
      <c r="N646" s="16" t="n">
        <f aca="false">IF(D646="","",(I646+M646)/2)</f>
        <v>14.9947333615451</v>
      </c>
      <c r="O646" s="16" t="n">
        <f aca="false">IF(D646="","",G646*N646)</f>
        <v>3.61822916014084</v>
      </c>
      <c r="P646" s="16" t="n">
        <f aca="false">IF(D646="","",H646+E646-K646-O646)</f>
        <v>149.453443220595</v>
      </c>
      <c r="Q646" s="16" t="n">
        <f aca="false">IF(D646="","",IF(P646&gt;=0,K646,MAX(0,K646+P646)))</f>
        <v>1.119744</v>
      </c>
      <c r="R646" s="16" t="n">
        <f aca="false">IF(D646="","",Q646/$B$15)</f>
        <v>0.432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149.453443220595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92.2552118645646</v>
      </c>
      <c r="Z646" s="18" t="n">
        <f aca="false">IF(D646="","",MAX(0,IF(P646&gt;=0,P646,IF(K646+P646&gt;=0,0,P646+K646))))</f>
        <v>149.453443220595</v>
      </c>
      <c r="AA646" s="18" t="n">
        <f aca="false">IF(D646="","",IF(H646&lt;=$B$16,1,IF(H646&gt;=$B$17,$B$21,MATCH(H646,Aux_CAV!$A$2:$A$121,1))))</f>
        <v>22</v>
      </c>
      <c r="AB646" s="18" t="n">
        <f aca="false">IF(D646="","",IF(L646&lt;=$B$16,1,IF(L646&gt;=$B$17,$B$21,MATCH(L646,Aux_CAV!$A$2:$A$121,1))))</f>
        <v>22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0.69009132349713</v>
      </c>
      <c r="E647" s="16" t="n">
        <f aca="false">IF(D647="","",D647*$B$15)</f>
        <v>1.78871671050456</v>
      </c>
      <c r="F647" s="16" t="n">
        <f aca="false" t="array" ref="F647:F647">IF(D647="","",IFERROR(INDEX(Dados_Evap!$C$2:$N$15,MATCH($B$9,Dados_Evap!$A$2:$A$15,0),C647),0))</f>
        <v>241.8</v>
      </c>
      <c r="G647" s="16" t="n">
        <f aca="false">IF(F647="","",F647/1000)</f>
        <v>0.2418</v>
      </c>
      <c r="H647" s="16" t="n">
        <f aca="false">IF(D647="","",MAX(0,MIN($B$8,IFERROR(LOOKUP(2,1/($U$24:U646&lt;&gt;""),$U$24:U646),$B$11))))</f>
        <v>149.453443220595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14.8695257833454</v>
      </c>
      <c r="J647" s="16" t="n">
        <f aca="false">IF(D647="","",$B$12)</f>
        <v>0.432</v>
      </c>
      <c r="K647" s="16" t="n">
        <f aca="false">IF(J647="","",J647*$B$15)</f>
        <v>1.119744</v>
      </c>
      <c r="L647" s="16" t="n">
        <f aca="false">IF(D647="","",H647+E647-K647-G647*I647)</f>
        <v>146.526964596686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14.6564583405774</v>
      </c>
      <c r="N647" s="16" t="n">
        <f aca="false">IF(D647="","",(I647+M647)/2)</f>
        <v>14.7629920619614</v>
      </c>
      <c r="O647" s="16" t="n">
        <f aca="false">IF(D647="","",G647*N647)</f>
        <v>3.56969148058227</v>
      </c>
      <c r="P647" s="16" t="n">
        <f aca="false">IF(D647="","",H647+E647-K647-O647)</f>
        <v>146.552724450517</v>
      </c>
      <c r="Q647" s="16" t="n">
        <f aca="false">IF(D647="","",IF(P647&gt;=0,K647,MAX(0,K647+P647)))</f>
        <v>1.119744</v>
      </c>
      <c r="R647" s="16" t="n">
        <f aca="false">IF(D647="","",Q647/$B$15)</f>
        <v>0.432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146.552724450517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90.4646447225413</v>
      </c>
      <c r="Z647" s="18" t="n">
        <f aca="false">IF(D647="","",MAX(0,IF(P647&gt;=0,P647,IF(K647+P647&gt;=0,0,P647+K647))))</f>
        <v>146.552724450517</v>
      </c>
      <c r="AA647" s="18" t="n">
        <f aca="false">IF(D647="","",IF(H647&lt;=$B$16,1,IF(H647&gt;=$B$17,$B$21,MATCH(H647,Aux_CAV!$A$2:$A$121,1))))</f>
        <v>22</v>
      </c>
      <c r="AB647" s="18" t="n">
        <f aca="false">IF(D647="","",IF(L647&lt;=$B$16,1,IF(L647&gt;=$B$17,$B$21,MATCH(L647,Aux_CAV!$A$2:$A$121,1))))</f>
        <v>22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0.848392131915072</v>
      </c>
      <c r="E648" s="16" t="n">
        <f aca="false">IF(D648="","",D648*$B$15)</f>
        <v>2.19903240592387</v>
      </c>
      <c r="F648" s="16" t="n">
        <f aca="false" t="array" ref="F648:F648">IF(D648="","",IFERROR(INDEX(Dados_Evap!$C$2:$N$15,MATCH($B$9,Dados_Evap!$A$2:$A$15,0),C648),0))</f>
        <v>189</v>
      </c>
      <c r="G648" s="16" t="n">
        <f aca="false">IF(F648="","",F648/1000)</f>
        <v>0.189</v>
      </c>
      <c r="H648" s="16" t="n">
        <f aca="false">IF(D648="","",MAX(0,MIN($B$8,IFERROR(LOOKUP(2,1/($U$24:U647&lt;&gt;""),$U$24:U647),$B$11))))</f>
        <v>146.552724450517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14.6583338322133</v>
      </c>
      <c r="J648" s="16" t="n">
        <f aca="false">IF(D648="","",$B$12)</f>
        <v>0.432</v>
      </c>
      <c r="K648" s="16" t="n">
        <f aca="false">IF(J648="","",J648*$B$15)</f>
        <v>1.119744</v>
      </c>
      <c r="L648" s="16" t="n">
        <f aca="false">IF(D648="","",H648+E648-K648-G648*I648)</f>
        <v>144.861587762152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14.5352076399981</v>
      </c>
      <c r="N648" s="16" t="n">
        <f aca="false">IF(D648="","",(I648+M648)/2)</f>
        <v>14.5967707361057</v>
      </c>
      <c r="O648" s="16" t="n">
        <f aca="false">IF(D648="","",G648*N648)</f>
        <v>2.75878966912398</v>
      </c>
      <c r="P648" s="16" t="n">
        <f aca="false">IF(D648="","",H648+E648-K648-O648)</f>
        <v>144.873223187317</v>
      </c>
      <c r="Q648" s="16" t="n">
        <f aca="false">IF(D648="","",IF(P648&gt;=0,K648,MAX(0,K648+P648)))</f>
        <v>1.119744</v>
      </c>
      <c r="R648" s="16" t="n">
        <f aca="false">IF(D648="","",Q648/$B$15)</f>
        <v>0.432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144.873223187317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89.4279155477264</v>
      </c>
      <c r="Z648" s="18" t="n">
        <f aca="false">IF(D648="","",MAX(0,IF(P648&gt;=0,P648,IF(K648+P648&gt;=0,0,P648+K648))))</f>
        <v>144.873223187317</v>
      </c>
      <c r="AA648" s="18" t="n">
        <f aca="false">IF(D648="","",IF(H648&lt;=$B$16,1,IF(H648&gt;=$B$17,$B$21,MATCH(H648,Aux_CAV!$A$2:$A$121,1))))</f>
        <v>22</v>
      </c>
      <c r="AB648" s="18" t="n">
        <f aca="false">IF(D648="","",IF(L648&lt;=$B$16,1,IF(L648&gt;=$B$17,$B$21,MATCH(L648,Aux_CAV!$A$2:$A$121,1))))</f>
        <v>22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1.31546562319331</v>
      </c>
      <c r="E649" s="16" t="n">
        <f aca="false">IF(D649="","",D649*$B$15)</f>
        <v>3.40968689531706</v>
      </c>
      <c r="F649" s="16" t="n">
        <f aca="false" t="array" ref="F649:F649">IF(D649="","",IFERROR(INDEX(Dados_Evap!$C$2:$N$15,MATCH($B$9,Dados_Evap!$A$2:$A$15,0),C649),0))</f>
        <v>136.9</v>
      </c>
      <c r="G649" s="16" t="n">
        <f aca="false">IF(F649="","",F649/1000)</f>
        <v>0.1369</v>
      </c>
      <c r="H649" s="16" t="n">
        <f aca="false">IF(D649="","",MAX(0,MIN($B$8,IFERROR(LOOKUP(2,1/($U$24:U648&lt;&gt;""),$U$24:U648),$B$11))))</f>
        <v>144.873223187317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14.536054777669</v>
      </c>
      <c r="J649" s="16" t="n">
        <f aca="false">IF(D649="","",$B$12)</f>
        <v>0.432</v>
      </c>
      <c r="K649" s="16" t="n">
        <f aca="false">IF(J649="","",J649*$B$15)</f>
        <v>1.119744</v>
      </c>
      <c r="L649" s="16" t="n">
        <f aca="false">IF(D649="","",H649+E649-K649-G649*I649)</f>
        <v>145.173180183571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14.5578936763406</v>
      </c>
      <c r="N649" s="16" t="n">
        <f aca="false">IF(D649="","",(I649+M649)/2)</f>
        <v>14.5469742270048</v>
      </c>
      <c r="O649" s="16" t="n">
        <f aca="false">IF(D649="","",G649*N649)</f>
        <v>1.99148077167696</v>
      </c>
      <c r="P649" s="16" t="n">
        <f aca="false">IF(D649="","",H649+E649-K649-O649)</f>
        <v>145.171685310957</v>
      </c>
      <c r="Q649" s="16" t="n">
        <f aca="false">IF(D649="","",IF(P649&gt;=0,K649,MAX(0,K649+P649)))</f>
        <v>1.119744</v>
      </c>
      <c r="R649" s="16" t="n">
        <f aca="false">IF(D649="","",Q649/$B$15)</f>
        <v>0.432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145.171685310957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89.6121514265166</v>
      </c>
      <c r="Z649" s="18" t="n">
        <f aca="false">IF(D649="","",MAX(0,IF(P649&gt;=0,P649,IF(K649+P649&gt;=0,0,P649+K649))))</f>
        <v>145.171685310957</v>
      </c>
      <c r="AA649" s="18" t="n">
        <f aca="false">IF(D649="","",IF(H649&lt;=$B$16,1,IF(H649&gt;=$B$17,$B$21,MATCH(H649,Aux_CAV!$A$2:$A$121,1))))</f>
        <v>22</v>
      </c>
      <c r="AB649" s="18" t="n">
        <f aca="false">IF(D649="","",IF(L649&lt;=$B$16,1,IF(L649&gt;=$B$17,$B$21,MATCH(L649,Aux_CAV!$A$2:$A$121,1))))</f>
        <v>22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8.65430037856641</v>
      </c>
      <c r="E650" s="16" t="n">
        <f aca="false">IF(D650="","",D650*$B$15)</f>
        <v>22.4319465812441</v>
      </c>
      <c r="F650" s="16" t="n">
        <f aca="false" t="array" ref="F650:F650">IF(D650="","",IFERROR(INDEX(Dados_Evap!$C$2:$N$15,MATCH($B$9,Dados_Evap!$A$2:$A$15,0),C650),0))</f>
        <v>102.9</v>
      </c>
      <c r="G650" s="16" t="n">
        <f aca="false">IF(F650="","",F650/1000)</f>
        <v>0.1029</v>
      </c>
      <c r="H650" s="16" t="n">
        <f aca="false">IF(D650="","",MAX(0,MIN($B$8,IFERROR(LOOKUP(2,1/($U$24:U649&lt;&gt;""),$U$24:U649),$B$11))))</f>
        <v>145.171685310957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14.5577848395008</v>
      </c>
      <c r="J650" s="16" t="n">
        <f aca="false">IF(D650="","",$B$12)</f>
        <v>0.432</v>
      </c>
      <c r="K650" s="16" t="n">
        <f aca="false">IF(J650="","",J650*$B$15)</f>
        <v>1.119744</v>
      </c>
      <c r="L650" s="16" t="n">
        <f aca="false">IF(D650="","",H650+E650-K650-G650*I650)</f>
        <v>164.985891832216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15.9615847686316</v>
      </c>
      <c r="N650" s="16" t="n">
        <f aca="false">IF(D650="","",(I650+M650)/2)</f>
        <v>15.2596848040662</v>
      </c>
      <c r="O650" s="16" t="n">
        <f aca="false">IF(D650="","",G650*N650)</f>
        <v>1.57022156633841</v>
      </c>
      <c r="P650" s="16" t="n">
        <f aca="false">IF(D650="","",H650+E650-K650-O650)</f>
        <v>164.913666325863</v>
      </c>
      <c r="Q650" s="16" t="n">
        <f aca="false">IF(D650="","",IF(P650&gt;=0,K650,MAX(0,K650+P650)))</f>
        <v>1.119744</v>
      </c>
      <c r="R650" s="16" t="n">
        <f aca="false">IF(D650="","",Q650/$B$15)</f>
        <v>0.432</v>
      </c>
      <c r="S650" s="16" t="n">
        <f aca="false">IF(D650="","",MAX(0,J650-R650))</f>
        <v>0</v>
      </c>
      <c r="T650" s="16" t="n">
        <f aca="false">IF(D650="","",MAX(0,Z650-$B$8))</f>
        <v>2.91366632586266</v>
      </c>
      <c r="U650" s="16" t="n">
        <f aca="false">IF(D650="","",MAX(0,MIN($B$8,Z650)))</f>
        <v>162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100</v>
      </c>
      <c r="Z650" s="18" t="n">
        <f aca="false">IF(D650="","",MAX(0,IF(P650&gt;=0,P650,IF(K650+P650&gt;=0,0,P650+K650))))</f>
        <v>164.913666325863</v>
      </c>
      <c r="AA650" s="18" t="n">
        <f aca="false">IF(D650="","",IF(H650&lt;=$B$16,1,IF(H650&gt;=$B$17,$B$21,MATCH(H650,Aux_CAV!$A$2:$A$121,1))))</f>
        <v>22</v>
      </c>
      <c r="AB650" s="18" t="n">
        <f aca="false">IF(D650="","",IF(L650&lt;=$B$16,1,IF(L650&gt;=$B$17,$B$21,MATCH(L650,Aux_CAV!$A$2:$A$121,1))))</f>
        <v>23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7.35819499303744</v>
      </c>
      <c r="E651" s="16" t="n">
        <f aca="false">IF(D651="","",D651*$B$15)</f>
        <v>19.072441421953</v>
      </c>
      <c r="F651" s="16" t="n">
        <f aca="false" t="array" ref="F651:F651">IF(D651="","",IFERROR(INDEX(Dados_Evap!$C$2:$N$15,MATCH($B$9,Dados_Evap!$A$2:$A$15,0),C651),0))</f>
        <v>81.8</v>
      </c>
      <c r="G651" s="16" t="n">
        <f aca="false">IF(F651="","",F651/1000)</f>
        <v>0.0818</v>
      </c>
      <c r="H651" s="16" t="n">
        <f aca="false">IF(D651="","",MAX(0,MIN($B$8,IFERROR(LOOKUP(2,1/($U$24:U650&lt;&gt;""),$U$24:U650),$B$11))))</f>
        <v>162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15.783</v>
      </c>
      <c r="J651" s="16" t="n">
        <f aca="false">IF(D651="","",$B$12)</f>
        <v>0.432</v>
      </c>
      <c r="K651" s="16" t="n">
        <f aca="false">IF(J651="","",J651*$B$15)</f>
        <v>1.119744</v>
      </c>
      <c r="L651" s="16" t="n">
        <f aca="false">IF(D651="","",H651+E651-K651-G651*I651)</f>
        <v>178.661648021953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16.7795252340749</v>
      </c>
      <c r="N651" s="16" t="n">
        <f aca="false">IF(D651="","",(I651+M651)/2)</f>
        <v>16.2812626170375</v>
      </c>
      <c r="O651" s="16" t="n">
        <f aca="false">IF(D651="","",G651*N651)</f>
        <v>1.33180728207366</v>
      </c>
      <c r="P651" s="16" t="n">
        <f aca="false">IF(D651="","",H651+E651-K651-O651)</f>
        <v>178.620890139879</v>
      </c>
      <c r="Q651" s="16" t="n">
        <f aca="false">IF(D651="","",IF(P651&gt;=0,K651,MAX(0,K651+P651)))</f>
        <v>1.119744</v>
      </c>
      <c r="R651" s="16" t="n">
        <f aca="false">IF(D651="","",Q651/$B$15)</f>
        <v>0.432</v>
      </c>
      <c r="S651" s="16" t="n">
        <f aca="false">IF(D651="","",MAX(0,J651-R651))</f>
        <v>0</v>
      </c>
      <c r="T651" s="16" t="n">
        <f aca="false">IF(D651="","",MAX(0,Z651-$B$8))</f>
        <v>16.6208901398794</v>
      </c>
      <c r="U651" s="16" t="n">
        <f aca="false">IF(D651="","",MAX(0,MIN($B$8,Z651)))</f>
        <v>162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100</v>
      </c>
      <c r="Z651" s="18" t="n">
        <f aca="false">IF(D651="","",MAX(0,IF(P651&gt;=0,P651,IF(K651+P651&gt;=0,0,P651+K651))))</f>
        <v>178.620890139879</v>
      </c>
      <c r="AA651" s="18" t="n">
        <f aca="false">IF(D651="","",IF(H651&lt;=$B$16,1,IF(H651&gt;=$B$17,$B$21,MATCH(H651,Aux_CAV!$A$2:$A$121,1))))</f>
        <v>23</v>
      </c>
      <c r="AB651" s="18" t="n">
        <f aca="false">IF(D651="","",IF(L651&lt;=$B$16,1,IF(L651&gt;=$B$17,$B$21,MATCH(L651,Aux_CAV!$A$2:$A$121,1))))</f>
        <v>23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6.45489683235076</v>
      </c>
      <c r="E652" s="16" t="n">
        <f aca="false">IF(D652="","",D652*$B$15)</f>
        <v>16.7310925894532</v>
      </c>
      <c r="F652" s="16" t="n">
        <f aca="false" t="array" ref="F652:F652">IF(D652="","",IFERROR(INDEX(Dados_Evap!$C$2:$N$15,MATCH($B$9,Dados_Evap!$A$2:$A$15,0),C652),0))</f>
        <v>83.6</v>
      </c>
      <c r="G652" s="16" t="n">
        <f aca="false">IF(F652="","",F652/1000)</f>
        <v>0.0836</v>
      </c>
      <c r="H652" s="16" t="n">
        <f aca="false">IF(D652="","",MAX(0,MIN($B$8,IFERROR(LOOKUP(2,1/($U$24:U651&lt;&gt;""),$U$24:U651),$B$11))))</f>
        <v>162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15.783</v>
      </c>
      <c r="J652" s="16" t="n">
        <f aca="false">IF(D652="","",$B$12)</f>
        <v>0.432</v>
      </c>
      <c r="K652" s="16" t="n">
        <f aca="false">IF(J652="","",J652*$B$15)</f>
        <v>1.119744</v>
      </c>
      <c r="L652" s="16" t="n">
        <f aca="false">IF(D652="","",H652+E652-K652-G652*I652)</f>
        <v>176.291889789453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16.6377911226454</v>
      </c>
      <c r="N652" s="16" t="n">
        <f aca="false">IF(D652="","",(I652+M652)/2)</f>
        <v>16.2103955613227</v>
      </c>
      <c r="O652" s="16" t="n">
        <f aca="false">IF(D652="","",G652*N652)</f>
        <v>1.35518906892658</v>
      </c>
      <c r="P652" s="16" t="n">
        <f aca="false">IF(D652="","",H652+E652-K652-O652)</f>
        <v>176.256159520527</v>
      </c>
      <c r="Q652" s="16" t="n">
        <f aca="false">IF(D652="","",IF(P652&gt;=0,K652,MAX(0,K652+P652)))</f>
        <v>1.119744</v>
      </c>
      <c r="R652" s="16" t="n">
        <f aca="false">IF(D652="","",Q652/$B$15)</f>
        <v>0.432</v>
      </c>
      <c r="S652" s="16" t="n">
        <f aca="false">IF(D652="","",MAX(0,J652-R652))</f>
        <v>0</v>
      </c>
      <c r="T652" s="16" t="n">
        <f aca="false">IF(D652="","",MAX(0,Z652-$B$8))</f>
        <v>14.2561595205266</v>
      </c>
      <c r="U652" s="16" t="n">
        <f aca="false">IF(D652="","",MAX(0,MIN($B$8,Z652)))</f>
        <v>162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100</v>
      </c>
      <c r="Z652" s="18" t="n">
        <f aca="false">IF(D652="","",MAX(0,IF(P652&gt;=0,P652,IF(K652+P652&gt;=0,0,P652+K652))))</f>
        <v>176.256159520527</v>
      </c>
      <c r="AA652" s="18" t="n">
        <f aca="false">IF(D652="","",IF(H652&lt;=$B$16,1,IF(H652&gt;=$B$17,$B$21,MATCH(H652,Aux_CAV!$A$2:$A$121,1))))</f>
        <v>23</v>
      </c>
      <c r="AB652" s="18" t="n">
        <f aca="false">IF(D652="","",IF(L652&lt;=$B$16,1,IF(L652&gt;=$B$17,$B$21,MATCH(L652,Aux_CAV!$A$2:$A$121,1))))</f>
        <v>23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1.93740429986268</v>
      </c>
      <c r="E653" s="16" t="n">
        <f aca="false">IF(D653="","",D653*$B$15)</f>
        <v>5.02175194524407</v>
      </c>
      <c r="F653" s="16" t="n">
        <f aca="false" t="array" ref="F653:F653">IF(D653="","",IFERROR(INDEX(Dados_Evap!$C$2:$N$15,MATCH($B$9,Dados_Evap!$A$2:$A$15,0),C653),0))</f>
        <v>108.2</v>
      </c>
      <c r="G653" s="16" t="n">
        <f aca="false">IF(F653="","",F653/1000)</f>
        <v>0.1082</v>
      </c>
      <c r="H653" s="16" t="n">
        <f aca="false">IF(D653="","",MAX(0,MIN($B$8,IFERROR(LOOKUP(2,1/($U$24:U652&lt;&gt;""),$U$24:U652),$B$11))))</f>
        <v>162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15.783</v>
      </c>
      <c r="J653" s="16" t="n">
        <f aca="false">IF(D653="","",$B$12)</f>
        <v>0.432</v>
      </c>
      <c r="K653" s="16" t="n">
        <f aca="false">IF(J653="","",J653*$B$15)</f>
        <v>1.119744</v>
      </c>
      <c r="L653" s="16" t="n">
        <f aca="false">IF(D653="","",H653+E653-K653-G653*I653)</f>
        <v>164.194287345244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15.9142392812203</v>
      </c>
      <c r="N653" s="16" t="n">
        <f aca="false">IF(D653="","",(I653+M653)/2)</f>
        <v>15.8486196406102</v>
      </c>
      <c r="O653" s="16" t="n">
        <f aca="false">IF(D653="","",G653*N653)</f>
        <v>1.71482064511402</v>
      </c>
      <c r="P653" s="16" t="n">
        <f aca="false">IF(D653="","",H653+E653-K653-O653)</f>
        <v>164.18718730013</v>
      </c>
      <c r="Q653" s="16" t="n">
        <f aca="false">IF(D653="","",IF(P653&gt;=0,K653,MAX(0,K653+P653)))</f>
        <v>1.119744</v>
      </c>
      <c r="R653" s="16" t="n">
        <f aca="false">IF(D653="","",Q653/$B$15)</f>
        <v>0.432</v>
      </c>
      <c r="S653" s="16" t="n">
        <f aca="false">IF(D653="","",MAX(0,J653-R653))</f>
        <v>0</v>
      </c>
      <c r="T653" s="16" t="n">
        <f aca="false">IF(D653="","",MAX(0,Z653-$B$8))</f>
        <v>2.18718730013003</v>
      </c>
      <c r="U653" s="16" t="n">
        <f aca="false">IF(D653="","",MAX(0,MIN($B$8,Z653)))</f>
        <v>162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100</v>
      </c>
      <c r="Z653" s="18" t="n">
        <f aca="false">IF(D653="","",MAX(0,IF(P653&gt;=0,P653,IF(K653+P653&gt;=0,0,P653+K653))))</f>
        <v>164.18718730013</v>
      </c>
      <c r="AA653" s="18" t="n">
        <f aca="false">IF(D653="","",IF(H653&lt;=$B$16,1,IF(H653&gt;=$B$17,$B$21,MATCH(H653,Aux_CAV!$A$2:$A$121,1))))</f>
        <v>23</v>
      </c>
      <c r="AB653" s="18" t="n">
        <f aca="false">IF(D653="","",IF(L653&lt;=$B$16,1,IF(L653&gt;=$B$17,$B$21,MATCH(L653,Aux_CAV!$A$2:$A$121,1))))</f>
        <v>23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1.28708254297943</v>
      </c>
      <c r="E654" s="16" t="n">
        <f aca="false">IF(D654="","",D654*$B$15)</f>
        <v>3.33611795140268</v>
      </c>
      <c r="F654" s="16" t="n">
        <f aca="false" t="array" ref="F654:F654">IF(D654="","",IFERROR(INDEX(Dados_Evap!$C$2:$N$15,MATCH($B$9,Dados_Evap!$A$2:$A$15,0),C654),0))</f>
        <v>149</v>
      </c>
      <c r="G654" s="16" t="n">
        <f aca="false">IF(F654="","",F654/1000)</f>
        <v>0.149</v>
      </c>
      <c r="H654" s="16" t="n">
        <f aca="false">IF(D654="","",MAX(0,MIN($B$8,IFERROR(LOOKUP(2,1/($U$24:U653&lt;&gt;""),$U$24:U653),$B$11))))</f>
        <v>162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15.783</v>
      </c>
      <c r="J654" s="16" t="n">
        <f aca="false">IF(D654="","",$B$12)</f>
        <v>0.432</v>
      </c>
      <c r="K654" s="16" t="n">
        <f aca="false">IF(J654="","",J654*$B$15)</f>
        <v>1.119744</v>
      </c>
      <c r="L654" s="16" t="n">
        <f aca="false">IF(D654="","",H654+E654-K654-G654*I654)</f>
        <v>161.864706951403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15.7731497507436</v>
      </c>
      <c r="N654" s="16" t="n">
        <f aca="false">IF(D654="","",(I654+M654)/2)</f>
        <v>15.7780748753718</v>
      </c>
      <c r="O654" s="16" t="n">
        <f aca="false">IF(D654="","",G654*N654)</f>
        <v>2.3509331564304</v>
      </c>
      <c r="P654" s="16" t="n">
        <f aca="false">IF(D654="","",H654+E654-K654-O654)</f>
        <v>161.865440794972</v>
      </c>
      <c r="Q654" s="16" t="n">
        <f aca="false">IF(D654="","",IF(P654&gt;=0,K654,MAX(0,K654+P654)))</f>
        <v>1.119744</v>
      </c>
      <c r="R654" s="16" t="n">
        <f aca="false">IF(D654="","",Q654/$B$15)</f>
        <v>0.432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161.865440794972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99.9169387623286</v>
      </c>
      <c r="Z654" s="18" t="n">
        <f aca="false">IF(D654="","",MAX(0,IF(P654&gt;=0,P654,IF(K654+P654&gt;=0,0,P654+K654))))</f>
        <v>161.865440794972</v>
      </c>
      <c r="AA654" s="18" t="n">
        <f aca="false">IF(D654="","",IF(H654&lt;=$B$16,1,IF(H654&gt;=$B$17,$B$21,MATCH(H654,Aux_CAV!$A$2:$A$121,1))))</f>
        <v>23</v>
      </c>
      <c r="AB654" s="18" t="n">
        <f aca="false">IF(D654="","",IF(L654&lt;=$B$16,1,IF(L654&gt;=$B$17,$B$21,MATCH(L654,Aux_CAV!$A$2:$A$121,1))))</f>
        <v>22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0.630685936871839</v>
      </c>
      <c r="E655" s="16" t="n">
        <f aca="false">IF(D655="","",D655*$B$15)</f>
        <v>1.63473794837181</v>
      </c>
      <c r="F655" s="16" t="n">
        <f aca="false" t="array" ref="F655:F655">IF(D655="","",IFERROR(INDEX(Dados_Evap!$C$2:$N$15,MATCH($B$9,Dados_Evap!$A$2:$A$15,0),C655),0))</f>
        <v>206.8</v>
      </c>
      <c r="G655" s="16" t="n">
        <f aca="false">IF(F655="","",F655/1000)</f>
        <v>0.2068</v>
      </c>
      <c r="H655" s="16" t="n">
        <f aca="false">IF(D655="","",MAX(0,MIN($B$8,IFERROR(LOOKUP(2,1/($U$24:U654&lt;&gt;""),$U$24:U654),$B$11))))</f>
        <v>161.865440794972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15.7732031795203</v>
      </c>
      <c r="J655" s="16" t="n">
        <f aca="false">IF(D655="","",$B$12)</f>
        <v>0.432</v>
      </c>
      <c r="K655" s="16" t="n">
        <f aca="false">IF(J655="","",J655*$B$15)</f>
        <v>1.119744</v>
      </c>
      <c r="L655" s="16" t="n">
        <f aca="false">IF(D655="","",H655+E655-K655-G655*I655)</f>
        <v>159.118536325819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15.5732099501186</v>
      </c>
      <c r="N655" s="16" t="n">
        <f aca="false">IF(D655="","",(I655+M655)/2)</f>
        <v>15.6732065648195</v>
      </c>
      <c r="O655" s="16" t="n">
        <f aca="false">IF(D655="","",G655*N655)</f>
        <v>3.24121911760466</v>
      </c>
      <c r="P655" s="16" t="n">
        <f aca="false">IF(D655="","",H655+E655-K655-O655)</f>
        <v>159.139215625739</v>
      </c>
      <c r="Q655" s="16" t="n">
        <f aca="false">IF(D655="","",IF(P655&gt;=0,K655,MAX(0,K655+P655)))</f>
        <v>1.119744</v>
      </c>
      <c r="R655" s="16" t="n">
        <f aca="false">IF(D655="","",Q655/$B$15)</f>
        <v>0.432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159.139215625739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98.2340837195923</v>
      </c>
      <c r="Z655" s="18" t="n">
        <f aca="false">IF(D655="","",MAX(0,IF(P655&gt;=0,P655,IF(K655+P655&gt;=0,0,P655+K655))))</f>
        <v>159.139215625739</v>
      </c>
      <c r="AA655" s="18" t="n">
        <f aca="false">IF(D655="","",IF(H655&lt;=$B$16,1,IF(H655&gt;=$B$17,$B$21,MATCH(H655,Aux_CAV!$A$2:$A$121,1))))</f>
        <v>22</v>
      </c>
      <c r="AB655" s="18" t="n">
        <f aca="false">IF(D655="","",IF(L655&lt;=$B$16,1,IF(L655&gt;=$B$17,$B$21,MATCH(L655,Aux_CAV!$A$2:$A$121,1))))</f>
        <v>22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0.724137182350556</v>
      </c>
      <c r="E656" s="16" t="n">
        <f aca="false">IF(D656="","",D656*$B$15)</f>
        <v>1.87696357665264</v>
      </c>
      <c r="F656" s="16" t="n">
        <f aca="false" t="array" ref="F656:F656">IF(D656="","",IFERROR(INDEX(Dados_Evap!$C$2:$N$15,MATCH($B$9,Dados_Evap!$A$2:$A$15,0),C656),0))</f>
        <v>245.9</v>
      </c>
      <c r="G656" s="16" t="n">
        <f aca="false">IF(F656="","",F656/1000)</f>
        <v>0.2459</v>
      </c>
      <c r="H656" s="16" t="n">
        <f aca="false">IF(D656="","",MAX(0,MIN($B$8,IFERROR(LOOKUP(2,1/($U$24:U655&lt;&gt;""),$U$24:U655),$B$11))))</f>
        <v>159.139215625739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15.5747155430576</v>
      </c>
      <c r="J656" s="16" t="n">
        <f aca="false">IF(D656="","",$B$12)</f>
        <v>0.432</v>
      </c>
      <c r="K656" s="16" t="n">
        <f aca="false">IF(J656="","",J656*$B$15)</f>
        <v>1.119744</v>
      </c>
      <c r="L656" s="16" t="n">
        <f aca="false">IF(D656="","",H656+E656-K656-G656*I656)</f>
        <v>156.066612650354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15.351009258905</v>
      </c>
      <c r="N656" s="16" t="n">
        <f aca="false">IF(D656="","",(I656+M656)/2)</f>
        <v>15.4628624009813</v>
      </c>
      <c r="O656" s="16" t="n">
        <f aca="false">IF(D656="","",G656*N656)</f>
        <v>3.8023178644013</v>
      </c>
      <c r="P656" s="16" t="n">
        <f aca="false">IF(D656="","",H656+E656-K656-O656)</f>
        <v>156.094117337991</v>
      </c>
      <c r="Q656" s="16" t="n">
        <f aca="false">IF(D656="","",IF(P656&gt;=0,K656,MAX(0,K656+P656)))</f>
        <v>1.119744</v>
      </c>
      <c r="R656" s="16" t="n">
        <f aca="false">IF(D656="","",Q656/$B$15)</f>
        <v>0.432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156.094117337991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96.3543934185128</v>
      </c>
      <c r="Z656" s="18" t="n">
        <f aca="false">IF(D656="","",MAX(0,IF(P656&gt;=0,P656,IF(K656+P656&gt;=0,0,P656+K656))))</f>
        <v>156.094117337991</v>
      </c>
      <c r="AA656" s="18" t="n">
        <f aca="false">IF(D656="","",IF(H656&lt;=$B$16,1,IF(H656&gt;=$B$17,$B$21,MATCH(H656,Aux_CAV!$A$2:$A$121,1))))</f>
        <v>22</v>
      </c>
      <c r="AB656" s="18" t="n">
        <f aca="false">IF(D656="","",IF(L656&lt;=$B$16,1,IF(L656&gt;=$B$17,$B$21,MATCH(L656,Aux_CAV!$A$2:$A$121,1))))</f>
        <v>22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0.491730418169302</v>
      </c>
      <c r="E657" s="16" t="n">
        <f aca="false">IF(D657="","",D657*$B$15)</f>
        <v>1.27456524389483</v>
      </c>
      <c r="F657" s="16" t="n">
        <f aca="false" t="array" ref="F657:F657">IF(D657="","",IFERROR(INDEX(Dados_Evap!$C$2:$N$15,MATCH($B$9,Dados_Evap!$A$2:$A$15,0),C657),0))</f>
        <v>282.3</v>
      </c>
      <c r="G657" s="16" t="n">
        <f aca="false">IF(F657="","",F657/1000)</f>
        <v>0.2823</v>
      </c>
      <c r="H657" s="16" t="n">
        <f aca="false">IF(D657="","",MAX(0,MIN($B$8,IFERROR(LOOKUP(2,1/($U$24:U656&lt;&gt;""),$U$24:U656),$B$11))))</f>
        <v>156.094117337991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15.3530117862465</v>
      </c>
      <c r="J657" s="16" t="n">
        <f aca="false">IF(D657="","",$B$12)</f>
        <v>0.432</v>
      </c>
      <c r="K657" s="16" t="n">
        <f aca="false">IF(J657="","",J657*$B$15)</f>
        <v>1.119744</v>
      </c>
      <c r="L657" s="16" t="n">
        <f aca="false">IF(D657="","",H657+E657-K657-G657*I657)</f>
        <v>151.914783354628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15.0487279971789</v>
      </c>
      <c r="N657" s="16" t="n">
        <f aca="false">IF(D657="","",(I657+M657)/2)</f>
        <v>15.2008698917127</v>
      </c>
      <c r="O657" s="16" t="n">
        <f aca="false">IF(D657="","",G657*N657)</f>
        <v>4.29120557043049</v>
      </c>
      <c r="P657" s="16" t="n">
        <f aca="false">IF(D657="","",H657+E657-K657-O657)</f>
        <v>151.957733011455</v>
      </c>
      <c r="Q657" s="16" t="n">
        <f aca="false">IF(D657="","",IF(P657&gt;=0,K657,MAX(0,K657+P657)))</f>
        <v>1.119744</v>
      </c>
      <c r="R657" s="16" t="n">
        <f aca="false">IF(D657="","",Q657/$B$15)</f>
        <v>0.432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151.957733011455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93.8010697601575</v>
      </c>
      <c r="Z657" s="18" t="n">
        <f aca="false">IF(D657="","",MAX(0,IF(P657&gt;=0,P657,IF(K657+P657&gt;=0,0,P657+K657))))</f>
        <v>151.957733011455</v>
      </c>
      <c r="AA657" s="18" t="n">
        <f aca="false">IF(D657="","",IF(H657&lt;=$B$16,1,IF(H657&gt;=$B$17,$B$21,MATCH(H657,Aux_CAV!$A$2:$A$121,1))))</f>
        <v>22</v>
      </c>
      <c r="AB657" s="18" t="n">
        <f aca="false">IF(D657="","",IF(L657&lt;=$B$16,1,IF(L657&gt;=$B$17,$B$21,MATCH(L657,Aux_CAV!$A$2:$A$121,1))))</f>
        <v>22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0.62253631768771</v>
      </c>
      <c r="E658" s="16" t="n">
        <f aca="false">IF(D658="","",D658*$B$15)</f>
        <v>1.61361413544654</v>
      </c>
      <c r="F658" s="16" t="n">
        <f aca="false" t="array" ref="F658:F658">IF(D658="","",IFERROR(INDEX(Dados_Evap!$C$2:$N$15,MATCH($B$9,Dados_Evap!$A$2:$A$15,0),C658),0))</f>
        <v>241.3</v>
      </c>
      <c r="G658" s="16" t="n">
        <f aca="false">IF(F658="","",F658/1000)</f>
        <v>0.2413</v>
      </c>
      <c r="H658" s="16" t="n">
        <f aca="false">IF(D658="","",MAX(0,MIN($B$8,IFERROR(LOOKUP(2,1/($U$24:U657&lt;&gt;""),$U$24:U657),$B$11))))</f>
        <v>151.957733011455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15.0518550227697</v>
      </c>
      <c r="J658" s="16" t="n">
        <f aca="false">IF(D658="","",$B$12)</f>
        <v>0.432</v>
      </c>
      <c r="K658" s="16" t="n">
        <f aca="false">IF(J658="","",J658*$B$15)</f>
        <v>1.119744</v>
      </c>
      <c r="L658" s="16" t="n">
        <f aca="false">IF(D658="","",H658+E658-K658-G658*I658)</f>
        <v>148.819590529907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14.8233770191641</v>
      </c>
      <c r="N658" s="16" t="n">
        <f aca="false">IF(D658="","",(I658+M658)/2)</f>
        <v>14.9376160209669</v>
      </c>
      <c r="O658" s="16" t="n">
        <f aca="false">IF(D658="","",G658*N658)</f>
        <v>3.60444674585931</v>
      </c>
      <c r="P658" s="16" t="n">
        <f aca="false">IF(D658="","",H658+E658-K658-O658)</f>
        <v>148.847156401042</v>
      </c>
      <c r="Q658" s="16" t="n">
        <f aca="false">IF(D658="","",IF(P658&gt;=0,K658,MAX(0,K658+P658)))</f>
        <v>1.119744</v>
      </c>
      <c r="R658" s="16" t="n">
        <f aca="false">IF(D658="","",Q658/$B$15)</f>
        <v>0.432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148.847156401042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91.8809607413842</v>
      </c>
      <c r="Z658" s="18" t="n">
        <f aca="false">IF(D658="","",MAX(0,IF(P658&gt;=0,P658,IF(K658+P658&gt;=0,0,P658+K658))))</f>
        <v>148.847156401042</v>
      </c>
      <c r="AA658" s="18" t="n">
        <f aca="false">IF(D658="","",IF(H658&lt;=$B$16,1,IF(H658&gt;=$B$17,$B$21,MATCH(H658,Aux_CAV!$A$2:$A$121,1))))</f>
        <v>22</v>
      </c>
      <c r="AB658" s="18" t="n">
        <f aca="false">IF(D658="","",IF(L658&lt;=$B$16,1,IF(L658&gt;=$B$17,$B$21,MATCH(L658,Aux_CAV!$A$2:$A$121,1))))</f>
        <v>22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0.656717934001516</v>
      </c>
      <c r="E659" s="16" t="n">
        <f aca="false">IF(D659="","",D659*$B$15)</f>
        <v>1.70221288493193</v>
      </c>
      <c r="F659" s="16" t="n">
        <f aca="false" t="array" ref="F659:F659">IF(D659="","",IFERROR(INDEX(Dados_Evap!$C$2:$N$15,MATCH($B$9,Dados_Evap!$A$2:$A$15,0),C659),0))</f>
        <v>241.8</v>
      </c>
      <c r="G659" s="16" t="n">
        <f aca="false">IF(F659="","",F659/1000)</f>
        <v>0.2418</v>
      </c>
      <c r="H659" s="16" t="n">
        <f aca="false">IF(D659="","",MAX(0,MIN($B$8,IFERROR(LOOKUP(2,1/($U$24:U658&lt;&gt;""),$U$24:U658),$B$11))))</f>
        <v>148.847156401042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14.8253840010783</v>
      </c>
      <c r="J659" s="16" t="n">
        <f aca="false">IF(D659="","",$B$12)</f>
        <v>0.432</v>
      </c>
      <c r="K659" s="16" t="n">
        <f aca="false">IF(J659="","",J659*$B$15)</f>
        <v>1.119744</v>
      </c>
      <c r="L659" s="16" t="n">
        <f aca="false">IF(D659="","",H659+E659-K659-G659*I659)</f>
        <v>145.844847434514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14.6067955963411</v>
      </c>
      <c r="N659" s="16" t="n">
        <f aca="false">IF(D659="","",(I659+M659)/2)</f>
        <v>14.7160897987097</v>
      </c>
      <c r="O659" s="16" t="n">
        <f aca="false">IF(D659="","",G659*N659)</f>
        <v>3.558350513328</v>
      </c>
      <c r="P659" s="16" t="n">
        <f aca="false">IF(D659="","",H659+E659-K659-O659)</f>
        <v>145.871274772646</v>
      </c>
      <c r="Q659" s="16" t="n">
        <f aca="false">IF(D659="","",IF(P659&gt;=0,K659,MAX(0,K659+P659)))</f>
        <v>1.119744</v>
      </c>
      <c r="R659" s="16" t="n">
        <f aca="false">IF(D659="","",Q659/$B$15)</f>
        <v>0.432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145.871274772646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90.0439967732385</v>
      </c>
      <c r="Z659" s="18" t="n">
        <f aca="false">IF(D659="","",MAX(0,IF(P659&gt;=0,P659,IF(K659+P659&gt;=0,0,P659+K659))))</f>
        <v>145.871274772646</v>
      </c>
      <c r="AA659" s="18" t="n">
        <f aca="false">IF(D659="","",IF(H659&lt;=$B$16,1,IF(H659&gt;=$B$17,$B$21,MATCH(H659,Aux_CAV!$A$2:$A$121,1))))</f>
        <v>22</v>
      </c>
      <c r="AB659" s="18" t="n">
        <f aca="false">IF(D659="","",IF(L659&lt;=$B$16,1,IF(L659&gt;=$B$17,$B$21,MATCH(L659,Aux_CAV!$A$2:$A$121,1))))</f>
        <v>22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1.86827705171662</v>
      </c>
      <c r="E660" s="16" t="n">
        <f aca="false">IF(D660="","",D660*$B$15)</f>
        <v>4.84257411804948</v>
      </c>
      <c r="F660" s="16" t="n">
        <f aca="false" t="array" ref="F660:F660">IF(D660="","",IFERROR(INDEX(Dados_Evap!$C$2:$N$15,MATCH($B$9,Dados_Evap!$A$2:$A$15,0),C660),0))</f>
        <v>189</v>
      </c>
      <c r="G660" s="16" t="n">
        <f aca="false">IF(F660="","",F660/1000)</f>
        <v>0.189</v>
      </c>
      <c r="H660" s="16" t="n">
        <f aca="false">IF(D660="","",MAX(0,MIN($B$8,IFERROR(LOOKUP(2,1/($U$24:U659&lt;&gt;""),$U$24:U659),$B$11))))</f>
        <v>145.871274772646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14.60871968535</v>
      </c>
      <c r="J660" s="16" t="n">
        <f aca="false">IF(D660="","",$B$12)</f>
        <v>0.432</v>
      </c>
      <c r="K660" s="16" t="n">
        <f aca="false">IF(J660="","",J660*$B$15)</f>
        <v>1.119744</v>
      </c>
      <c r="L660" s="16" t="n">
        <f aca="false">IF(D660="","",H660+E660-K660-G660*I660)</f>
        <v>146.833056870165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14.6787439289389</v>
      </c>
      <c r="N660" s="16" t="n">
        <f aca="false">IF(D660="","",(I660+M660)/2)</f>
        <v>14.6437318071444</v>
      </c>
      <c r="O660" s="16" t="n">
        <f aca="false">IF(D660="","",G660*N660)</f>
        <v>2.7676653115503</v>
      </c>
      <c r="P660" s="16" t="n">
        <f aca="false">IF(D660="","",H660+E660-K660-O660)</f>
        <v>146.826439579145</v>
      </c>
      <c r="Q660" s="16" t="n">
        <f aca="false">IF(D660="","",IF(P660&gt;=0,K660,MAX(0,K660+P660)))</f>
        <v>1.119744</v>
      </c>
      <c r="R660" s="16" t="n">
        <f aca="false">IF(D660="","",Q660/$B$15)</f>
        <v>0.432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146.826439579145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90.6336046784848</v>
      </c>
      <c r="Z660" s="18" t="n">
        <f aca="false">IF(D660="","",MAX(0,IF(P660&gt;=0,P660,IF(K660+P660&gt;=0,0,P660+K660))))</f>
        <v>146.826439579145</v>
      </c>
      <c r="AA660" s="18" t="n">
        <f aca="false">IF(D660="","",IF(H660&lt;=$B$16,1,IF(H660&gt;=$B$17,$B$21,MATCH(H660,Aux_CAV!$A$2:$A$121,1))))</f>
        <v>22</v>
      </c>
      <c r="AB660" s="18" t="n">
        <f aca="false">IF(D660="","",IF(L660&lt;=$B$16,1,IF(L660&gt;=$B$17,$B$21,MATCH(L660,Aux_CAV!$A$2:$A$121,1))))</f>
        <v>22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3.64277097486604</v>
      </c>
      <c r="E661" s="16" t="n">
        <f aca="false">IF(D661="","",D661*$B$15)</f>
        <v>9.44206236685278</v>
      </c>
      <c r="F661" s="16" t="n">
        <f aca="false" t="array" ref="F661:F661">IF(D661="","",IFERROR(INDEX(Dados_Evap!$C$2:$N$15,MATCH($B$9,Dados_Evap!$A$2:$A$15,0),C661),0))</f>
        <v>136.9</v>
      </c>
      <c r="G661" s="16" t="n">
        <f aca="false">IF(F661="","",F661/1000)</f>
        <v>0.1369</v>
      </c>
      <c r="H661" s="16" t="n">
        <f aca="false">IF(D661="","",MAX(0,MIN($B$8,IFERROR(LOOKUP(2,1/($U$24:U660&lt;&gt;""),$U$24:U660),$B$11))))</f>
        <v>146.826439579145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14.6782621453837</v>
      </c>
      <c r="J661" s="16" t="n">
        <f aca="false">IF(D661="","",$B$12)</f>
        <v>0.432</v>
      </c>
      <c r="K661" s="16" t="n">
        <f aca="false">IF(J661="","",J661*$B$15)</f>
        <v>1.119744</v>
      </c>
      <c r="L661" s="16" t="n">
        <f aca="false">IF(D661="","",H661+E661-K661-G661*I661)</f>
        <v>153.139303858295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15.1378813742792</v>
      </c>
      <c r="N661" s="16" t="n">
        <f aca="false">IF(D661="","",(I661+M661)/2)</f>
        <v>14.9080717598314</v>
      </c>
      <c r="O661" s="16" t="n">
        <f aca="false">IF(D661="","",G661*N661)</f>
        <v>2.04091502392093</v>
      </c>
      <c r="P661" s="16" t="n">
        <f aca="false">IF(D661="","",H661+E661-K661-O661)</f>
        <v>153.107842922077</v>
      </c>
      <c r="Q661" s="16" t="n">
        <f aca="false">IF(D661="","",IF(P661&gt;=0,K661,MAX(0,K661+P661)))</f>
        <v>1.119744</v>
      </c>
      <c r="R661" s="16" t="n">
        <f aca="false">IF(D661="","",Q661/$B$15)</f>
        <v>0.432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153.107842922077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94.5110141494304</v>
      </c>
      <c r="Z661" s="18" t="n">
        <f aca="false">IF(D661="","",MAX(0,IF(P661&gt;=0,P661,IF(K661+P661&gt;=0,0,P661+K661))))</f>
        <v>153.107842922077</v>
      </c>
      <c r="AA661" s="18" t="n">
        <f aca="false">IF(D661="","",IF(H661&lt;=$B$16,1,IF(H661&gt;=$B$17,$B$21,MATCH(H661,Aux_CAV!$A$2:$A$121,1))))</f>
        <v>22</v>
      </c>
      <c r="AB661" s="18" t="n">
        <f aca="false">IF(D661="","",IF(L661&lt;=$B$16,1,IF(L661&gt;=$B$17,$B$21,MATCH(L661,Aux_CAV!$A$2:$A$121,1))))</f>
        <v>22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14.8153282419812</v>
      </c>
      <c r="E662" s="16" t="n">
        <f aca="false">IF(D662="","",D662*$B$15)</f>
        <v>38.4013308032153</v>
      </c>
      <c r="F662" s="16" t="n">
        <f aca="false" t="array" ref="F662:F662">IF(D662="","",IFERROR(INDEX(Dados_Evap!$C$2:$N$15,MATCH($B$9,Dados_Evap!$A$2:$A$15,0),C662),0))</f>
        <v>102.9</v>
      </c>
      <c r="G662" s="16" t="n">
        <f aca="false">IF(F662="","",F662/1000)</f>
        <v>0.1029</v>
      </c>
      <c r="H662" s="16" t="n">
        <f aca="false">IF(D662="","",MAX(0,MIN($B$8,IFERROR(LOOKUP(2,1/($U$24:U661&lt;&gt;""),$U$24:U661),$B$11))))</f>
        <v>153.107842922077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15.1355908052751</v>
      </c>
      <c r="J662" s="16" t="n">
        <f aca="false">IF(D662="","",$B$12)</f>
        <v>0.432</v>
      </c>
      <c r="K662" s="16" t="n">
        <f aca="false">IF(J662="","",J662*$B$15)</f>
        <v>1.119744</v>
      </c>
      <c r="L662" s="16" t="n">
        <f aca="false">IF(D662="","",H662+E662-K662-G662*I662)</f>
        <v>188.83197743143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17.3878077930417</v>
      </c>
      <c r="N662" s="16" t="n">
        <f aca="false">IF(D662="","",(I662+M662)/2)</f>
        <v>16.2616992991584</v>
      </c>
      <c r="O662" s="16" t="n">
        <f aca="false">IF(D662="","",G662*N662)</f>
        <v>1.6733288578834</v>
      </c>
      <c r="P662" s="16" t="n">
        <f aca="false">IF(D662="","",H662+E662-K662-O662)</f>
        <v>188.716100867409</v>
      </c>
      <c r="Q662" s="16" t="n">
        <f aca="false">IF(D662="","",IF(P662&gt;=0,K662,MAX(0,K662+P662)))</f>
        <v>1.119744</v>
      </c>
      <c r="R662" s="16" t="n">
        <f aca="false">IF(D662="","",Q662/$B$15)</f>
        <v>0.432</v>
      </c>
      <c r="S662" s="16" t="n">
        <f aca="false">IF(D662="","",MAX(0,J662-R662))</f>
        <v>0</v>
      </c>
      <c r="T662" s="16" t="n">
        <f aca="false">IF(D662="","",MAX(0,Z662-$B$8))</f>
        <v>26.7161008674092</v>
      </c>
      <c r="U662" s="16" t="n">
        <f aca="false">IF(D662="","",MAX(0,MIN($B$8,Z662)))</f>
        <v>162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100</v>
      </c>
      <c r="Z662" s="18" t="n">
        <f aca="false">IF(D662="","",MAX(0,IF(P662&gt;=0,P662,IF(K662+P662&gt;=0,0,P662+K662))))</f>
        <v>188.716100867409</v>
      </c>
      <c r="AA662" s="18" t="n">
        <f aca="false">IF(D662="","",IF(H662&lt;=$B$16,1,IF(H662&gt;=$B$17,$B$21,MATCH(H662,Aux_CAV!$A$2:$A$121,1))))</f>
        <v>22</v>
      </c>
      <c r="AB662" s="18" t="n">
        <f aca="false">IF(D662="","",IF(L662&lt;=$B$16,1,IF(L662&gt;=$B$17,$B$21,MATCH(L662,Aux_CAV!$A$2:$A$121,1))))</f>
        <v>23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13.1278985654955</v>
      </c>
      <c r="E663" s="16" t="n">
        <f aca="false">IF(D663="","",D663*$B$15)</f>
        <v>34.0275130817643</v>
      </c>
      <c r="F663" s="16" t="n">
        <f aca="false" t="array" ref="F663:F663">IF(D663="","",IFERROR(INDEX(Dados_Evap!$C$2:$N$15,MATCH($B$9,Dados_Evap!$A$2:$A$15,0),C663),0))</f>
        <v>81.8</v>
      </c>
      <c r="G663" s="16" t="n">
        <f aca="false">IF(F663="","",F663/1000)</f>
        <v>0.0818</v>
      </c>
      <c r="H663" s="16" t="n">
        <f aca="false">IF(D663="","",MAX(0,MIN($B$8,IFERROR(LOOKUP(2,1/($U$24:U662&lt;&gt;""),$U$24:U662),$B$11))))</f>
        <v>162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15.783</v>
      </c>
      <c r="J663" s="16" t="n">
        <f aca="false">IF(D663="","",$B$12)</f>
        <v>0.432</v>
      </c>
      <c r="K663" s="16" t="n">
        <f aca="false">IF(J663="","",J663*$B$15)</f>
        <v>1.119744</v>
      </c>
      <c r="L663" s="16" t="n">
        <f aca="false">IF(D663="","",H663+E663-K663-G663*I663)</f>
        <v>193.616719681764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17.6739809485855</v>
      </c>
      <c r="N663" s="16" t="n">
        <f aca="false">IF(D663="","",(I663+M663)/2)</f>
        <v>16.7284904742928</v>
      </c>
      <c r="O663" s="16" t="n">
        <f aca="false">IF(D663="","",G663*N663)</f>
        <v>1.36839052079715</v>
      </c>
      <c r="P663" s="16" t="n">
        <f aca="false">IF(D663="","",H663+E663-K663-O663)</f>
        <v>193.539378560967</v>
      </c>
      <c r="Q663" s="16" t="n">
        <f aca="false">IF(D663="","",IF(P663&gt;=0,K663,MAX(0,K663+P663)))</f>
        <v>1.119744</v>
      </c>
      <c r="R663" s="16" t="n">
        <f aca="false">IF(D663="","",Q663/$B$15)</f>
        <v>0.432</v>
      </c>
      <c r="S663" s="16" t="n">
        <f aca="false">IF(D663="","",MAX(0,J663-R663))</f>
        <v>0</v>
      </c>
      <c r="T663" s="16" t="n">
        <f aca="false">IF(D663="","",MAX(0,Z663-$B$8))</f>
        <v>31.5393785609672</v>
      </c>
      <c r="U663" s="16" t="n">
        <f aca="false">IF(D663="","",MAX(0,MIN($B$8,Z663)))</f>
        <v>162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193.539378560967</v>
      </c>
      <c r="AA663" s="18" t="n">
        <f aca="false">IF(D663="","",IF(H663&lt;=$B$16,1,IF(H663&gt;=$B$17,$B$21,MATCH(H663,Aux_CAV!$A$2:$A$121,1))))</f>
        <v>23</v>
      </c>
      <c r="AB663" s="18" t="n">
        <f aca="false">IF(D663="","",IF(L663&lt;=$B$16,1,IF(L663&gt;=$B$17,$B$21,MATCH(L663,Aux_CAV!$A$2:$A$121,1))))</f>
        <v>23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5.81438838821469</v>
      </c>
      <c r="E664" s="16" t="n">
        <f aca="false">IF(D664="","",D664*$B$15)</f>
        <v>15.0708947022525</v>
      </c>
      <c r="F664" s="16" t="n">
        <f aca="false" t="array" ref="F664:F664">IF(D664="","",IFERROR(INDEX(Dados_Evap!$C$2:$N$15,MATCH($B$9,Dados_Evap!$A$2:$A$15,0),C664),0))</f>
        <v>83.6</v>
      </c>
      <c r="G664" s="16" t="n">
        <f aca="false">IF(F664="","",F664/1000)</f>
        <v>0.0836</v>
      </c>
      <c r="H664" s="16" t="n">
        <f aca="false">IF(D664="","",MAX(0,MIN($B$8,IFERROR(LOOKUP(2,1/($U$24:U663&lt;&gt;""),$U$24:U663),$B$11))))</f>
        <v>162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15.783</v>
      </c>
      <c r="J664" s="16" t="n">
        <f aca="false">IF(D664="","",$B$12)</f>
        <v>0.432</v>
      </c>
      <c r="K664" s="16" t="n">
        <f aca="false">IF(J664="","",J664*$B$15)</f>
        <v>1.119744</v>
      </c>
      <c r="L664" s="16" t="n">
        <f aca="false">IF(D664="","",H664+E664-K664-G664*I664)</f>
        <v>174.631691902252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16.5384954775823</v>
      </c>
      <c r="N664" s="16" t="n">
        <f aca="false">IF(D664="","",(I664+M664)/2)</f>
        <v>16.1607477387912</v>
      </c>
      <c r="O664" s="16" t="n">
        <f aca="false">IF(D664="","",G664*N664)</f>
        <v>1.35103851096294</v>
      </c>
      <c r="P664" s="16" t="n">
        <f aca="false">IF(D664="","",H664+E664-K664-O664)</f>
        <v>174.60011219129</v>
      </c>
      <c r="Q664" s="16" t="n">
        <f aca="false">IF(D664="","",IF(P664&gt;=0,K664,MAX(0,K664+P664)))</f>
        <v>1.119744</v>
      </c>
      <c r="R664" s="16" t="n">
        <f aca="false">IF(D664="","",Q664/$B$15)</f>
        <v>0.432</v>
      </c>
      <c r="S664" s="16" t="n">
        <f aca="false">IF(D664="","",MAX(0,J664-R664))</f>
        <v>0</v>
      </c>
      <c r="T664" s="16" t="n">
        <f aca="false">IF(D664="","",MAX(0,Z664-$B$8))</f>
        <v>12.6001121912895</v>
      </c>
      <c r="U664" s="16" t="n">
        <f aca="false">IF(D664="","",MAX(0,MIN($B$8,Z664)))</f>
        <v>162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174.60011219129</v>
      </c>
      <c r="AA664" s="18" t="n">
        <f aca="false">IF(D664="","",IF(H664&lt;=$B$16,1,IF(H664&gt;=$B$17,$B$21,MATCH(H664,Aux_CAV!$A$2:$A$121,1))))</f>
        <v>23</v>
      </c>
      <c r="AB664" s="18" t="n">
        <f aca="false">IF(D664="","",IF(L664&lt;=$B$16,1,IF(L664&gt;=$B$17,$B$21,MATCH(L664,Aux_CAV!$A$2:$A$121,1))))</f>
        <v>23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1.62057128535235</v>
      </c>
      <c r="E665" s="16" t="n">
        <f aca="false">IF(D665="","",D665*$B$15)</f>
        <v>4.20052077163329</v>
      </c>
      <c r="F665" s="16" t="n">
        <f aca="false" t="array" ref="F665:F665">IF(D665="","",IFERROR(INDEX(Dados_Evap!$C$2:$N$15,MATCH($B$9,Dados_Evap!$A$2:$A$15,0),C665),0))</f>
        <v>108.2</v>
      </c>
      <c r="G665" s="16" t="n">
        <f aca="false">IF(F665="","",F665/1000)</f>
        <v>0.1082</v>
      </c>
      <c r="H665" s="16" t="n">
        <f aca="false">IF(D665="","",MAX(0,MIN($B$8,IFERROR(LOOKUP(2,1/($U$24:U664&lt;&gt;""),$U$24:U664),$B$11))))</f>
        <v>162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15.783</v>
      </c>
      <c r="J665" s="16" t="n">
        <f aca="false">IF(D665="","",$B$12)</f>
        <v>0.432</v>
      </c>
      <c r="K665" s="16" t="n">
        <f aca="false">IF(J665="","",J665*$B$15)</f>
        <v>1.119744</v>
      </c>
      <c r="L665" s="16" t="n">
        <f aca="false">IF(D665="","",H665+E665-K665-G665*I665)</f>
        <v>163.373056171633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15.8651218357891</v>
      </c>
      <c r="N665" s="16" t="n">
        <f aca="false">IF(D665="","",(I665+M665)/2)</f>
        <v>15.8240609178946</v>
      </c>
      <c r="O665" s="16" t="n">
        <f aca="false">IF(D665="","",G665*N665)</f>
        <v>1.71216339131619</v>
      </c>
      <c r="P665" s="16" t="n">
        <f aca="false">IF(D665="","",H665+E665-K665-O665)</f>
        <v>163.368613380317</v>
      </c>
      <c r="Q665" s="16" t="n">
        <f aca="false">IF(D665="","",IF(P665&gt;=0,K665,MAX(0,K665+P665)))</f>
        <v>1.119744</v>
      </c>
      <c r="R665" s="16" t="n">
        <f aca="false">IF(D665="","",Q665/$B$15)</f>
        <v>0.432</v>
      </c>
      <c r="S665" s="16" t="n">
        <f aca="false">IF(D665="","",MAX(0,J665-R665))</f>
        <v>0</v>
      </c>
      <c r="T665" s="16" t="n">
        <f aca="false">IF(D665="","",MAX(0,Z665-$B$8))</f>
        <v>1.3686133803171</v>
      </c>
      <c r="U665" s="16" t="n">
        <f aca="false">IF(D665="","",MAX(0,MIN($B$8,Z665)))</f>
        <v>162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100</v>
      </c>
      <c r="Z665" s="18" t="n">
        <f aca="false">IF(D665="","",MAX(0,IF(P665&gt;=0,P665,IF(K665+P665&gt;=0,0,P665+K665))))</f>
        <v>163.368613380317</v>
      </c>
      <c r="AA665" s="18" t="n">
        <f aca="false">IF(D665="","",IF(H665&lt;=$B$16,1,IF(H665&gt;=$B$17,$B$21,MATCH(H665,Aux_CAV!$A$2:$A$121,1))))</f>
        <v>23</v>
      </c>
      <c r="AB665" s="18" t="n">
        <f aca="false">IF(D665="","",IF(L665&lt;=$B$16,1,IF(L665&gt;=$B$17,$B$21,MATCH(L665,Aux_CAV!$A$2:$A$121,1))))</f>
        <v>23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1.4428136901717</v>
      </c>
      <c r="E666" s="16" t="n">
        <f aca="false">IF(D666="","",D666*$B$15)</f>
        <v>3.73977308492505</v>
      </c>
      <c r="F666" s="16" t="n">
        <f aca="false" t="array" ref="F666:F666">IF(D666="","",IFERROR(INDEX(Dados_Evap!$C$2:$N$15,MATCH($B$9,Dados_Evap!$A$2:$A$15,0),C666),0))</f>
        <v>149</v>
      </c>
      <c r="G666" s="16" t="n">
        <f aca="false">IF(F666="","",F666/1000)</f>
        <v>0.149</v>
      </c>
      <c r="H666" s="16" t="n">
        <f aca="false">IF(D666="","",MAX(0,MIN($B$8,IFERROR(LOOKUP(2,1/($U$24:U665&lt;&gt;""),$U$24:U665),$B$11))))</f>
        <v>162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15.783</v>
      </c>
      <c r="J666" s="16" t="n">
        <f aca="false">IF(D666="","",$B$12)</f>
        <v>0.432</v>
      </c>
      <c r="K666" s="16" t="n">
        <f aca="false">IF(J666="","",J666*$B$15)</f>
        <v>1.119744</v>
      </c>
      <c r="L666" s="16" t="n">
        <f aca="false">IF(D666="","",H666+E666-K666-G666*I666)</f>
        <v>162.268362084925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15.7990506085079</v>
      </c>
      <c r="N666" s="16" t="n">
        <f aca="false">IF(D666="","",(I666+M666)/2)</f>
        <v>15.791025304254</v>
      </c>
      <c r="O666" s="16" t="n">
        <f aca="false">IF(D666="","",G666*N666)</f>
        <v>2.35286277033384</v>
      </c>
      <c r="P666" s="16" t="n">
        <f aca="false">IF(D666="","",H666+E666-K666-O666)</f>
        <v>162.267166314591</v>
      </c>
      <c r="Q666" s="16" t="n">
        <f aca="false">IF(D666="","",IF(P666&gt;=0,K666,MAX(0,K666+P666)))</f>
        <v>1.119744</v>
      </c>
      <c r="R666" s="16" t="n">
        <f aca="false">IF(D666="","",Q666/$B$15)</f>
        <v>0.432</v>
      </c>
      <c r="S666" s="16" t="n">
        <f aca="false">IF(D666="","",MAX(0,J666-R666))</f>
        <v>0</v>
      </c>
      <c r="T666" s="16" t="n">
        <f aca="false">IF(D666="","",MAX(0,Z666-$B$8))</f>
        <v>0.267166314591208</v>
      </c>
      <c r="U666" s="16" t="n">
        <f aca="false">IF(D666="","",MAX(0,MIN($B$8,Z666)))</f>
        <v>162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100</v>
      </c>
      <c r="Z666" s="18" t="n">
        <f aca="false">IF(D666="","",MAX(0,IF(P666&gt;=0,P666,IF(K666+P666&gt;=0,0,P666+K666))))</f>
        <v>162.267166314591</v>
      </c>
      <c r="AA666" s="18" t="n">
        <f aca="false">IF(D666="","",IF(H666&lt;=$B$16,1,IF(H666&gt;=$B$17,$B$21,MATCH(H666,Aux_CAV!$A$2:$A$121,1))))</f>
        <v>23</v>
      </c>
      <c r="AB666" s="18" t="n">
        <f aca="false">IF(D666="","",IF(L666&lt;=$B$16,1,IF(L666&gt;=$B$17,$B$21,MATCH(L666,Aux_CAV!$A$2:$A$121,1))))</f>
        <v>23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0.773628405465262</v>
      </c>
      <c r="E667" s="16" t="n">
        <f aca="false">IF(D667="","",D667*$B$15)</f>
        <v>2.00524482696596</v>
      </c>
      <c r="F667" s="16" t="n">
        <f aca="false" t="array" ref="F667:F667">IF(D667="","",IFERROR(INDEX(Dados_Evap!$C$2:$N$15,MATCH($B$9,Dados_Evap!$A$2:$A$15,0),C667),0))</f>
        <v>206.8</v>
      </c>
      <c r="G667" s="16" t="n">
        <f aca="false">IF(F667="","",F667/1000)</f>
        <v>0.2068</v>
      </c>
      <c r="H667" s="16" t="n">
        <f aca="false">IF(D667="","",MAX(0,MIN($B$8,IFERROR(LOOKUP(2,1/($U$24:U666&lt;&gt;""),$U$24:U666),$B$11))))</f>
        <v>162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15.783</v>
      </c>
      <c r="J667" s="16" t="n">
        <f aca="false">IF(D667="","",$B$12)</f>
        <v>0.432</v>
      </c>
      <c r="K667" s="16" t="n">
        <f aca="false">IF(J667="","",J667*$B$15)</f>
        <v>1.119744</v>
      </c>
      <c r="L667" s="16" t="n">
        <f aca="false">IF(D667="","",H667+E667-K667-G667*I667)</f>
        <v>159.621576426966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15.6098346727752</v>
      </c>
      <c r="N667" s="16" t="n">
        <f aca="false">IF(D667="","",(I667+M667)/2)</f>
        <v>15.6964173363876</v>
      </c>
      <c r="O667" s="16" t="n">
        <f aca="false">IF(D667="","",G667*N667)</f>
        <v>3.24601910516496</v>
      </c>
      <c r="P667" s="16" t="n">
        <f aca="false">IF(D667="","",H667+E667-K667-O667)</f>
        <v>159.639481721801</v>
      </c>
      <c r="Q667" s="16" t="n">
        <f aca="false">IF(D667="","",IF(P667&gt;=0,K667,MAX(0,K667+P667)))</f>
        <v>1.119744</v>
      </c>
      <c r="R667" s="16" t="n">
        <f aca="false">IF(D667="","",Q667/$B$15)</f>
        <v>0.432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159.639481721801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98.542889951729</v>
      </c>
      <c r="Z667" s="18" t="n">
        <f aca="false">IF(D667="","",MAX(0,IF(P667&gt;=0,P667,IF(K667+P667&gt;=0,0,P667+K667))))</f>
        <v>159.639481721801</v>
      </c>
      <c r="AA667" s="18" t="n">
        <f aca="false">IF(D667="","",IF(H667&lt;=$B$16,1,IF(H667&gt;=$B$17,$B$21,MATCH(H667,Aux_CAV!$A$2:$A$121,1))))</f>
        <v>23</v>
      </c>
      <c r="AB667" s="18" t="n">
        <f aca="false">IF(D667="","",IF(L667&lt;=$B$16,1,IF(L667&gt;=$B$17,$B$21,MATCH(L667,Aux_CAV!$A$2:$A$121,1))))</f>
        <v>22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0.574376943743883</v>
      </c>
      <c r="E668" s="16" t="n">
        <f aca="false">IF(D668="","",D668*$B$15)</f>
        <v>1.48878503818415</v>
      </c>
      <c r="F668" s="16" t="n">
        <f aca="false" t="array" ref="F668:F668">IF(D668="","",IFERROR(INDEX(Dados_Evap!$C$2:$N$15,MATCH($B$9,Dados_Evap!$A$2:$A$15,0),C668),0))</f>
        <v>245.9</v>
      </c>
      <c r="G668" s="16" t="n">
        <f aca="false">IF(F668="","",F668/1000)</f>
        <v>0.2459</v>
      </c>
      <c r="H668" s="16" t="n">
        <f aca="false">IF(D668="","",MAX(0,MIN($B$8,IFERROR(LOOKUP(2,1/($U$24:U667&lt;&gt;""),$U$24:U667),$B$11))))</f>
        <v>159.639481721801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15.6111382993766</v>
      </c>
      <c r="J668" s="16" t="n">
        <f aca="false">IF(D668="","",$B$12)</f>
        <v>0.432</v>
      </c>
      <c r="K668" s="16" t="n">
        <f aca="false">IF(J668="","",J668*$B$15)</f>
        <v>1.119744</v>
      </c>
      <c r="L668" s="16" t="n">
        <f aca="false">IF(D668="","",H668+E668-K668-G668*I668)</f>
        <v>156.169743852168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15.3585179081261</v>
      </c>
      <c r="N668" s="16" t="n">
        <f aca="false">IF(D668="","",(I668+M668)/2)</f>
        <v>15.4848281037514</v>
      </c>
      <c r="O668" s="16" t="n">
        <f aca="false">IF(D668="","",G668*N668)</f>
        <v>3.80771923071246</v>
      </c>
      <c r="P668" s="16" t="n">
        <f aca="false">IF(D668="","",H668+E668-K668-O668)</f>
        <v>156.200803529273</v>
      </c>
      <c r="Q668" s="16" t="n">
        <f aca="false">IF(D668="","",IF(P668&gt;=0,K668,MAX(0,K668+P668)))</f>
        <v>1.119744</v>
      </c>
      <c r="R668" s="16" t="n">
        <f aca="false">IF(D668="","",Q668/$B$15)</f>
        <v>0.432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156.200803529273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96.4202490921437</v>
      </c>
      <c r="Z668" s="18" t="n">
        <f aca="false">IF(D668="","",MAX(0,IF(P668&gt;=0,P668,IF(K668+P668&gt;=0,0,P668+K668))))</f>
        <v>156.200803529273</v>
      </c>
      <c r="AA668" s="18" t="n">
        <f aca="false">IF(D668="","",IF(H668&lt;=$B$16,1,IF(H668&gt;=$B$17,$B$21,MATCH(H668,Aux_CAV!$A$2:$A$121,1))))</f>
        <v>22</v>
      </c>
      <c r="AB668" s="18" t="n">
        <f aca="false">IF(D668="","",IF(L668&lt;=$B$16,1,IF(L668&gt;=$B$17,$B$21,MATCH(L668,Aux_CAV!$A$2:$A$121,1))))</f>
        <v>22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0.53443680710458</v>
      </c>
      <c r="E669" s="16" t="n">
        <f aca="false">IF(D669="","",D669*$B$15)</f>
        <v>1.38526020401507</v>
      </c>
      <c r="F669" s="16" t="n">
        <f aca="false" t="array" ref="F669:F669">IF(D669="","",IFERROR(INDEX(Dados_Evap!$C$2:$N$15,MATCH($B$9,Dados_Evap!$A$2:$A$15,0),C669),0))</f>
        <v>282.3</v>
      </c>
      <c r="G669" s="16" t="n">
        <f aca="false">IF(F669="","",F669/1000)</f>
        <v>0.2823</v>
      </c>
      <c r="H669" s="16" t="n">
        <f aca="false">IF(D669="","",MAX(0,MIN($B$8,IFERROR(LOOKUP(2,1/($U$24:U668&lt;&gt;""),$U$24:U668),$B$11))))</f>
        <v>156.200803529273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15.360779262752</v>
      </c>
      <c r="J669" s="16" t="n">
        <f aca="false">IF(D669="","",$B$12)</f>
        <v>0.432</v>
      </c>
      <c r="K669" s="16" t="n">
        <f aca="false">IF(J669="","",J669*$B$15)</f>
        <v>1.119744</v>
      </c>
      <c r="L669" s="16" t="n">
        <f aca="false">IF(D669="","",H669+E669-K669-G669*I669)</f>
        <v>152.129971747413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15.0643951680201</v>
      </c>
      <c r="N669" s="16" t="n">
        <f aca="false">IF(D669="","",(I669+M669)/2)</f>
        <v>15.2125872153861</v>
      </c>
      <c r="O669" s="16" t="n">
        <f aca="false">IF(D669="","",G669*N669)</f>
        <v>4.29451337090349</v>
      </c>
      <c r="P669" s="16" t="n">
        <f aca="false">IF(D669="","",H669+E669-K669-O669)</f>
        <v>152.171806362384</v>
      </c>
      <c r="Q669" s="16" t="n">
        <f aca="false">IF(D669="","",IF(P669&gt;=0,K669,MAX(0,K669+P669)))</f>
        <v>1.119744</v>
      </c>
      <c r="R669" s="16" t="n">
        <f aca="false">IF(D669="","",Q669/$B$15)</f>
        <v>0.432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152.171806362384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93.9332138039409</v>
      </c>
      <c r="Z669" s="18" t="n">
        <f aca="false">IF(D669="","",MAX(0,IF(P669&gt;=0,P669,IF(K669+P669&gt;=0,0,P669+K669))))</f>
        <v>152.171806362384</v>
      </c>
      <c r="AA669" s="18" t="n">
        <f aca="false">IF(D669="","",IF(H669&lt;=$B$16,1,IF(H669&gt;=$B$17,$B$21,MATCH(H669,Aux_CAV!$A$2:$A$121,1))))</f>
        <v>22</v>
      </c>
      <c r="AB669" s="18" t="n">
        <f aca="false">IF(D669="","",IF(L669&lt;=$B$16,1,IF(L669&gt;=$B$17,$B$21,MATCH(L669,Aux_CAV!$A$2:$A$121,1))))</f>
        <v>22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1.0310074888288</v>
      </c>
      <c r="E670" s="16" t="n">
        <f aca="false">IF(D670="","",D670*$B$15)</f>
        <v>2.67237141104425</v>
      </c>
      <c r="F670" s="16" t="n">
        <f aca="false" t="array" ref="F670:F670">IF(D670="","",IFERROR(INDEX(Dados_Evap!$C$2:$N$15,MATCH($B$9,Dados_Evap!$A$2:$A$15,0),C670),0))</f>
        <v>241.3</v>
      </c>
      <c r="G670" s="16" t="n">
        <f aca="false">IF(F670="","",F670/1000)</f>
        <v>0.2413</v>
      </c>
      <c r="H670" s="16" t="n">
        <f aca="false">IF(D670="","",MAX(0,MIN($B$8,IFERROR(LOOKUP(2,1/($U$24:U669&lt;&gt;""),$U$24:U669),$B$11))))</f>
        <v>152.171806362384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15.06744101102</v>
      </c>
      <c r="J670" s="16" t="n">
        <f aca="false">IF(D670="","",$B$12)</f>
        <v>0.432</v>
      </c>
      <c r="K670" s="16" t="n">
        <f aca="false">IF(J670="","",J670*$B$15)</f>
        <v>1.119744</v>
      </c>
      <c r="L670" s="16" t="n">
        <f aca="false">IF(D670="","",H670+E670-K670-G670*I670)</f>
        <v>150.088660257469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14.9157738811595</v>
      </c>
      <c r="N670" s="16" t="n">
        <f aca="false">IF(D670="","",(I670+M670)/2)</f>
        <v>14.9916074460898</v>
      </c>
      <c r="O670" s="16" t="n">
        <f aca="false">IF(D670="","",G670*N670)</f>
        <v>3.61747487674147</v>
      </c>
      <c r="P670" s="16" t="n">
        <f aca="false">IF(D670="","",H670+E670-K670-O670)</f>
        <v>150.106958896687</v>
      </c>
      <c r="Q670" s="16" t="n">
        <f aca="false">IF(D670="","",IF(P670&gt;=0,K670,MAX(0,K670+P670)))</f>
        <v>1.119744</v>
      </c>
      <c r="R670" s="16" t="n">
        <f aca="false">IF(D670="","",Q670/$B$15)</f>
        <v>0.432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150.106958896687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92.6586166028933</v>
      </c>
      <c r="Z670" s="18" t="n">
        <f aca="false">IF(D670="","",MAX(0,IF(P670&gt;=0,P670,IF(K670+P670&gt;=0,0,P670+K670))))</f>
        <v>150.106958896687</v>
      </c>
      <c r="AA670" s="18" t="n">
        <f aca="false">IF(D670="","",IF(H670&lt;=$B$16,1,IF(H670&gt;=$B$17,$B$21,MATCH(H670,Aux_CAV!$A$2:$A$121,1))))</f>
        <v>22</v>
      </c>
      <c r="AB670" s="18" t="n">
        <f aca="false">IF(D670="","",IF(L670&lt;=$B$16,1,IF(L670&gt;=$B$17,$B$21,MATCH(L670,Aux_CAV!$A$2:$A$121,1))))</f>
        <v>22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1.74240621198621</v>
      </c>
      <c r="E671" s="16" t="n">
        <f aca="false">IF(D671="","",D671*$B$15)</f>
        <v>4.51631690146826</v>
      </c>
      <c r="F671" s="16" t="n">
        <f aca="false" t="array" ref="F671:F671">IF(D671="","",IFERROR(INDEX(Dados_Evap!$C$2:$N$15,MATCH($B$9,Dados_Evap!$A$2:$A$15,0),C671),0))</f>
        <v>241.8</v>
      </c>
      <c r="G671" s="16" t="n">
        <f aca="false">IF(F671="","",F671/1000)</f>
        <v>0.2418</v>
      </c>
      <c r="H671" s="16" t="n">
        <f aca="false">IF(D671="","",MAX(0,MIN($B$8,IFERROR(LOOKUP(2,1/($U$24:U670&lt;&gt;""),$U$24:U670),$B$11))))</f>
        <v>150.106958896687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14.9171061458931</v>
      </c>
      <c r="J671" s="16" t="n">
        <f aca="false">IF(D671="","",$B$12)</f>
        <v>0.432</v>
      </c>
      <c r="K671" s="16" t="n">
        <f aca="false">IF(J671="","",J671*$B$15)</f>
        <v>1.119744</v>
      </c>
      <c r="L671" s="16" t="n">
        <f aca="false">IF(D671="","",H671+E671-K671-G671*I671)</f>
        <v>149.896575532078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14.9017888136113</v>
      </c>
      <c r="N671" s="16" t="n">
        <f aca="false">IF(D671="","",(I671+M671)/2)</f>
        <v>14.9094474797522</v>
      </c>
      <c r="O671" s="16" t="n">
        <f aca="false">IF(D671="","",G671*N671)</f>
        <v>3.60510440060409</v>
      </c>
      <c r="P671" s="16" t="n">
        <f aca="false">IF(D671="","",H671+E671-K671-O671)</f>
        <v>149.898427397551</v>
      </c>
      <c r="Q671" s="16" t="n">
        <f aca="false">IF(D671="","",IF(P671&gt;=0,K671,MAX(0,K671+P671)))</f>
        <v>1.119744</v>
      </c>
      <c r="R671" s="16" t="n">
        <f aca="false">IF(D671="","",Q671/$B$15)</f>
        <v>0.432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149.898427397551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92.5298934552786</v>
      </c>
      <c r="Z671" s="18" t="n">
        <f aca="false">IF(D671="","",MAX(0,IF(P671&gt;=0,P671,IF(K671+P671&gt;=0,0,P671+K671))))</f>
        <v>149.898427397551</v>
      </c>
      <c r="AA671" s="18" t="n">
        <f aca="false">IF(D671="","",IF(H671&lt;=$B$16,1,IF(H671&gt;=$B$17,$B$21,MATCH(H671,Aux_CAV!$A$2:$A$121,1))))</f>
        <v>22</v>
      </c>
      <c r="AB671" s="18" t="n">
        <f aca="false">IF(D671="","",IF(L671&lt;=$B$16,1,IF(L671&gt;=$B$17,$B$21,MATCH(L671,Aux_CAV!$A$2:$A$121,1))))</f>
        <v>22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4.08467783557763</v>
      </c>
      <c r="E672" s="16" t="n">
        <f aca="false">IF(D672="","",D672*$B$15)</f>
        <v>10.5874849498172</v>
      </c>
      <c r="F672" s="16" t="n">
        <f aca="false" t="array" ref="F672:F672">IF(D672="","",IFERROR(INDEX(Dados_Evap!$C$2:$N$15,MATCH($B$9,Dados_Evap!$A$2:$A$15,0),C672),0))</f>
        <v>189</v>
      </c>
      <c r="G672" s="16" t="n">
        <f aca="false">IF(F672="","",F672/1000)</f>
        <v>0.189</v>
      </c>
      <c r="H672" s="16" t="n">
        <f aca="false">IF(D672="","",MAX(0,MIN($B$8,IFERROR(LOOKUP(2,1/($U$24:U671&lt;&gt;""),$U$24:U671),$B$11))))</f>
        <v>149.898427397551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14.9019236419464</v>
      </c>
      <c r="J672" s="16" t="n">
        <f aca="false">IF(D672="","",$B$12)</f>
        <v>0.432</v>
      </c>
      <c r="K672" s="16" t="n">
        <f aca="false">IF(J672="","",J672*$B$15)</f>
        <v>1.119744</v>
      </c>
      <c r="L672" s="16" t="n">
        <f aca="false">IF(D672="","",H672+E672-K672-G672*I672)</f>
        <v>156.549704779041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15.3861816342094</v>
      </c>
      <c r="N672" s="16" t="n">
        <f aca="false">IF(D672="","",(I672+M672)/2)</f>
        <v>15.1440526380779</v>
      </c>
      <c r="O672" s="16" t="n">
        <f aca="false">IF(D672="","",G672*N672)</f>
        <v>2.86222594859673</v>
      </c>
      <c r="P672" s="16" t="n">
        <f aca="false">IF(D672="","",H672+E672-K672-O672)</f>
        <v>156.503942398772</v>
      </c>
      <c r="Q672" s="16" t="n">
        <f aca="false">IF(D672="","",IF(P672&gt;=0,K672,MAX(0,K672+P672)))</f>
        <v>1.119744</v>
      </c>
      <c r="R672" s="16" t="n">
        <f aca="false">IF(D672="","",Q672/$B$15)</f>
        <v>0.432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156.503942398772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96.6073718510937</v>
      </c>
      <c r="Z672" s="18" t="n">
        <f aca="false">IF(D672="","",MAX(0,IF(P672&gt;=0,P672,IF(K672+P672&gt;=0,0,P672+K672))))</f>
        <v>156.503942398772</v>
      </c>
      <c r="AA672" s="18" t="n">
        <f aca="false">IF(D672="","",IF(H672&lt;=$B$16,1,IF(H672&gt;=$B$17,$B$21,MATCH(H672,Aux_CAV!$A$2:$A$121,1))))</f>
        <v>22</v>
      </c>
      <c r="AB672" s="18" t="n">
        <f aca="false">IF(D672="","",IF(L672&lt;=$B$16,1,IF(L672&gt;=$B$17,$B$21,MATCH(L672,Aux_CAV!$A$2:$A$121,1))))</f>
        <v>22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12.8676904030295</v>
      </c>
      <c r="E673" s="16" t="n">
        <f aca="false">IF(D673="","",D673*$B$15)</f>
        <v>33.3530535246525</v>
      </c>
      <c r="F673" s="16" t="n">
        <f aca="false" t="array" ref="F673:F673">IF(D673="","",IFERROR(INDEX(Dados_Evap!$C$2:$N$15,MATCH($B$9,Dados_Evap!$A$2:$A$15,0),C673),0))</f>
        <v>136.9</v>
      </c>
      <c r="G673" s="16" t="n">
        <f aca="false">IF(F673="","",F673/1000)</f>
        <v>0.1369</v>
      </c>
      <c r="H673" s="16" t="n">
        <f aca="false">IF(D673="","",MAX(0,MIN($B$8,IFERROR(LOOKUP(2,1/($U$24:U672&lt;&gt;""),$U$24:U672),$B$11))))</f>
        <v>156.503942398772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15.3828498233227</v>
      </c>
      <c r="J673" s="16" t="n">
        <f aca="false">IF(D673="","",$B$12)</f>
        <v>0.432</v>
      </c>
      <c r="K673" s="16" t="n">
        <f aca="false">IF(J673="","",J673*$B$15)</f>
        <v>1.119744</v>
      </c>
      <c r="L673" s="16" t="n">
        <f aca="false">IF(D673="","",H673+E673-K673-G673*I673)</f>
        <v>186.631339782611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17.2561887031886</v>
      </c>
      <c r="N673" s="16" t="n">
        <f aca="false">IF(D673="","",(I673+M673)/2)</f>
        <v>16.3195192632556</v>
      </c>
      <c r="O673" s="16" t="n">
        <f aca="false">IF(D673="","",G673*N673)</f>
        <v>2.2341421871397</v>
      </c>
      <c r="P673" s="16" t="n">
        <f aca="false">IF(D673="","",H673+E673-K673-O673)</f>
        <v>186.503109736285</v>
      </c>
      <c r="Q673" s="16" t="n">
        <f aca="false">IF(D673="","",IF(P673&gt;=0,K673,MAX(0,K673+P673)))</f>
        <v>1.119744</v>
      </c>
      <c r="R673" s="16" t="n">
        <f aca="false">IF(D673="","",Q673/$B$15)</f>
        <v>0.432</v>
      </c>
      <c r="S673" s="16" t="n">
        <f aca="false">IF(D673="","",MAX(0,J673-R673))</f>
        <v>0</v>
      </c>
      <c r="T673" s="16" t="n">
        <f aca="false">IF(D673="","",MAX(0,Z673-$B$8))</f>
        <v>24.5031097362846</v>
      </c>
      <c r="U673" s="16" t="n">
        <f aca="false">IF(D673="","",MAX(0,MIN($B$8,Z673)))</f>
        <v>162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100</v>
      </c>
      <c r="Z673" s="18" t="n">
        <f aca="false">IF(D673="","",MAX(0,IF(P673&gt;=0,P673,IF(K673+P673&gt;=0,0,P673+K673))))</f>
        <v>186.503109736285</v>
      </c>
      <c r="AA673" s="18" t="n">
        <f aca="false">IF(D673="","",IF(H673&lt;=$B$16,1,IF(H673&gt;=$B$17,$B$21,MATCH(H673,Aux_CAV!$A$2:$A$121,1))))</f>
        <v>22</v>
      </c>
      <c r="AB673" s="18" t="n">
        <f aca="false">IF(D673="","",IF(L673&lt;=$B$16,1,IF(L673&gt;=$B$17,$B$21,MATCH(L673,Aux_CAV!$A$2:$A$121,1))))</f>
        <v>23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22.6505201142312</v>
      </c>
      <c r="E674" s="16" t="n">
        <f aca="false">IF(D674="","",D674*$B$15)</f>
        <v>58.7101481360873</v>
      </c>
      <c r="F674" s="16" t="n">
        <f aca="false" t="array" ref="F674:F674">IF(D674="","",IFERROR(INDEX(Dados_Evap!$C$2:$N$15,MATCH($B$9,Dados_Evap!$A$2:$A$15,0),C674),0))</f>
        <v>102.9</v>
      </c>
      <c r="G674" s="16" t="n">
        <f aca="false">IF(F674="","",F674/1000)</f>
        <v>0.1029</v>
      </c>
      <c r="H674" s="16" t="n">
        <f aca="false">IF(D674="","",MAX(0,MIN($B$8,IFERROR(LOOKUP(2,1/($U$24:U673&lt;&gt;""),$U$24:U673),$B$11))))</f>
        <v>162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15.783</v>
      </c>
      <c r="J674" s="16" t="n">
        <f aca="false">IF(D674="","",$B$12)</f>
        <v>0.432</v>
      </c>
      <c r="K674" s="16" t="n">
        <f aca="false">IF(J674="","",J674*$B$15)</f>
        <v>1.119744</v>
      </c>
      <c r="L674" s="16" t="n">
        <f aca="false">IF(D674="","",H674+E674-K674-G674*I674)</f>
        <v>217.966333436087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19.1303197521774</v>
      </c>
      <c r="N674" s="16" t="n">
        <f aca="false">IF(D674="","",(I674+M674)/2)</f>
        <v>17.4566598760887</v>
      </c>
      <c r="O674" s="16" t="n">
        <f aca="false">IF(D674="","",G674*N674)</f>
        <v>1.79629030124953</v>
      </c>
      <c r="P674" s="16" t="n">
        <f aca="false">IF(D674="","",H674+E674-K674-O674)</f>
        <v>217.794113834838</v>
      </c>
      <c r="Q674" s="16" t="n">
        <f aca="false">IF(D674="","",IF(P674&gt;=0,K674,MAX(0,K674+P674)))</f>
        <v>1.119744</v>
      </c>
      <c r="R674" s="16" t="n">
        <f aca="false">IF(D674="","",Q674/$B$15)</f>
        <v>0.432</v>
      </c>
      <c r="S674" s="16" t="n">
        <f aca="false">IF(D674="","",MAX(0,J674-R674))</f>
        <v>0</v>
      </c>
      <c r="T674" s="16" t="n">
        <f aca="false">IF(D674="","",MAX(0,Z674-$B$8))</f>
        <v>55.7941138348377</v>
      </c>
      <c r="U674" s="16" t="n">
        <f aca="false">IF(D674="","",MAX(0,MIN($B$8,Z674)))</f>
        <v>162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217.794113834838</v>
      </c>
      <c r="AA674" s="18" t="n">
        <f aca="false">IF(D674="","",IF(H674&lt;=$B$16,1,IF(H674&gt;=$B$17,$B$21,MATCH(H674,Aux_CAV!$A$2:$A$121,1))))</f>
        <v>23</v>
      </c>
      <c r="AB674" s="18" t="n">
        <f aca="false">IF(D674="","",IF(L674&lt;=$B$16,1,IF(L674&gt;=$B$17,$B$21,MATCH(L674,Aux_CAV!$A$2:$A$121,1))))</f>
        <v>23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50.624579654567</v>
      </c>
      <c r="E675" s="16" t="n">
        <f aca="false">IF(D675="","",D675*$B$15)</f>
        <v>131.218910464638</v>
      </c>
      <c r="F675" s="16" t="n">
        <f aca="false" t="array" ref="F675:F675">IF(D675="","",IFERROR(INDEX(Dados_Evap!$C$2:$N$15,MATCH($B$9,Dados_Evap!$A$2:$A$15,0),C675),0))</f>
        <v>81.8</v>
      </c>
      <c r="G675" s="16" t="n">
        <f aca="false">IF(F675="","",F675/1000)</f>
        <v>0.0818</v>
      </c>
      <c r="H675" s="16" t="n">
        <f aca="false">IF(D675="","",MAX(0,MIN($B$8,IFERROR(LOOKUP(2,1/($U$24:U674&lt;&gt;""),$U$24:U674),$B$11))))</f>
        <v>162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15.783</v>
      </c>
      <c r="J675" s="16" t="n">
        <f aca="false">IF(D675="","",$B$12)</f>
        <v>0.432</v>
      </c>
      <c r="K675" s="16" t="n">
        <f aca="false">IF(J675="","",J675*$B$15)</f>
        <v>1.119744</v>
      </c>
      <c r="L675" s="16" t="n">
        <f aca="false">IF(D675="","",H675+E675-K675-G675*I675)</f>
        <v>290.808117064638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22.063</v>
      </c>
      <c r="N675" s="16" t="n">
        <f aca="false">IF(D675="","",(I675+M675)/2)</f>
        <v>18.923</v>
      </c>
      <c r="O675" s="16" t="n">
        <f aca="false">IF(D675="","",G675*N675)</f>
        <v>1.5479014</v>
      </c>
      <c r="P675" s="16" t="n">
        <f aca="false">IF(D675="","",H675+E675-K675-O675)</f>
        <v>290.551265064638</v>
      </c>
      <c r="Q675" s="16" t="n">
        <f aca="false">IF(D675="","",IF(P675&gt;=0,K675,MAX(0,K675+P675)))</f>
        <v>1.119744</v>
      </c>
      <c r="R675" s="16" t="n">
        <f aca="false">IF(D675="","",Q675/$B$15)</f>
        <v>0.432</v>
      </c>
      <c r="S675" s="16" t="n">
        <f aca="false">IF(D675="","",MAX(0,J675-R675))</f>
        <v>0</v>
      </c>
      <c r="T675" s="16" t="n">
        <f aca="false">IF(D675="","",MAX(0,Z675-$B$8))</f>
        <v>128.551265064638</v>
      </c>
      <c r="U675" s="16" t="n">
        <f aca="false">IF(D675="","",MAX(0,MIN($B$8,Z675)))</f>
        <v>162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290.551265064638</v>
      </c>
      <c r="AA675" s="18" t="n">
        <f aca="false">IF(D675="","",IF(H675&lt;=$B$16,1,IF(H675&gt;=$B$17,$B$21,MATCH(H675,Aux_CAV!$A$2:$A$121,1))))</f>
        <v>23</v>
      </c>
      <c r="AB675" s="18" t="n">
        <f aca="false">IF(D675="","",IF(L675&lt;=$B$16,1,IF(L675&gt;=$B$17,$B$21,MATCH(L675,Aux_CAV!$A$2:$A$121,1))))</f>
        <v>24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31.2171579734818</v>
      </c>
      <c r="E676" s="16" t="n">
        <f aca="false">IF(D676="","",D676*$B$15)</f>
        <v>80.9148734672648</v>
      </c>
      <c r="F676" s="16" t="n">
        <f aca="false" t="array" ref="F676:F676">IF(D676="","",IFERROR(INDEX(Dados_Evap!$C$2:$N$15,MATCH($B$9,Dados_Evap!$A$2:$A$15,0),C676),0))</f>
        <v>83.6</v>
      </c>
      <c r="G676" s="16" t="n">
        <f aca="false">IF(F676="","",F676/1000)</f>
        <v>0.0836</v>
      </c>
      <c r="H676" s="16" t="n">
        <f aca="false">IF(D676="","",MAX(0,MIN($B$8,IFERROR(LOOKUP(2,1/($U$24:U675&lt;&gt;""),$U$24:U675),$B$11))))</f>
        <v>162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15.783</v>
      </c>
      <c r="J676" s="16" t="n">
        <f aca="false">IF(D676="","",$B$12)</f>
        <v>0.432</v>
      </c>
      <c r="K676" s="16" t="n">
        <f aca="false">IF(J676="","",J676*$B$15)</f>
        <v>1.119744</v>
      </c>
      <c r="L676" s="16" t="n">
        <f aca="false">IF(D676="","",H676+E676-K676-G676*I676)</f>
        <v>240.475670667265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20.4765924932421</v>
      </c>
      <c r="N676" s="16" t="n">
        <f aca="false">IF(D676="","",(I676+M676)/2)</f>
        <v>18.1297962466211</v>
      </c>
      <c r="O676" s="16" t="n">
        <f aca="false">IF(D676="","",G676*N676)</f>
        <v>1.51565096621752</v>
      </c>
      <c r="P676" s="16" t="n">
        <f aca="false">IF(D676="","",H676+E676-K676-O676)</f>
        <v>240.279478501047</v>
      </c>
      <c r="Q676" s="16" t="n">
        <f aca="false">IF(D676="","",IF(P676&gt;=0,K676,MAX(0,K676+P676)))</f>
        <v>1.119744</v>
      </c>
      <c r="R676" s="16" t="n">
        <f aca="false">IF(D676="","",Q676/$B$15)</f>
        <v>0.432</v>
      </c>
      <c r="S676" s="16" t="n">
        <f aca="false">IF(D676="","",MAX(0,J676-R676))</f>
        <v>0</v>
      </c>
      <c r="T676" s="16" t="n">
        <f aca="false">IF(D676="","",MAX(0,Z676-$B$8))</f>
        <v>78.2794785010473</v>
      </c>
      <c r="U676" s="16" t="n">
        <f aca="false">IF(D676="","",MAX(0,MIN($B$8,Z676)))</f>
        <v>162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240.279478501047</v>
      </c>
      <c r="AA676" s="18" t="n">
        <f aca="false">IF(D676="","",IF(H676&lt;=$B$16,1,IF(H676&gt;=$B$17,$B$21,MATCH(H676,Aux_CAV!$A$2:$A$121,1))))</f>
        <v>23</v>
      </c>
      <c r="AB676" s="18" t="n">
        <f aca="false">IF(D676="","",IF(L676&lt;=$B$16,1,IF(L676&gt;=$B$17,$B$21,MATCH(L676,Aux_CAV!$A$2:$A$121,1))))</f>
        <v>23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10.8031519685674</v>
      </c>
      <c r="E677" s="16" t="n">
        <f aca="false">IF(D677="","",D677*$B$15)</f>
        <v>28.0017699025267</v>
      </c>
      <c r="F677" s="16" t="n">
        <f aca="false" t="array" ref="F677:F677">IF(D677="","",IFERROR(INDEX(Dados_Evap!$C$2:$N$15,MATCH($B$9,Dados_Evap!$A$2:$A$15,0),C677),0))</f>
        <v>108.2</v>
      </c>
      <c r="G677" s="16" t="n">
        <f aca="false">IF(F677="","",F677/1000)</f>
        <v>0.1082</v>
      </c>
      <c r="H677" s="16" t="n">
        <f aca="false">IF(D677="","",MAX(0,MIN($B$8,IFERROR(LOOKUP(2,1/($U$24:U676&lt;&gt;""),$U$24:U676),$B$11))))</f>
        <v>162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15.783</v>
      </c>
      <c r="J677" s="16" t="n">
        <f aca="false">IF(D677="","",$B$12)</f>
        <v>0.432</v>
      </c>
      <c r="K677" s="16" t="n">
        <f aca="false">IF(J677="","",J677*$B$15)</f>
        <v>1.119744</v>
      </c>
      <c r="L677" s="16" t="n">
        <f aca="false">IF(D677="","",H677+E677-K677-G677*I677)</f>
        <v>187.174305302527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17.2886632123797</v>
      </c>
      <c r="N677" s="16" t="n">
        <f aca="false">IF(D677="","",(I677+M677)/2)</f>
        <v>16.5358316061898</v>
      </c>
      <c r="O677" s="16" t="n">
        <f aca="false">IF(D677="","",G677*N677)</f>
        <v>1.78917697978974</v>
      </c>
      <c r="P677" s="16" t="n">
        <f aca="false">IF(D677="","",H677+E677-K677-O677)</f>
        <v>187.092848922737</v>
      </c>
      <c r="Q677" s="16" t="n">
        <f aca="false">IF(D677="","",IF(P677&gt;=0,K677,MAX(0,K677+P677)))</f>
        <v>1.119744</v>
      </c>
      <c r="R677" s="16" t="n">
        <f aca="false">IF(D677="","",Q677/$B$15)</f>
        <v>0.432</v>
      </c>
      <c r="S677" s="16" t="n">
        <f aca="false">IF(D677="","",MAX(0,J677-R677))</f>
        <v>0</v>
      </c>
      <c r="T677" s="16" t="n">
        <f aca="false">IF(D677="","",MAX(0,Z677-$B$8))</f>
        <v>25.092848922737</v>
      </c>
      <c r="U677" s="16" t="n">
        <f aca="false">IF(D677="","",MAX(0,MIN($B$8,Z677)))</f>
        <v>162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187.092848922737</v>
      </c>
      <c r="AA677" s="18" t="n">
        <f aca="false">IF(D677="","",IF(H677&lt;=$B$16,1,IF(H677&gt;=$B$17,$B$21,MATCH(H677,Aux_CAV!$A$2:$A$121,1))))</f>
        <v>23</v>
      </c>
      <c r="AB677" s="18" t="n">
        <f aca="false">IF(D677="","",IF(L677&lt;=$B$16,1,IF(L677&gt;=$B$17,$B$21,MATCH(L677,Aux_CAV!$A$2:$A$121,1))))</f>
        <v>23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6.29456162980789</v>
      </c>
      <c r="E678" s="16" t="n">
        <f aca="false">IF(D678="","",D678*$B$15)</f>
        <v>16.3155037444621</v>
      </c>
      <c r="F678" s="16" t="n">
        <f aca="false" t="array" ref="F678:F678">IF(D678="","",IFERROR(INDEX(Dados_Evap!$C$2:$N$15,MATCH($B$9,Dados_Evap!$A$2:$A$15,0),C678),0))</f>
        <v>149</v>
      </c>
      <c r="G678" s="16" t="n">
        <f aca="false">IF(F678="","",F678/1000)</f>
        <v>0.149</v>
      </c>
      <c r="H678" s="16" t="n">
        <f aca="false">IF(D678="","",MAX(0,MIN($B$8,IFERROR(LOOKUP(2,1/($U$24:U677&lt;&gt;""),$U$24:U677),$B$11))))</f>
        <v>162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15.783</v>
      </c>
      <c r="J678" s="16" t="n">
        <f aca="false">IF(D678="","",$B$12)</f>
        <v>0.432</v>
      </c>
      <c r="K678" s="16" t="n">
        <f aca="false">IF(J678="","",J678*$B$15)</f>
        <v>1.119744</v>
      </c>
      <c r="L678" s="16" t="n">
        <f aca="false">IF(D678="","",H678+E678-K678-G678*I678)</f>
        <v>174.844092744462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16.5511990708116</v>
      </c>
      <c r="N678" s="16" t="n">
        <f aca="false">IF(D678="","",(I678+M678)/2)</f>
        <v>16.1670995354058</v>
      </c>
      <c r="O678" s="16" t="n">
        <f aca="false">IF(D678="","",G678*N678)</f>
        <v>2.40889783077547</v>
      </c>
      <c r="P678" s="16" t="n">
        <f aca="false">IF(D678="","",H678+E678-K678-O678)</f>
        <v>174.786861913687</v>
      </c>
      <c r="Q678" s="16" t="n">
        <f aca="false">IF(D678="","",IF(P678&gt;=0,K678,MAX(0,K678+P678)))</f>
        <v>1.119744</v>
      </c>
      <c r="R678" s="16" t="n">
        <f aca="false">IF(D678="","",Q678/$B$15)</f>
        <v>0.432</v>
      </c>
      <c r="S678" s="16" t="n">
        <f aca="false">IF(D678="","",MAX(0,J678-R678))</f>
        <v>0</v>
      </c>
      <c r="T678" s="16" t="n">
        <f aca="false">IF(D678="","",MAX(0,Z678-$B$8))</f>
        <v>12.7868619136866</v>
      </c>
      <c r="U678" s="16" t="n">
        <f aca="false">IF(D678="","",MAX(0,MIN($B$8,Z678)))</f>
        <v>162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174.786861913687</v>
      </c>
      <c r="AA678" s="18" t="n">
        <f aca="false">IF(D678="","",IF(H678&lt;=$B$16,1,IF(H678&gt;=$B$17,$B$21,MATCH(H678,Aux_CAV!$A$2:$A$121,1))))</f>
        <v>23</v>
      </c>
      <c r="AB678" s="18" t="n">
        <f aca="false">IF(D678="","",IF(L678&lt;=$B$16,1,IF(L678&gt;=$B$17,$B$21,MATCH(L678,Aux_CAV!$A$2:$A$121,1))))</f>
        <v>23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3.67076066086143</v>
      </c>
      <c r="E679" s="16" t="n">
        <f aca="false">IF(D679="","",D679*$B$15)</f>
        <v>9.51461163295283</v>
      </c>
      <c r="F679" s="16" t="n">
        <f aca="false" t="array" ref="F679:F679">IF(D679="","",IFERROR(INDEX(Dados_Evap!$C$2:$N$15,MATCH($B$9,Dados_Evap!$A$2:$A$15,0),C679),0))</f>
        <v>206.8</v>
      </c>
      <c r="G679" s="16" t="n">
        <f aca="false">IF(F679="","",F679/1000)</f>
        <v>0.2068</v>
      </c>
      <c r="H679" s="16" t="n">
        <f aca="false">IF(D679="","",MAX(0,MIN($B$8,IFERROR(LOOKUP(2,1/($U$24:U678&lt;&gt;""),$U$24:U678),$B$11))))</f>
        <v>162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15.783</v>
      </c>
      <c r="J679" s="16" t="n">
        <f aca="false">IF(D679="","",$B$12)</f>
        <v>0.432</v>
      </c>
      <c r="K679" s="16" t="n">
        <f aca="false">IF(J679="","",J679*$B$15)</f>
        <v>1.119744</v>
      </c>
      <c r="L679" s="16" t="n">
        <f aca="false">IF(D679="","",H679+E679-K679-G679*I679)</f>
        <v>167.130943232953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16.0898792714566</v>
      </c>
      <c r="N679" s="16" t="n">
        <f aca="false">IF(D679="","",(I679+M679)/2)</f>
        <v>15.9364396357283</v>
      </c>
      <c r="O679" s="16" t="n">
        <f aca="false">IF(D679="","",G679*N679)</f>
        <v>3.29565571666861</v>
      </c>
      <c r="P679" s="16" t="n">
        <f aca="false">IF(D679="","",H679+E679-K679-O679)</f>
        <v>167.099211916284</v>
      </c>
      <c r="Q679" s="16" t="n">
        <f aca="false">IF(D679="","",IF(P679&gt;=0,K679,MAX(0,K679+P679)))</f>
        <v>1.119744</v>
      </c>
      <c r="R679" s="16" t="n">
        <f aca="false">IF(D679="","",Q679/$B$15)</f>
        <v>0.432</v>
      </c>
      <c r="S679" s="16" t="n">
        <f aca="false">IF(D679="","",MAX(0,J679-R679))</f>
        <v>0</v>
      </c>
      <c r="T679" s="16" t="n">
        <f aca="false">IF(D679="","",MAX(0,Z679-$B$8))</f>
        <v>5.09921191628422</v>
      </c>
      <c r="U679" s="16" t="n">
        <f aca="false">IF(D679="","",MAX(0,MIN($B$8,Z679)))</f>
        <v>162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100</v>
      </c>
      <c r="Z679" s="18" t="n">
        <f aca="false">IF(D679="","",MAX(0,IF(P679&gt;=0,P679,IF(K679+P679&gt;=0,0,P679+K679))))</f>
        <v>167.099211916284</v>
      </c>
      <c r="AA679" s="18" t="n">
        <f aca="false">IF(D679="","",IF(H679&lt;=$B$16,1,IF(H679&gt;=$B$17,$B$21,MATCH(H679,Aux_CAV!$A$2:$A$121,1))))</f>
        <v>23</v>
      </c>
      <c r="AB679" s="18" t="n">
        <f aca="false">IF(D679="","",IF(L679&lt;=$B$16,1,IF(L679&gt;=$B$17,$B$21,MATCH(L679,Aux_CAV!$A$2:$A$121,1))))</f>
        <v>23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3.12301555068785</v>
      </c>
      <c r="E680" s="16" t="n">
        <f aca="false">IF(D680="","",D680*$B$15)</f>
        <v>8.09485630738291</v>
      </c>
      <c r="F680" s="16" t="n">
        <f aca="false" t="array" ref="F680:F680">IF(D680="","",IFERROR(INDEX(Dados_Evap!$C$2:$N$15,MATCH($B$9,Dados_Evap!$A$2:$A$15,0),C680),0))</f>
        <v>245.9</v>
      </c>
      <c r="G680" s="16" t="n">
        <f aca="false">IF(F680="","",F680/1000)</f>
        <v>0.2459</v>
      </c>
      <c r="H680" s="16" t="n">
        <f aca="false">IF(D680="","",MAX(0,MIN($B$8,IFERROR(LOOKUP(2,1/($U$24:U679&lt;&gt;""),$U$24:U679),$B$11))))</f>
        <v>162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15.783</v>
      </c>
      <c r="J680" s="16" t="n">
        <f aca="false">IF(D680="","",$B$12)</f>
        <v>0.432</v>
      </c>
      <c r="K680" s="16" t="n">
        <f aca="false">IF(J680="","",J680*$B$15)</f>
        <v>1.119744</v>
      </c>
      <c r="L680" s="16" t="n">
        <f aca="false">IF(D680="","",H680+E680-K680-G680*I680)</f>
        <v>165.094072607383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15.9680550092797</v>
      </c>
      <c r="N680" s="16" t="n">
        <f aca="false">IF(D680="","",(I680+M680)/2)</f>
        <v>15.8755275046398</v>
      </c>
      <c r="O680" s="16" t="n">
        <f aca="false">IF(D680="","",G680*N680)</f>
        <v>3.90379221339093</v>
      </c>
      <c r="P680" s="16" t="n">
        <f aca="false">IF(D680="","",H680+E680-K680-O680)</f>
        <v>165.071320093992</v>
      </c>
      <c r="Q680" s="16" t="n">
        <f aca="false">IF(D680="","",IF(P680&gt;=0,K680,MAX(0,K680+P680)))</f>
        <v>1.119744</v>
      </c>
      <c r="R680" s="16" t="n">
        <f aca="false">IF(D680="","",Q680/$B$15)</f>
        <v>0.432</v>
      </c>
      <c r="S680" s="16" t="n">
        <f aca="false">IF(D680="","",MAX(0,J680-R680))</f>
        <v>0</v>
      </c>
      <c r="T680" s="16" t="n">
        <f aca="false">IF(D680="","",MAX(0,Z680-$B$8))</f>
        <v>3.07132009399197</v>
      </c>
      <c r="U680" s="16" t="n">
        <f aca="false">IF(D680="","",MAX(0,MIN($B$8,Z680)))</f>
        <v>162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100</v>
      </c>
      <c r="Z680" s="18" t="n">
        <f aca="false">IF(D680="","",MAX(0,IF(P680&gt;=0,P680,IF(K680+P680&gt;=0,0,P680+K680))))</f>
        <v>165.071320093992</v>
      </c>
      <c r="AA680" s="18" t="n">
        <f aca="false">IF(D680="","",IF(H680&lt;=$B$16,1,IF(H680&gt;=$B$17,$B$21,MATCH(H680,Aux_CAV!$A$2:$A$121,1))))</f>
        <v>23</v>
      </c>
      <c r="AB680" s="18" t="n">
        <f aca="false">IF(D680="","",IF(L680&lt;=$B$16,1,IF(L680&gt;=$B$17,$B$21,MATCH(L680,Aux_CAV!$A$2:$A$121,1))))</f>
        <v>23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1.44128383295626</v>
      </c>
      <c r="E681" s="16" t="n">
        <f aca="false">IF(D681="","",D681*$B$15)</f>
        <v>3.73580769502263</v>
      </c>
      <c r="F681" s="16" t="n">
        <f aca="false" t="array" ref="F681:F681">IF(D681="","",IFERROR(INDEX(Dados_Evap!$C$2:$N$15,MATCH($B$9,Dados_Evap!$A$2:$A$15,0),C681),0))</f>
        <v>282.3</v>
      </c>
      <c r="G681" s="16" t="n">
        <f aca="false">IF(F681="","",F681/1000)</f>
        <v>0.2823</v>
      </c>
      <c r="H681" s="16" t="n">
        <f aca="false">IF(D681="","",MAX(0,MIN($B$8,IFERROR(LOOKUP(2,1/($U$24:U680&lt;&gt;""),$U$24:U680),$B$11))))</f>
        <v>162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15.783</v>
      </c>
      <c r="J681" s="16" t="n">
        <f aca="false">IF(D681="","",$B$12)</f>
        <v>0.432</v>
      </c>
      <c r="K681" s="16" t="n">
        <f aca="false">IF(J681="","",J681*$B$15)</f>
        <v>1.119744</v>
      </c>
      <c r="L681" s="16" t="n">
        <f aca="false">IF(D681="","",H681+E681-K681-G681*I681)</f>
        <v>160.160522795023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15.6490736145849</v>
      </c>
      <c r="N681" s="16" t="n">
        <f aca="false">IF(D681="","",(I681+M681)/2)</f>
        <v>15.7160368072925</v>
      </c>
      <c r="O681" s="16" t="n">
        <f aca="false">IF(D681="","",G681*N681)</f>
        <v>4.43663719069866</v>
      </c>
      <c r="P681" s="16" t="n">
        <f aca="false">IF(D681="","",H681+E681-K681-O681)</f>
        <v>160.179426504324</v>
      </c>
      <c r="Q681" s="16" t="n">
        <f aca="false">IF(D681="","",IF(P681&gt;=0,K681,MAX(0,K681+P681)))</f>
        <v>1.119744</v>
      </c>
      <c r="R681" s="16" t="n">
        <f aca="false">IF(D681="","",Q681/$B$15)</f>
        <v>0.432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160.179426504324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98.8761892002</v>
      </c>
      <c r="Z681" s="18" t="n">
        <f aca="false">IF(D681="","",MAX(0,IF(P681&gt;=0,P681,IF(K681+P681&gt;=0,0,P681+K681))))</f>
        <v>160.179426504324</v>
      </c>
      <c r="AA681" s="18" t="n">
        <f aca="false">IF(D681="","",IF(H681&lt;=$B$16,1,IF(H681&gt;=$B$17,$B$21,MATCH(H681,Aux_CAV!$A$2:$A$121,1))))</f>
        <v>23</v>
      </c>
      <c r="AB681" s="18" t="n">
        <f aca="false">IF(D681="","",IF(L681&lt;=$B$16,1,IF(L681&gt;=$B$17,$B$21,MATCH(L681,Aux_CAV!$A$2:$A$121,1))))</f>
        <v>22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1.04667359535251</v>
      </c>
      <c r="E682" s="16" t="n">
        <f aca="false">IF(D682="","",D682*$B$15)</f>
        <v>2.71297795915371</v>
      </c>
      <c r="F682" s="16" t="n">
        <f aca="false" t="array" ref="F682:F682">IF(D682="","",IFERROR(INDEX(Dados_Evap!$C$2:$N$15,MATCH($B$9,Dados_Evap!$A$2:$A$15,0),C682),0))</f>
        <v>241.3</v>
      </c>
      <c r="G682" s="16" t="n">
        <f aca="false">IF(F682="","",F682/1000)</f>
        <v>0.2413</v>
      </c>
      <c r="H682" s="16" t="n">
        <f aca="false">IF(D682="","",MAX(0,MIN($B$8,IFERROR(LOOKUP(2,1/($U$24:U681&lt;&gt;""),$U$24:U681),$B$11))))</f>
        <v>160.179426504324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15.6504499325142</v>
      </c>
      <c r="J682" s="16" t="n">
        <f aca="false">IF(D682="","",$B$12)</f>
        <v>0.432</v>
      </c>
      <c r="K682" s="16" t="n">
        <f aca="false">IF(J682="","",J682*$B$15)</f>
        <v>1.119744</v>
      </c>
      <c r="L682" s="16" t="n">
        <f aca="false">IF(D682="","",H682+E682-K682-G682*I682)</f>
        <v>157.996206894762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15.491496774473</v>
      </c>
      <c r="N682" s="16" t="n">
        <f aca="false">IF(D682="","",(I682+M682)/2)</f>
        <v>15.5709733534936</v>
      </c>
      <c r="O682" s="16" t="n">
        <f aca="false">IF(D682="","",G682*N682)</f>
        <v>3.757275870198</v>
      </c>
      <c r="P682" s="16" t="n">
        <f aca="false">IF(D682="","",H682+E682-K682-O682)</f>
        <v>158.01538459328</v>
      </c>
      <c r="Q682" s="16" t="n">
        <f aca="false">IF(D682="","",IF(P682&gt;=0,K682,MAX(0,K682+P682)))</f>
        <v>1.119744</v>
      </c>
      <c r="R682" s="16" t="n">
        <f aca="false">IF(D682="","",Q682/$B$15)</f>
        <v>0.432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158.01538459328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97.5403608600492</v>
      </c>
      <c r="Z682" s="18" t="n">
        <f aca="false">IF(D682="","",MAX(0,IF(P682&gt;=0,P682,IF(K682+P682&gt;=0,0,P682+K682))))</f>
        <v>158.01538459328</v>
      </c>
      <c r="AA682" s="18" t="n">
        <f aca="false">IF(D682="","",IF(H682&lt;=$B$16,1,IF(H682&gt;=$B$17,$B$21,MATCH(H682,Aux_CAV!$A$2:$A$121,1))))</f>
        <v>22</v>
      </c>
      <c r="AB682" s="18" t="n">
        <f aca="false">IF(D682="","",IF(L682&lt;=$B$16,1,IF(L682&gt;=$B$17,$B$21,MATCH(L682,Aux_CAV!$A$2:$A$121,1))))</f>
        <v>22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1.118324130135</v>
      </c>
      <c r="E683" s="16" t="n">
        <f aca="false">IF(D683="","",D683*$B$15)</f>
        <v>2.89869614530992</v>
      </c>
      <c r="F683" s="16" t="n">
        <f aca="false" t="array" ref="F683:F683">IF(D683="","",IFERROR(INDEX(Dados_Evap!$C$2:$N$15,MATCH($B$9,Dados_Evap!$A$2:$A$15,0),C683),0))</f>
        <v>241.8</v>
      </c>
      <c r="G683" s="16" t="n">
        <f aca="false">IF(F683="","",F683/1000)</f>
        <v>0.2418</v>
      </c>
      <c r="H683" s="16" t="n">
        <f aca="false">IF(D683="","",MAX(0,MIN($B$8,IFERROR(LOOKUP(2,1/($U$24:U682&lt;&gt;""),$U$24:U682),$B$11))))</f>
        <v>158.01538459328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15.4928930406709</v>
      </c>
      <c r="J683" s="16" t="n">
        <f aca="false">IF(D683="","",$B$12)</f>
        <v>0.432</v>
      </c>
      <c r="K683" s="16" t="n">
        <f aca="false">IF(J683="","",J683*$B$15)</f>
        <v>1.119744</v>
      </c>
      <c r="L683" s="16" t="n">
        <f aca="false">IF(D683="","",H683+E683-K683-G683*I683)</f>
        <v>156.048155201355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15.3496654317449</v>
      </c>
      <c r="N683" s="16" t="n">
        <f aca="false">IF(D683="","",(I683+M683)/2)</f>
        <v>15.4212792362079</v>
      </c>
      <c r="O683" s="16" t="n">
        <f aca="false">IF(D683="","",G683*N683)</f>
        <v>3.72886531931507</v>
      </c>
      <c r="P683" s="16" t="n">
        <f aca="false">IF(D683="","",H683+E683-K683-O683)</f>
        <v>156.065471419275</v>
      </c>
      <c r="Q683" s="16" t="n">
        <f aca="false">IF(D683="","",IF(P683&gt;=0,K683,MAX(0,K683+P683)))</f>
        <v>1.119744</v>
      </c>
      <c r="R683" s="16" t="n">
        <f aca="false">IF(D683="","",Q683/$B$15)</f>
        <v>0.432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156.065471419275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96.3367107526386</v>
      </c>
      <c r="Z683" s="18" t="n">
        <f aca="false">IF(D683="","",MAX(0,IF(P683&gt;=0,P683,IF(K683+P683&gt;=0,0,P683+K683))))</f>
        <v>156.065471419275</v>
      </c>
      <c r="AA683" s="18" t="n">
        <f aca="false">IF(D683="","",IF(H683&lt;=$B$16,1,IF(H683&gt;=$B$17,$B$21,MATCH(H683,Aux_CAV!$A$2:$A$121,1))))</f>
        <v>22</v>
      </c>
      <c r="AB683" s="18" t="n">
        <f aca="false">IF(D683="","",IF(L683&lt;=$B$16,1,IF(L683&gt;=$B$17,$B$21,MATCH(L683,Aux_CAV!$A$2:$A$121,1))))</f>
        <v>22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1.76586764918145</v>
      </c>
      <c r="E684" s="16" t="n">
        <f aca="false">IF(D684="","",D684*$B$15)</f>
        <v>4.57712894667832</v>
      </c>
      <c r="F684" s="16" t="n">
        <f aca="false" t="array" ref="F684:F684">IF(D684="","",IFERROR(INDEX(Dados_Evap!$C$2:$N$15,MATCH($B$9,Dados_Evap!$A$2:$A$15,0),C684),0))</f>
        <v>189</v>
      </c>
      <c r="G684" s="16" t="n">
        <f aca="false">IF(F684="","",F684/1000)</f>
        <v>0.189</v>
      </c>
      <c r="H684" s="16" t="n">
        <f aca="false">IF(D684="","",MAX(0,MIN($B$8,IFERROR(LOOKUP(2,1/($U$24:U683&lt;&gt;""),$U$24:U683),$B$11))))</f>
        <v>156.065471419275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15.3509261695614</v>
      </c>
      <c r="J684" s="16" t="n">
        <f aca="false">IF(D684="","",$B$12)</f>
        <v>0.432</v>
      </c>
      <c r="K684" s="16" t="n">
        <f aca="false">IF(J684="","",J684*$B$15)</f>
        <v>1.119744</v>
      </c>
      <c r="L684" s="16" t="n">
        <f aca="false">IF(D684="","",H684+E684-K684-G684*I684)</f>
        <v>156.621531319906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15.3914110923233</v>
      </c>
      <c r="N684" s="16" t="n">
        <f aca="false">IF(D684="","",(I684+M684)/2)</f>
        <v>15.3711686309424</v>
      </c>
      <c r="O684" s="16" t="n">
        <f aca="false">IF(D684="","",G684*N684)</f>
        <v>2.90515087124811</v>
      </c>
      <c r="P684" s="16" t="n">
        <f aca="false">IF(D684="","",H684+E684-K684-O684)</f>
        <v>156.617705494705</v>
      </c>
      <c r="Q684" s="16" t="n">
        <f aca="false">IF(D684="","",IF(P684&gt;=0,K684,MAX(0,K684+P684)))</f>
        <v>1.119744</v>
      </c>
      <c r="R684" s="16" t="n">
        <f aca="false">IF(D684="","",Q684/$B$15)</f>
        <v>0.432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156.617705494705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96.6775959843856</v>
      </c>
      <c r="Z684" s="18" t="n">
        <f aca="false">IF(D684="","",MAX(0,IF(P684&gt;=0,P684,IF(K684+P684&gt;=0,0,P684+K684))))</f>
        <v>156.617705494705</v>
      </c>
      <c r="AA684" s="18" t="n">
        <f aca="false">IF(D684="","",IF(H684&lt;=$B$16,1,IF(H684&gt;=$B$17,$B$21,MATCH(H684,Aux_CAV!$A$2:$A$121,1))))</f>
        <v>22</v>
      </c>
      <c r="AB684" s="18" t="n">
        <f aca="false">IF(D684="","",IF(L684&lt;=$B$16,1,IF(L684&gt;=$B$17,$B$21,MATCH(L684,Aux_CAV!$A$2:$A$121,1))))</f>
        <v>22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1.26642537771868</v>
      </c>
      <c r="E685" s="16" t="n">
        <f aca="false">IF(D685="","",D685*$B$15)</f>
        <v>3.28257457904682</v>
      </c>
      <c r="F685" s="16" t="n">
        <f aca="false" t="array" ref="F685:F685">IF(D685="","",IFERROR(INDEX(Dados_Evap!$C$2:$N$15,MATCH($B$9,Dados_Evap!$A$2:$A$15,0),C685),0))</f>
        <v>136.9</v>
      </c>
      <c r="G685" s="16" t="n">
        <f aca="false">IF(F685="","",F685/1000)</f>
        <v>0.1369</v>
      </c>
      <c r="H685" s="16" t="n">
        <f aca="false">IF(D685="","",MAX(0,MIN($B$8,IFERROR(LOOKUP(2,1/($U$24:U684&lt;&gt;""),$U$24:U684),$B$11))))</f>
        <v>156.617705494705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15.3911325463653</v>
      </c>
      <c r="J685" s="16" t="n">
        <f aca="false">IF(D685="","",$B$12)</f>
        <v>0.432</v>
      </c>
      <c r="K685" s="16" t="n">
        <f aca="false">IF(J685="","",J685*$B$15)</f>
        <v>1.119744</v>
      </c>
      <c r="L685" s="16" t="n">
        <f aca="false">IF(D685="","",H685+E685-K685-G685*I685)</f>
        <v>156.673490028154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15.3951940378079</v>
      </c>
      <c r="N685" s="16" t="n">
        <f aca="false">IF(D685="","",(I685+M685)/2)</f>
        <v>15.3931632920866</v>
      </c>
      <c r="O685" s="16" t="n">
        <f aca="false">IF(D685="","",G685*N685)</f>
        <v>2.10732405468666</v>
      </c>
      <c r="P685" s="16" t="n">
        <f aca="false">IF(D685="","",H685+E685-K685-O685)</f>
        <v>156.673212019065</v>
      </c>
      <c r="Q685" s="16" t="n">
        <f aca="false">IF(D685="","",IF(P685&gt;=0,K685,MAX(0,K685+P685)))</f>
        <v>1.119744</v>
      </c>
      <c r="R685" s="16" t="n">
        <f aca="false">IF(D685="","",Q685/$B$15)</f>
        <v>0.432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156.673212019065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96.7118592710277</v>
      </c>
      <c r="Z685" s="18" t="n">
        <f aca="false">IF(D685="","",MAX(0,IF(P685&gt;=0,P685,IF(K685+P685&gt;=0,0,P685+K685))))</f>
        <v>156.673212019065</v>
      </c>
      <c r="AA685" s="18" t="n">
        <f aca="false">IF(D685="","",IF(H685&lt;=$B$16,1,IF(H685&gt;=$B$17,$B$21,MATCH(H685,Aux_CAV!$A$2:$A$121,1))))</f>
        <v>22</v>
      </c>
      <c r="AB685" s="18" t="n">
        <f aca="false">IF(D685="","",IF(L685&lt;=$B$16,1,IF(L685&gt;=$B$17,$B$21,MATCH(L685,Aux_CAV!$A$2:$A$121,1))))</f>
        <v>22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4.0240757054443</v>
      </c>
      <c r="E686" s="16" t="n">
        <f aca="false">IF(D686="","",D686*$B$15)</f>
        <v>10.4304042285116</v>
      </c>
      <c r="F686" s="16" t="n">
        <f aca="false" t="array" ref="F686:F686">IF(D686="","",IFERROR(INDEX(Dados_Evap!$C$2:$N$15,MATCH($B$9,Dados_Evap!$A$2:$A$15,0),C686),0))</f>
        <v>102.9</v>
      </c>
      <c r="G686" s="16" t="n">
        <f aca="false">IF(F686="","",F686/1000)</f>
        <v>0.1029</v>
      </c>
      <c r="H686" s="16" t="n">
        <f aca="false">IF(D686="","",MAX(0,MIN($B$8,IFERROR(LOOKUP(2,1/($U$24:U685&lt;&gt;""),$U$24:U685),$B$11))))</f>
        <v>156.673212019065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15.3951737968654</v>
      </c>
      <c r="J686" s="16" t="n">
        <f aca="false">IF(D686="","",$B$12)</f>
        <v>0.432</v>
      </c>
      <c r="K686" s="16" t="n">
        <f aca="false">IF(J686="","",J686*$B$15)</f>
        <v>1.119744</v>
      </c>
      <c r="L686" s="16" t="n">
        <f aca="false">IF(D686="","",H686+E686-K686-G686*I686)</f>
        <v>164.399708863879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15.9265254444301</v>
      </c>
      <c r="N686" s="16" t="n">
        <f aca="false">IF(D686="","",(I686+M686)/2)</f>
        <v>15.6608496206477</v>
      </c>
      <c r="O686" s="16" t="n">
        <f aca="false">IF(D686="","",G686*N686)</f>
        <v>1.61150142596465</v>
      </c>
      <c r="P686" s="16" t="n">
        <f aca="false">IF(D686="","",H686+E686-K686-O686)</f>
        <v>164.372370821612</v>
      </c>
      <c r="Q686" s="16" t="n">
        <f aca="false">IF(D686="","",IF(P686&gt;=0,K686,MAX(0,K686+P686)))</f>
        <v>1.119744</v>
      </c>
      <c r="R686" s="16" t="n">
        <f aca="false">IF(D686="","",Q686/$B$15)</f>
        <v>0.432</v>
      </c>
      <c r="S686" s="16" t="n">
        <f aca="false">IF(D686="","",MAX(0,J686-R686))</f>
        <v>0</v>
      </c>
      <c r="T686" s="16" t="n">
        <f aca="false">IF(D686="","",MAX(0,Z686-$B$8))</f>
        <v>2.37237082161187</v>
      </c>
      <c r="U686" s="16" t="n">
        <f aca="false">IF(D686="","",MAX(0,MIN($B$8,Z686)))</f>
        <v>162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100</v>
      </c>
      <c r="Z686" s="18" t="n">
        <f aca="false">IF(D686="","",MAX(0,IF(P686&gt;=0,P686,IF(K686+P686&gt;=0,0,P686+K686))))</f>
        <v>164.372370821612</v>
      </c>
      <c r="AA686" s="18" t="n">
        <f aca="false">IF(D686="","",IF(H686&lt;=$B$16,1,IF(H686&gt;=$B$17,$B$21,MATCH(H686,Aux_CAV!$A$2:$A$121,1))))</f>
        <v>22</v>
      </c>
      <c r="AB686" s="18" t="n">
        <f aca="false">IF(D686="","",IF(L686&lt;=$B$16,1,IF(L686&gt;=$B$17,$B$21,MATCH(L686,Aux_CAV!$A$2:$A$121,1))))</f>
        <v>23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13.1158179438163</v>
      </c>
      <c r="E687" s="16" t="n">
        <f aca="false">IF(D687="","",D687*$B$15)</f>
        <v>33.9962001103719</v>
      </c>
      <c r="F687" s="16" t="n">
        <f aca="false" t="array" ref="F687:F687">IF(D687="","",IFERROR(INDEX(Dados_Evap!$C$2:$N$15,MATCH($B$9,Dados_Evap!$A$2:$A$15,0),C687),0))</f>
        <v>81.8</v>
      </c>
      <c r="G687" s="16" t="n">
        <f aca="false">IF(F687="","",F687/1000)</f>
        <v>0.0818</v>
      </c>
      <c r="H687" s="16" t="n">
        <f aca="false">IF(D687="","",MAX(0,MIN($B$8,IFERROR(LOOKUP(2,1/($U$24:U686&lt;&gt;""),$U$24:U686),$B$11))))</f>
        <v>162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15.783</v>
      </c>
      <c r="J687" s="16" t="n">
        <f aca="false">IF(D687="","",$B$12)</f>
        <v>0.432</v>
      </c>
      <c r="K687" s="16" t="n">
        <f aca="false">IF(J687="","",J687*$B$15)</f>
        <v>1.119744</v>
      </c>
      <c r="L687" s="16" t="n">
        <f aca="false">IF(D687="","",H687+E687-K687-G687*I687)</f>
        <v>193.585406710372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17.6721081346775</v>
      </c>
      <c r="N687" s="16" t="n">
        <f aca="false">IF(D687="","",(I687+M687)/2)</f>
        <v>16.7275540673387</v>
      </c>
      <c r="O687" s="16" t="n">
        <f aca="false">IF(D687="","",G687*N687)</f>
        <v>1.36831392270831</v>
      </c>
      <c r="P687" s="16" t="n">
        <f aca="false">IF(D687="","",H687+E687-K687-O687)</f>
        <v>193.508142187664</v>
      </c>
      <c r="Q687" s="16" t="n">
        <f aca="false">IF(D687="","",IF(P687&gt;=0,K687,MAX(0,K687+P687)))</f>
        <v>1.119744</v>
      </c>
      <c r="R687" s="16" t="n">
        <f aca="false">IF(D687="","",Q687/$B$15)</f>
        <v>0.432</v>
      </c>
      <c r="S687" s="16" t="n">
        <f aca="false">IF(D687="","",MAX(0,J687-R687))</f>
        <v>0</v>
      </c>
      <c r="T687" s="16" t="n">
        <f aca="false">IF(D687="","",MAX(0,Z687-$B$8))</f>
        <v>31.5081421876636</v>
      </c>
      <c r="U687" s="16" t="n">
        <f aca="false">IF(D687="","",MAX(0,MIN($B$8,Z687)))</f>
        <v>162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193.508142187664</v>
      </c>
      <c r="AA687" s="18" t="n">
        <f aca="false">IF(D687="","",IF(H687&lt;=$B$16,1,IF(H687&gt;=$B$17,$B$21,MATCH(H687,Aux_CAV!$A$2:$A$121,1))))</f>
        <v>23</v>
      </c>
      <c r="AB687" s="18" t="n">
        <f aca="false">IF(D687="","",IF(L687&lt;=$B$16,1,IF(L687&gt;=$B$17,$B$21,MATCH(L687,Aux_CAV!$A$2:$A$121,1))))</f>
        <v>23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11.9972523995044</v>
      </c>
      <c r="E688" s="16" t="n">
        <f aca="false">IF(D688="","",D688*$B$15)</f>
        <v>31.0968782195154</v>
      </c>
      <c r="F688" s="16" t="n">
        <f aca="false" t="array" ref="F688:F688">IF(D688="","",IFERROR(INDEX(Dados_Evap!$C$2:$N$15,MATCH($B$9,Dados_Evap!$A$2:$A$15,0),C688),0))</f>
        <v>83.6</v>
      </c>
      <c r="G688" s="16" t="n">
        <f aca="false">IF(F688="","",F688/1000)</f>
        <v>0.0836</v>
      </c>
      <c r="H688" s="16" t="n">
        <f aca="false">IF(D688="","",MAX(0,MIN($B$8,IFERROR(LOOKUP(2,1/($U$24:U687&lt;&gt;""),$U$24:U687),$B$11))))</f>
        <v>162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15.783</v>
      </c>
      <c r="J688" s="16" t="n">
        <f aca="false">IF(D688="","",$B$12)</f>
        <v>0.432</v>
      </c>
      <c r="K688" s="16" t="n">
        <f aca="false">IF(J688="","",J688*$B$15)</f>
        <v>1.119744</v>
      </c>
      <c r="L688" s="16" t="n">
        <f aca="false">IF(D688="","",H688+E688-K688-G688*I688)</f>
        <v>190.657675419515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17.4970019203291</v>
      </c>
      <c r="N688" s="16" t="n">
        <f aca="false">IF(D688="","",(I688+M688)/2)</f>
        <v>16.6400009601646</v>
      </c>
      <c r="O688" s="16" t="n">
        <f aca="false">IF(D688="","",G688*N688)</f>
        <v>1.39110408026976</v>
      </c>
      <c r="P688" s="16" t="n">
        <f aca="false">IF(D688="","",H688+E688-K688-O688)</f>
        <v>190.586030139246</v>
      </c>
      <c r="Q688" s="16" t="n">
        <f aca="false">IF(D688="","",IF(P688&gt;=0,K688,MAX(0,K688+P688)))</f>
        <v>1.119744</v>
      </c>
      <c r="R688" s="16" t="n">
        <f aca="false">IF(D688="","",Q688/$B$15)</f>
        <v>0.432</v>
      </c>
      <c r="S688" s="16" t="n">
        <f aca="false">IF(D688="","",MAX(0,J688-R688))</f>
        <v>0</v>
      </c>
      <c r="T688" s="16" t="n">
        <f aca="false">IF(D688="","",MAX(0,Z688-$B$8))</f>
        <v>28.5860301392457</v>
      </c>
      <c r="U688" s="16" t="n">
        <f aca="false">IF(D688="","",MAX(0,MIN($B$8,Z688)))</f>
        <v>162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190.586030139246</v>
      </c>
      <c r="AA688" s="18" t="n">
        <f aca="false">IF(D688="","",IF(H688&lt;=$B$16,1,IF(H688&gt;=$B$17,$B$21,MATCH(H688,Aux_CAV!$A$2:$A$121,1))))</f>
        <v>23</v>
      </c>
      <c r="AB688" s="18" t="n">
        <f aca="false">IF(D688="","",IF(L688&lt;=$B$16,1,IF(L688&gt;=$B$17,$B$21,MATCH(L688,Aux_CAV!$A$2:$A$121,1))))</f>
        <v>23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16.2255242012911</v>
      </c>
      <c r="E689" s="16" t="n">
        <f aca="false">IF(D689="","",D689*$B$15)</f>
        <v>42.0565587297465</v>
      </c>
      <c r="F689" s="16" t="n">
        <f aca="false" t="array" ref="F689:F689">IF(D689="","",IFERROR(INDEX(Dados_Evap!$C$2:$N$15,MATCH($B$9,Dados_Evap!$A$2:$A$15,0),C689),0))</f>
        <v>108.2</v>
      </c>
      <c r="G689" s="16" t="n">
        <f aca="false">IF(F689="","",F689/1000)</f>
        <v>0.1082</v>
      </c>
      <c r="H689" s="16" t="n">
        <f aca="false">IF(D689="","",MAX(0,MIN($B$8,IFERROR(LOOKUP(2,1/($U$24:U688&lt;&gt;""),$U$24:U688),$B$11))))</f>
        <v>162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15.783</v>
      </c>
      <c r="J689" s="16" t="n">
        <f aca="false">IF(D689="","",$B$12)</f>
        <v>0.432</v>
      </c>
      <c r="K689" s="16" t="n">
        <f aca="false">IF(J689="","",J689*$B$15)</f>
        <v>1.119744</v>
      </c>
      <c r="L689" s="16" t="n">
        <f aca="false">IF(D689="","",H689+E689-K689-G689*I689)</f>
        <v>201.229094129747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18.1292734393791</v>
      </c>
      <c r="N689" s="16" t="n">
        <f aca="false">IF(D689="","",(I689+M689)/2)</f>
        <v>16.9561367196896</v>
      </c>
      <c r="O689" s="16" t="n">
        <f aca="false">IF(D689="","",G689*N689)</f>
        <v>1.83465399307041</v>
      </c>
      <c r="P689" s="16" t="n">
        <f aca="false">IF(D689="","",H689+E689-K689-O689)</f>
        <v>201.102160736676</v>
      </c>
      <c r="Q689" s="16" t="n">
        <f aca="false">IF(D689="","",IF(P689&gt;=0,K689,MAX(0,K689+P689)))</f>
        <v>1.119744</v>
      </c>
      <c r="R689" s="16" t="n">
        <f aca="false">IF(D689="","",Q689/$B$15)</f>
        <v>0.432</v>
      </c>
      <c r="S689" s="16" t="n">
        <f aca="false">IF(D689="","",MAX(0,J689-R689))</f>
        <v>0</v>
      </c>
      <c r="T689" s="16" t="n">
        <f aca="false">IF(D689="","",MAX(0,Z689-$B$8))</f>
        <v>39.1021607366761</v>
      </c>
      <c r="U689" s="16" t="n">
        <f aca="false">IF(D689="","",MAX(0,MIN($B$8,Z689)))</f>
        <v>162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201.102160736676</v>
      </c>
      <c r="AA689" s="18" t="n">
        <f aca="false">IF(D689="","",IF(H689&lt;=$B$16,1,IF(H689&gt;=$B$17,$B$21,MATCH(H689,Aux_CAV!$A$2:$A$121,1))))</f>
        <v>23</v>
      </c>
      <c r="AB689" s="18" t="n">
        <f aca="false">IF(D689="","",IF(L689&lt;=$B$16,1,IF(L689&gt;=$B$17,$B$21,MATCH(L689,Aux_CAV!$A$2:$A$121,1))))</f>
        <v>23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3.55151946021556</v>
      </c>
      <c r="E690" s="16" t="n">
        <f aca="false">IF(D690="","",D690*$B$15)</f>
        <v>9.20553844087873</v>
      </c>
      <c r="F690" s="16" t="n">
        <f aca="false" t="array" ref="F690:F690">IF(D690="","",IFERROR(INDEX(Dados_Evap!$C$2:$N$15,MATCH($B$9,Dados_Evap!$A$2:$A$15,0),C690),0))</f>
        <v>149</v>
      </c>
      <c r="G690" s="16" t="n">
        <f aca="false">IF(F690="","",F690/1000)</f>
        <v>0.149</v>
      </c>
      <c r="H690" s="16" t="n">
        <f aca="false">IF(D690="","",MAX(0,MIN($B$8,IFERROR(LOOKUP(2,1/($U$24:U689&lt;&gt;""),$U$24:U689),$B$11))))</f>
        <v>162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15.783</v>
      </c>
      <c r="J690" s="16" t="n">
        <f aca="false">IF(D690="","",$B$12)</f>
        <v>0.432</v>
      </c>
      <c r="K690" s="16" t="n">
        <f aca="false">IF(J690="","",J690*$B$15)</f>
        <v>1.119744</v>
      </c>
      <c r="L690" s="16" t="n">
        <f aca="false">IF(D690="","",H690+E690-K690-G690*I690)</f>
        <v>167.734127440879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16.1259554317021</v>
      </c>
      <c r="N690" s="16" t="n">
        <f aca="false">IF(D690="","",(I690+M690)/2)</f>
        <v>15.954477715851</v>
      </c>
      <c r="O690" s="16" t="n">
        <f aca="false">IF(D690="","",G690*N690)</f>
        <v>2.37721717966181</v>
      </c>
      <c r="P690" s="16" t="n">
        <f aca="false">IF(D690="","",H690+E690-K690-O690)</f>
        <v>167.708577261217</v>
      </c>
      <c r="Q690" s="16" t="n">
        <f aca="false">IF(D690="","",IF(P690&gt;=0,K690,MAX(0,K690+P690)))</f>
        <v>1.119744</v>
      </c>
      <c r="R690" s="16" t="n">
        <f aca="false">IF(D690="","",Q690/$B$15)</f>
        <v>0.432</v>
      </c>
      <c r="S690" s="16" t="n">
        <f aca="false">IF(D690="","",MAX(0,J690-R690))</f>
        <v>0</v>
      </c>
      <c r="T690" s="16" t="n">
        <f aca="false">IF(D690="","",MAX(0,Z690-$B$8))</f>
        <v>5.70857726121693</v>
      </c>
      <c r="U690" s="16" t="n">
        <f aca="false">IF(D690="","",MAX(0,MIN($B$8,Z690)))</f>
        <v>162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100</v>
      </c>
      <c r="Z690" s="18" t="n">
        <f aca="false">IF(D690="","",MAX(0,IF(P690&gt;=0,P690,IF(K690+P690&gt;=0,0,P690+K690))))</f>
        <v>167.708577261217</v>
      </c>
      <c r="AA690" s="18" t="n">
        <f aca="false">IF(D690="","",IF(H690&lt;=$B$16,1,IF(H690&gt;=$B$17,$B$21,MATCH(H690,Aux_CAV!$A$2:$A$121,1))))</f>
        <v>23</v>
      </c>
      <c r="AB690" s="18" t="n">
        <f aca="false">IF(D690="","",IF(L690&lt;=$B$16,1,IF(L690&gt;=$B$17,$B$21,MATCH(L690,Aux_CAV!$A$2:$A$121,1))))</f>
        <v>23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0.934055854259845</v>
      </c>
      <c r="E691" s="16" t="n">
        <f aca="false">IF(D691="","",D691*$B$15)</f>
        <v>2.42107277424152</v>
      </c>
      <c r="F691" s="16" t="n">
        <f aca="false" t="array" ref="F691:F691">IF(D691="","",IFERROR(INDEX(Dados_Evap!$C$2:$N$15,MATCH($B$9,Dados_Evap!$A$2:$A$15,0),C691),0))</f>
        <v>206.8</v>
      </c>
      <c r="G691" s="16" t="n">
        <f aca="false">IF(F691="","",F691/1000)</f>
        <v>0.2068</v>
      </c>
      <c r="H691" s="16" t="n">
        <f aca="false">IF(D691="","",MAX(0,MIN($B$8,IFERROR(LOOKUP(2,1/($U$24:U690&lt;&gt;""),$U$24:U690),$B$11))))</f>
        <v>162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15.783</v>
      </c>
      <c r="J691" s="16" t="n">
        <f aca="false">IF(D691="","",$B$12)</f>
        <v>0.432</v>
      </c>
      <c r="K691" s="16" t="n">
        <f aca="false">IF(J691="","",J691*$B$15)</f>
        <v>1.119744</v>
      </c>
      <c r="L691" s="16" t="n">
        <f aca="false">IF(D691="","",H691+E691-K691-G691*I691)</f>
        <v>160.037404374242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15.6401097606004</v>
      </c>
      <c r="N691" s="16" t="n">
        <f aca="false">IF(D691="","",(I691+M691)/2)</f>
        <v>15.7115548803002</v>
      </c>
      <c r="O691" s="16" t="n">
        <f aca="false">IF(D691="","",G691*N691)</f>
        <v>3.24914954924609</v>
      </c>
      <c r="P691" s="16" t="n">
        <f aca="false">IF(D691="","",H691+E691-K691-O691)</f>
        <v>160.052179224995</v>
      </c>
      <c r="Q691" s="16" t="n">
        <f aca="false">IF(D691="","",IF(P691&gt;=0,K691,MAX(0,K691+P691)))</f>
        <v>1.119744</v>
      </c>
      <c r="R691" s="16" t="n">
        <f aca="false">IF(D691="","",Q691/$B$15)</f>
        <v>0.432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160.052179224995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98.7976414969108</v>
      </c>
      <c r="Z691" s="18" t="n">
        <f aca="false">IF(D691="","",MAX(0,IF(P691&gt;=0,P691,IF(K691+P691&gt;=0,0,P691+K691))))</f>
        <v>160.052179224995</v>
      </c>
      <c r="AA691" s="18" t="n">
        <f aca="false">IF(D691="","",IF(H691&lt;=$B$16,1,IF(H691&gt;=$B$17,$B$21,MATCH(H691,Aux_CAV!$A$2:$A$121,1))))</f>
        <v>23</v>
      </c>
      <c r="AB691" s="18" t="n">
        <f aca="false">IF(D691="","",IF(L691&lt;=$B$16,1,IF(L691&gt;=$B$17,$B$21,MATCH(L691,Aux_CAV!$A$2:$A$121,1))))</f>
        <v>22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1.02835148230045</v>
      </c>
      <c r="E692" s="16" t="n">
        <f aca="false">IF(D692="","",D692*$B$15)</f>
        <v>2.66548704212277</v>
      </c>
      <c r="F692" s="16" t="n">
        <f aca="false" t="array" ref="F692:F692">IF(D692="","",IFERROR(INDEX(Dados_Evap!$C$2:$N$15,MATCH($B$9,Dados_Evap!$A$2:$A$15,0),C692),0))</f>
        <v>245.9</v>
      </c>
      <c r="G692" s="16" t="n">
        <f aca="false">IF(F692="","",F692/1000)</f>
        <v>0.2459</v>
      </c>
      <c r="H692" s="16" t="n">
        <f aca="false">IF(D692="","",MAX(0,MIN($B$8,IFERROR(LOOKUP(2,1/($U$24:U691&lt;&gt;""),$U$24:U691),$B$11))))</f>
        <v>160.052179224995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15.6411854696938</v>
      </c>
      <c r="J692" s="16" t="n">
        <f aca="false">IF(D692="","",$B$12)</f>
        <v>0.432</v>
      </c>
      <c r="K692" s="16" t="n">
        <f aca="false">IF(J692="","",J692*$B$15)</f>
        <v>1.119744</v>
      </c>
      <c r="L692" s="16" t="n">
        <f aca="false">IF(D692="","",H692+E692-K692-G692*I692)</f>
        <v>157.751754760121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15.4736990052422</v>
      </c>
      <c r="N692" s="16" t="n">
        <f aca="false">IF(D692="","",(I692+M692)/2)</f>
        <v>15.557442237468</v>
      </c>
      <c r="O692" s="16" t="n">
        <f aca="false">IF(D692="","",G692*N692)</f>
        <v>3.82557504619338</v>
      </c>
      <c r="P692" s="16" t="n">
        <f aca="false">IF(D692="","",H692+E692-K692-O692)</f>
        <v>157.772347220925</v>
      </c>
      <c r="Q692" s="16" t="n">
        <f aca="false">IF(D692="","",IF(P692&gt;=0,K692,MAX(0,K692+P692)))</f>
        <v>1.119744</v>
      </c>
      <c r="R692" s="16" t="n">
        <f aca="false">IF(D692="","",Q692/$B$15)</f>
        <v>0.432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157.772347220925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97.3903377906943</v>
      </c>
      <c r="Z692" s="18" t="n">
        <f aca="false">IF(D692="","",MAX(0,IF(P692&gt;=0,P692,IF(K692+P692&gt;=0,0,P692+K692))))</f>
        <v>157.772347220925</v>
      </c>
      <c r="AA692" s="18" t="n">
        <f aca="false">IF(D692="","",IF(H692&lt;=$B$16,1,IF(H692&gt;=$B$17,$B$21,MATCH(H692,Aux_CAV!$A$2:$A$121,1))))</f>
        <v>22</v>
      </c>
      <c r="AB692" s="18" t="n">
        <f aca="false">IF(D692="","",IF(L692&lt;=$B$16,1,IF(L692&gt;=$B$17,$B$21,MATCH(L692,Aux_CAV!$A$2:$A$121,1))))</f>
        <v>22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1.10478355411867</v>
      </c>
      <c r="E693" s="16" t="n">
        <f aca="false">IF(D693="","",D693*$B$15)</f>
        <v>2.86359897227559</v>
      </c>
      <c r="F693" s="16" t="n">
        <f aca="false" t="array" ref="F693:F693">IF(D693="","",IFERROR(INDEX(Dados_Evap!$C$2:$N$15,MATCH($B$9,Dados_Evap!$A$2:$A$15,0),C693),0))</f>
        <v>282.3</v>
      </c>
      <c r="G693" s="16" t="n">
        <f aca="false">IF(F693="","",F693/1000)</f>
        <v>0.2823</v>
      </c>
      <c r="H693" s="16" t="n">
        <f aca="false">IF(D693="","",MAX(0,MIN($B$8,IFERROR(LOOKUP(2,1/($U$24:U692&lt;&gt;""),$U$24:U692),$B$11))))</f>
        <v>157.772347220925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15.475198275706</v>
      </c>
      <c r="J693" s="16" t="n">
        <f aca="false">IF(D693="","",$B$12)</f>
        <v>0.432</v>
      </c>
      <c r="K693" s="16" t="n">
        <f aca="false">IF(J693="","",J693*$B$15)</f>
        <v>1.119744</v>
      </c>
      <c r="L693" s="16" t="n">
        <f aca="false">IF(D693="","",H693+E693-K693-G693*I693)</f>
        <v>155.147553719969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15.2840955509248</v>
      </c>
      <c r="N693" s="16" t="n">
        <f aca="false">IF(D693="","",(I693+M693)/2)</f>
        <v>15.3796469133154</v>
      </c>
      <c r="O693" s="16" t="n">
        <f aca="false">IF(D693="","",G693*N693)</f>
        <v>4.34167432362894</v>
      </c>
      <c r="P693" s="16" t="n">
        <f aca="false">IF(D693="","",H693+E693-K693-O693)</f>
        <v>155.174527869571</v>
      </c>
      <c r="Q693" s="16" t="n">
        <f aca="false">IF(D693="","",IF(P693&gt;=0,K693,MAX(0,K693+P693)))</f>
        <v>1.119744</v>
      </c>
      <c r="R693" s="16" t="n">
        <f aca="false">IF(D693="","",Q693/$B$15)</f>
        <v>0.432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155.174527869571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95.7867455985009</v>
      </c>
      <c r="Z693" s="18" t="n">
        <f aca="false">IF(D693="","",MAX(0,IF(P693&gt;=0,P693,IF(K693+P693&gt;=0,0,P693+K693))))</f>
        <v>155.174527869571</v>
      </c>
      <c r="AA693" s="18" t="n">
        <f aca="false">IF(D693="","",IF(H693&lt;=$B$16,1,IF(H693&gt;=$B$17,$B$21,MATCH(H693,Aux_CAV!$A$2:$A$121,1))))</f>
        <v>22</v>
      </c>
      <c r="AB693" s="18" t="n">
        <f aca="false">IF(D693="","",IF(L693&lt;=$B$16,1,IF(L693&gt;=$B$17,$B$21,MATCH(L693,Aux_CAV!$A$2:$A$121,1))))</f>
        <v>22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0.742189518616095</v>
      </c>
      <c r="E694" s="16" t="n">
        <f aca="false">IF(D694="","",D694*$B$15)</f>
        <v>1.92375523225292</v>
      </c>
      <c r="F694" s="16" t="n">
        <f aca="false" t="array" ref="F694:F694">IF(D694="","",IFERROR(INDEX(Dados_Evap!$C$2:$N$15,MATCH($B$9,Dados_Evap!$A$2:$A$15,0),C694),0))</f>
        <v>241.3</v>
      </c>
      <c r="G694" s="16" t="n">
        <f aca="false">IF(F694="","",F694/1000)</f>
        <v>0.2413</v>
      </c>
      <c r="H694" s="16" t="n">
        <f aca="false">IF(D694="","",MAX(0,MIN($B$8,IFERROR(LOOKUP(2,1/($U$24:U693&lt;&gt;""),$U$24:U693),$B$11))))</f>
        <v>155.174527869571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15.2860594515082</v>
      </c>
      <c r="J694" s="16" t="n">
        <f aca="false">IF(D694="","",$B$12)</f>
        <v>0.432</v>
      </c>
      <c r="K694" s="16" t="n">
        <f aca="false">IF(J694="","",J694*$B$15)</f>
        <v>1.119744</v>
      </c>
      <c r="L694" s="16" t="n">
        <f aca="false">IF(D694="","",H694+E694-K694-G694*I694)</f>
        <v>152.290012956175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15.076047250769</v>
      </c>
      <c r="N694" s="16" t="n">
        <f aca="false">IF(D694="","",(I694+M694)/2)</f>
        <v>15.1810533511386</v>
      </c>
      <c r="O694" s="16" t="n">
        <f aca="false">IF(D694="","",G694*N694)</f>
        <v>3.66318817362974</v>
      </c>
      <c r="P694" s="16" t="n">
        <f aca="false">IF(D694="","",H694+E694-K694-O694)</f>
        <v>152.315350928195</v>
      </c>
      <c r="Q694" s="16" t="n">
        <f aca="false">IF(D694="","",IF(P694&gt;=0,K694,MAX(0,K694+P694)))</f>
        <v>1.119744</v>
      </c>
      <c r="R694" s="16" t="n">
        <f aca="false">IF(D694="","",Q694/$B$15)</f>
        <v>0.432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152.315350928195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94.021821560614</v>
      </c>
      <c r="Z694" s="18" t="n">
        <f aca="false">IF(D694="","",MAX(0,IF(P694&gt;=0,P694,IF(K694+P694&gt;=0,0,P694+K694))))</f>
        <v>152.315350928195</v>
      </c>
      <c r="AA694" s="18" t="n">
        <f aca="false">IF(D694="","",IF(H694&lt;=$B$16,1,IF(H694&gt;=$B$17,$B$21,MATCH(H694,Aux_CAV!$A$2:$A$121,1))))</f>
        <v>22</v>
      </c>
      <c r="AB694" s="18" t="n">
        <f aca="false">IF(D694="","",IF(L694&lt;=$B$16,1,IF(L694&gt;=$B$17,$B$21,MATCH(L694,Aux_CAV!$A$2:$A$121,1))))</f>
        <v>22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0.745204120783319</v>
      </c>
      <c r="E695" s="16" t="n">
        <f aca="false">IF(D695="","",D695*$B$15)</f>
        <v>1.93156908107036</v>
      </c>
      <c r="F695" s="16" t="n">
        <f aca="false" t="array" ref="F695:F695">IF(D695="","",IFERROR(INDEX(Dados_Evap!$C$2:$N$15,MATCH($B$9,Dados_Evap!$A$2:$A$15,0),C695),0))</f>
        <v>241.8</v>
      </c>
      <c r="G695" s="16" t="n">
        <f aca="false">IF(F695="","",F695/1000)</f>
        <v>0.2418</v>
      </c>
      <c r="H695" s="16" t="n">
        <f aca="false">IF(D695="","",MAX(0,MIN($B$8,IFERROR(LOOKUP(2,1/($U$24:U694&lt;&gt;""),$U$24:U694),$B$11))))</f>
        <v>152.315350928195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15.0778920265548</v>
      </c>
      <c r="J695" s="16" t="n">
        <f aca="false">IF(D695="","",$B$12)</f>
        <v>0.432</v>
      </c>
      <c r="K695" s="16" t="n">
        <f aca="false">IF(J695="","",J695*$B$15)</f>
        <v>1.119744</v>
      </c>
      <c r="L695" s="16" t="n">
        <f aca="false">IF(D695="","",H695+E695-K695-G695*I695)</f>
        <v>149.481341717244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14.8715569826474</v>
      </c>
      <c r="N695" s="16" t="n">
        <f aca="false">IF(D695="","",(I695+M695)/2)</f>
        <v>14.9747245046011</v>
      </c>
      <c r="O695" s="16" t="n">
        <f aca="false">IF(D695="","",G695*N695)</f>
        <v>3.62088838521254</v>
      </c>
      <c r="P695" s="16" t="n">
        <f aca="false">IF(D695="","",H695+E695-K695-O695)</f>
        <v>149.506287624052</v>
      </c>
      <c r="Q695" s="16" t="n">
        <f aca="false">IF(D695="","",IF(P695&gt;=0,K695,MAX(0,K695+P695)))</f>
        <v>1.119744</v>
      </c>
      <c r="R695" s="16" t="n">
        <f aca="false">IF(D695="","",Q695/$B$15)</f>
        <v>0.432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149.506287624052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92.287831866699</v>
      </c>
      <c r="Z695" s="18" t="n">
        <f aca="false">IF(D695="","",MAX(0,IF(P695&gt;=0,P695,IF(K695+P695&gt;=0,0,P695+K695))))</f>
        <v>149.506287624052</v>
      </c>
      <c r="AA695" s="18" t="n">
        <f aca="false">IF(D695="","",IF(H695&lt;=$B$16,1,IF(H695&gt;=$B$17,$B$21,MATCH(H695,Aux_CAV!$A$2:$A$121,1))))</f>
        <v>22</v>
      </c>
      <c r="AB695" s="18" t="n">
        <f aca="false">IF(D695="","",IF(L695&lt;=$B$16,1,IF(L695&gt;=$B$17,$B$21,MATCH(L695,Aux_CAV!$A$2:$A$121,1))))</f>
        <v>22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0.628297494624123</v>
      </c>
      <c r="E696" s="16" t="n">
        <f aca="false">IF(D696="","",D696*$B$15)</f>
        <v>1.62854710606573</v>
      </c>
      <c r="F696" s="16" t="n">
        <f aca="false" t="array" ref="F696:F696">IF(D696="","",IFERROR(INDEX(Dados_Evap!$C$2:$N$15,MATCH($B$9,Dados_Evap!$A$2:$A$15,0),C696),0))</f>
        <v>189</v>
      </c>
      <c r="G696" s="16" t="n">
        <f aca="false">IF(F696="","",F696/1000)</f>
        <v>0.189</v>
      </c>
      <c r="H696" s="16" t="n">
        <f aca="false">IF(D696="","",MAX(0,MIN($B$8,IFERROR(LOOKUP(2,1/($U$24:U695&lt;&gt;""),$U$24:U695),$B$11))))</f>
        <v>149.506287624052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14.8733732134333</v>
      </c>
      <c r="J696" s="16" t="n">
        <f aca="false">IF(D696="","",$B$12)</f>
        <v>0.432</v>
      </c>
      <c r="K696" s="16" t="n">
        <f aca="false">IF(J696="","",J696*$B$15)</f>
        <v>1.119744</v>
      </c>
      <c r="L696" s="16" t="n">
        <f aca="false">IF(D696="","",H696+E696-K696-G696*I696)</f>
        <v>147.204023192779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14.7057527869797</v>
      </c>
      <c r="N696" s="16" t="n">
        <f aca="false">IF(D696="","",(I696+M696)/2)</f>
        <v>14.7895630002065</v>
      </c>
      <c r="O696" s="16" t="n">
        <f aca="false">IF(D696="","",G696*N696)</f>
        <v>2.79522740703903</v>
      </c>
      <c r="P696" s="16" t="n">
        <f aca="false">IF(D696="","",H696+E696-K696-O696)</f>
        <v>147.219863323079</v>
      </c>
      <c r="Q696" s="16" t="n">
        <f aca="false">IF(D696="","",IF(P696&gt;=0,K696,MAX(0,K696+P696)))</f>
        <v>1.119744</v>
      </c>
      <c r="R696" s="16" t="n">
        <f aca="false">IF(D696="","",Q696/$B$15)</f>
        <v>0.432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147.219863323079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90.8764588414069</v>
      </c>
      <c r="Z696" s="18" t="n">
        <f aca="false">IF(D696="","",MAX(0,IF(P696&gt;=0,P696,IF(K696+P696&gt;=0,0,P696+K696))))</f>
        <v>147.219863323079</v>
      </c>
      <c r="AA696" s="18" t="n">
        <f aca="false">IF(D696="","",IF(H696&lt;=$B$16,1,IF(H696&gt;=$B$17,$B$21,MATCH(H696,Aux_CAV!$A$2:$A$121,1))))</f>
        <v>22</v>
      </c>
      <c r="AB696" s="18" t="n">
        <f aca="false">IF(D696="","",IF(L696&lt;=$B$16,1,IF(L696&gt;=$B$17,$B$21,MATCH(L696,Aux_CAV!$A$2:$A$121,1))))</f>
        <v>22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1.10040844262857</v>
      </c>
      <c r="E697" s="16" t="n">
        <f aca="false">IF(D697="","",D697*$B$15)</f>
        <v>2.85225868329325</v>
      </c>
      <c r="F697" s="16" t="n">
        <f aca="false" t="array" ref="F697:F697">IF(D697="","",IFERROR(INDEX(Dados_Evap!$C$2:$N$15,MATCH($B$9,Dados_Evap!$A$2:$A$15,0),C697),0))</f>
        <v>136.9</v>
      </c>
      <c r="G697" s="16" t="n">
        <f aca="false">IF(F697="","",F697/1000)</f>
        <v>0.1369</v>
      </c>
      <c r="H697" s="16" t="n">
        <f aca="false">IF(D697="","",MAX(0,MIN($B$8,IFERROR(LOOKUP(2,1/($U$24:U696&lt;&gt;""),$U$24:U696),$B$11))))</f>
        <v>147.219863323079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14.7069060556311</v>
      </c>
      <c r="J697" s="16" t="n">
        <f aca="false">IF(D697="","",$B$12)</f>
        <v>0.432</v>
      </c>
      <c r="K697" s="16" t="n">
        <f aca="false">IF(J697="","",J697*$B$15)</f>
        <v>1.119744</v>
      </c>
      <c r="L697" s="16" t="n">
        <f aca="false">IF(D697="","",H697+E697-K697-G697*I697)</f>
        <v>146.939002567357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14.6864574924649</v>
      </c>
      <c r="N697" s="16" t="n">
        <f aca="false">IF(D697="","",(I697+M697)/2)</f>
        <v>14.696681774048</v>
      </c>
      <c r="O697" s="16" t="n">
        <f aca="false">IF(D697="","",G697*N697)</f>
        <v>2.01197573486717</v>
      </c>
      <c r="P697" s="16" t="n">
        <f aca="false">IF(D697="","",H697+E697-K697-O697)</f>
        <v>146.940402271505</v>
      </c>
      <c r="Q697" s="16" t="n">
        <f aca="false">IF(D697="","",IF(P697&gt;=0,K697,MAX(0,K697+P697)))</f>
        <v>1.119744</v>
      </c>
      <c r="R697" s="16" t="n">
        <f aca="false">IF(D697="","",Q697/$B$15)</f>
        <v>0.432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146.940402271505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90.7039520194477</v>
      </c>
      <c r="Z697" s="18" t="n">
        <f aca="false">IF(D697="","",MAX(0,IF(P697&gt;=0,P697,IF(K697+P697&gt;=0,0,P697+K697))))</f>
        <v>146.940402271505</v>
      </c>
      <c r="AA697" s="18" t="n">
        <f aca="false">IF(D697="","",IF(H697&lt;=$B$16,1,IF(H697&gt;=$B$17,$B$21,MATCH(H697,Aux_CAV!$A$2:$A$121,1))))</f>
        <v>22</v>
      </c>
      <c r="AB697" s="18" t="n">
        <f aca="false">IF(D697="","",IF(L697&lt;=$B$16,1,IF(L697&gt;=$B$17,$B$21,MATCH(L697,Aux_CAV!$A$2:$A$121,1))))</f>
        <v>22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1.19605775163231</v>
      </c>
      <c r="E698" s="16" t="n">
        <f aca="false">IF(D698="","",D698*$B$15)</f>
        <v>3.10018169223095</v>
      </c>
      <c r="F698" s="16" t="n">
        <f aca="false" t="array" ref="F698:F698">IF(D698="","",IFERROR(INDEX(Dados_Evap!$C$2:$N$15,MATCH($B$9,Dados_Evap!$A$2:$A$15,0),C698),0))</f>
        <v>102.9</v>
      </c>
      <c r="G698" s="16" t="n">
        <f aca="false">IF(F698="","",F698/1000)</f>
        <v>0.1029</v>
      </c>
      <c r="H698" s="16" t="n">
        <f aca="false">IF(D698="","",MAX(0,MIN($B$8,IFERROR(LOOKUP(2,1/($U$24:U697&lt;&gt;""),$U$24:U697),$B$11))))</f>
        <v>146.940402271505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14.6865594003965</v>
      </c>
      <c r="J698" s="16" t="n">
        <f aca="false">IF(D698="","",$B$12)</f>
        <v>0.432</v>
      </c>
      <c r="K698" s="16" t="n">
        <f aca="false">IF(J698="","",J698*$B$15)</f>
        <v>1.119744</v>
      </c>
      <c r="L698" s="16" t="n">
        <f aca="false">IF(D698="","",H698+E698-K698-G698*I698)</f>
        <v>147.409593001435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14.7207196598223</v>
      </c>
      <c r="N698" s="16" t="n">
        <f aca="false">IF(D698="","",(I698+M698)/2)</f>
        <v>14.7036395301094</v>
      </c>
      <c r="O698" s="16" t="n">
        <f aca="false">IF(D698="","",G698*N698)</f>
        <v>1.51300450764826</v>
      </c>
      <c r="P698" s="16" t="n">
        <f aca="false">IF(D698="","",H698+E698-K698-O698)</f>
        <v>147.407835456088</v>
      </c>
      <c r="Q698" s="16" t="n">
        <f aca="false">IF(D698="","",IF(P698&gt;=0,K698,MAX(0,K698+P698)))</f>
        <v>1.119744</v>
      </c>
      <c r="R698" s="16" t="n">
        <f aca="false">IF(D698="","",Q698/$B$15)</f>
        <v>0.432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147.407835456088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90.9924910222765</v>
      </c>
      <c r="Z698" s="18" t="n">
        <f aca="false">IF(D698="","",MAX(0,IF(P698&gt;=0,P698,IF(K698+P698&gt;=0,0,P698+K698))))</f>
        <v>147.407835456088</v>
      </c>
      <c r="AA698" s="18" t="n">
        <f aca="false">IF(D698="","",IF(H698&lt;=$B$16,1,IF(H698&gt;=$B$17,$B$21,MATCH(H698,Aux_CAV!$A$2:$A$121,1))))</f>
        <v>22</v>
      </c>
      <c r="AB698" s="18" t="n">
        <f aca="false">IF(D698="","",IF(L698&lt;=$B$16,1,IF(L698&gt;=$B$17,$B$21,MATCH(L698,Aux_CAV!$A$2:$A$121,1))))</f>
        <v>22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2.00383277105886</v>
      </c>
      <c r="E699" s="16" t="n">
        <f aca="false">IF(D699="","",D699*$B$15)</f>
        <v>5.19393454258457</v>
      </c>
      <c r="F699" s="16" t="n">
        <f aca="false" t="array" ref="F699:F699">IF(D699="","",IFERROR(INDEX(Dados_Evap!$C$2:$N$15,MATCH($B$9,Dados_Evap!$A$2:$A$15,0),C699),0))</f>
        <v>81.8</v>
      </c>
      <c r="G699" s="16" t="n">
        <f aca="false">IF(F699="","",F699/1000)</f>
        <v>0.0818</v>
      </c>
      <c r="H699" s="16" t="n">
        <f aca="false">IF(D699="","",MAX(0,MIN($B$8,IFERROR(LOOKUP(2,1/($U$24:U698&lt;&gt;""),$U$24:U698),$B$11))))</f>
        <v>147.407835456088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14.7205916986304</v>
      </c>
      <c r="J699" s="16" t="n">
        <f aca="false">IF(D699="","",$B$12)</f>
        <v>0.432</v>
      </c>
      <c r="K699" s="16" t="n">
        <f aca="false">IF(J699="","",J699*$B$15)</f>
        <v>1.119744</v>
      </c>
      <c r="L699" s="16" t="n">
        <f aca="false">IF(D699="","",H699+E699-K699-G699*I699)</f>
        <v>150.277881597725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14.9295504748978</v>
      </c>
      <c r="N699" s="16" t="n">
        <f aca="false">IF(D699="","",(I699+M699)/2)</f>
        <v>14.8250710867641</v>
      </c>
      <c r="O699" s="16" t="n">
        <f aca="false">IF(D699="","",G699*N699)</f>
        <v>1.2126908148973</v>
      </c>
      <c r="P699" s="16" t="n">
        <f aca="false">IF(D699="","",H699+E699-K699-O699)</f>
        <v>150.269335183775</v>
      </c>
      <c r="Q699" s="16" t="n">
        <f aca="false">IF(D699="","",IF(P699&gt;=0,K699,MAX(0,K699+P699)))</f>
        <v>1.119744</v>
      </c>
      <c r="R699" s="16" t="n">
        <f aca="false">IF(D699="","",Q699/$B$15)</f>
        <v>0.432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150.269335183775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92.7588488788736</v>
      </c>
      <c r="Z699" s="18" t="n">
        <f aca="false">IF(D699="","",MAX(0,IF(P699&gt;=0,P699,IF(K699+P699&gt;=0,0,P699+K699))))</f>
        <v>150.269335183775</v>
      </c>
      <c r="AA699" s="18" t="n">
        <f aca="false">IF(D699="","",IF(H699&lt;=$B$16,1,IF(H699&gt;=$B$17,$B$21,MATCH(H699,Aux_CAV!$A$2:$A$121,1))))</f>
        <v>22</v>
      </c>
      <c r="AB699" s="18" t="n">
        <f aca="false">IF(D699="","",IF(L699&lt;=$B$16,1,IF(L699&gt;=$B$17,$B$21,MATCH(L699,Aux_CAV!$A$2:$A$121,1))))</f>
        <v>22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4.43431285320247</v>
      </c>
      <c r="E700" s="16" t="n">
        <f aca="false">IF(D700="","",D700*$B$15)</f>
        <v>11.4937389155008</v>
      </c>
      <c r="F700" s="16" t="n">
        <f aca="false" t="array" ref="F700:F700">IF(D700="","",IFERROR(INDEX(Dados_Evap!$C$2:$N$15,MATCH($B$9,Dados_Evap!$A$2:$A$15,0),C700),0))</f>
        <v>83.6</v>
      </c>
      <c r="G700" s="16" t="n">
        <f aca="false">IF(F700="","",F700/1000)</f>
        <v>0.0836</v>
      </c>
      <c r="H700" s="16" t="n">
        <f aca="false">IF(D700="","",MAX(0,MIN($B$8,IFERROR(LOOKUP(2,1/($U$24:U699&lt;&gt;""),$U$24:U699),$B$11))))</f>
        <v>150.269335183775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14.928928238142</v>
      </c>
      <c r="J700" s="16" t="n">
        <f aca="false">IF(D700="","",$B$12)</f>
        <v>0.432</v>
      </c>
      <c r="K700" s="16" t="n">
        <f aca="false">IF(J700="","",J700*$B$15)</f>
        <v>1.119744</v>
      </c>
      <c r="L700" s="16" t="n">
        <f aca="false">IF(D700="","",H700+E700-K700-G700*I700)</f>
        <v>159.395271698567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15.5933581574943</v>
      </c>
      <c r="N700" s="16" t="n">
        <f aca="false">IF(D700="","",(I700+M700)/2)</f>
        <v>15.2611431978181</v>
      </c>
      <c r="O700" s="16" t="n">
        <f aca="false">IF(D700="","",G700*N700)</f>
        <v>1.27583157133759</v>
      </c>
      <c r="P700" s="16" t="n">
        <f aca="false">IF(D700="","",H700+E700-K700-O700)</f>
        <v>159.367498527938</v>
      </c>
      <c r="Q700" s="16" t="n">
        <f aca="false">IF(D700="","",IF(P700&gt;=0,K700,MAX(0,K700+P700)))</f>
        <v>1.119744</v>
      </c>
      <c r="R700" s="16" t="n">
        <f aca="false">IF(D700="","",Q700/$B$15)</f>
        <v>0.432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159.367498527938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98.37499909132</v>
      </c>
      <c r="Z700" s="18" t="n">
        <f aca="false">IF(D700="","",MAX(0,IF(P700&gt;=0,P700,IF(K700+P700&gt;=0,0,P700+K700))))</f>
        <v>159.367498527938</v>
      </c>
      <c r="AA700" s="18" t="n">
        <f aca="false">IF(D700="","",IF(H700&lt;=$B$16,1,IF(H700&gt;=$B$17,$B$21,MATCH(H700,Aux_CAV!$A$2:$A$121,1))))</f>
        <v>22</v>
      </c>
      <c r="AB700" s="18" t="n">
        <f aca="false">IF(D700="","",IF(L700&lt;=$B$16,1,IF(L700&gt;=$B$17,$B$21,MATCH(L700,Aux_CAV!$A$2:$A$121,1))))</f>
        <v>22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3.04934653044836</v>
      </c>
      <c r="E701" s="16" t="n">
        <f aca="false">IF(D701="","",D701*$B$15)</f>
        <v>7.90390620692215</v>
      </c>
      <c r="F701" s="16" t="n">
        <f aca="false" t="array" ref="F701:F701">IF(D701="","",IFERROR(INDEX(Dados_Evap!$C$2:$N$15,MATCH($B$9,Dados_Evap!$A$2:$A$15,0),C701),0))</f>
        <v>108.2</v>
      </c>
      <c r="G701" s="16" t="n">
        <f aca="false">IF(F701="","",F701/1000)</f>
        <v>0.1082</v>
      </c>
      <c r="H701" s="16" t="n">
        <f aca="false">IF(D701="","",MAX(0,MIN($B$8,IFERROR(LOOKUP(2,1/($U$24:U700&lt;&gt;""),$U$24:U700),$B$11))))</f>
        <v>159.367498527938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15.5913360827745</v>
      </c>
      <c r="J701" s="16" t="n">
        <f aca="false">IF(D701="","",$B$12)</f>
        <v>0.432</v>
      </c>
      <c r="K701" s="16" t="n">
        <f aca="false">IF(J701="","",J701*$B$15)</f>
        <v>1.119744</v>
      </c>
      <c r="L701" s="16" t="n">
        <f aca="false">IF(D701="","",H701+E701-K701-G701*I701)</f>
        <v>164.464678170704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15.9304112277336</v>
      </c>
      <c r="N701" s="16" t="n">
        <f aca="false">IF(D701="","",(I701+M701)/2)</f>
        <v>15.760873655254</v>
      </c>
      <c r="O701" s="16" t="n">
        <f aca="false">IF(D701="","",G701*N701)</f>
        <v>1.70532652949848</v>
      </c>
      <c r="P701" s="16" t="n">
        <f aca="false">IF(D701="","",H701+E701-K701-O701)</f>
        <v>164.446334205362</v>
      </c>
      <c r="Q701" s="16" t="n">
        <f aca="false">IF(D701="","",IF(P701&gt;=0,K701,MAX(0,K701+P701)))</f>
        <v>1.119744</v>
      </c>
      <c r="R701" s="16" t="n">
        <f aca="false">IF(D701="","",Q701/$B$15)</f>
        <v>0.432</v>
      </c>
      <c r="S701" s="16" t="n">
        <f aca="false">IF(D701="","",MAX(0,J701-R701))</f>
        <v>0</v>
      </c>
      <c r="T701" s="16" t="n">
        <f aca="false">IF(D701="","",MAX(0,Z701-$B$8))</f>
        <v>2.44633420536212</v>
      </c>
      <c r="U701" s="16" t="n">
        <f aca="false">IF(D701="","",MAX(0,MIN($B$8,Z701)))</f>
        <v>162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100</v>
      </c>
      <c r="Z701" s="18" t="n">
        <f aca="false">IF(D701="","",MAX(0,IF(P701&gt;=0,P701,IF(K701+P701&gt;=0,0,P701+K701))))</f>
        <v>164.446334205362</v>
      </c>
      <c r="AA701" s="18" t="n">
        <f aca="false">IF(D701="","",IF(H701&lt;=$B$16,1,IF(H701&gt;=$B$17,$B$21,MATCH(H701,Aux_CAV!$A$2:$A$121,1))))</f>
        <v>22</v>
      </c>
      <c r="AB701" s="18" t="n">
        <f aca="false">IF(D701="","",IF(L701&lt;=$B$16,1,IF(L701&gt;=$B$17,$B$21,MATCH(L701,Aux_CAV!$A$2:$A$121,1))))</f>
        <v>23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3.43416796481662</v>
      </c>
      <c r="E702" s="16" t="n">
        <f aca="false">IF(D702="","",D702*$B$15)</f>
        <v>8.90136336480468</v>
      </c>
      <c r="F702" s="16" t="n">
        <f aca="false" t="array" ref="F702:F702">IF(D702="","",IFERROR(INDEX(Dados_Evap!$C$2:$N$15,MATCH($B$9,Dados_Evap!$A$2:$A$15,0),C702),0))</f>
        <v>149</v>
      </c>
      <c r="G702" s="16" t="n">
        <f aca="false">IF(F702="","",F702/1000)</f>
        <v>0.149</v>
      </c>
      <c r="H702" s="16" t="n">
        <f aca="false">IF(D702="","",MAX(0,MIN($B$8,IFERROR(LOOKUP(2,1/($U$24:U701&lt;&gt;""),$U$24:U701),$B$11))))</f>
        <v>162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15.783</v>
      </c>
      <c r="J702" s="16" t="n">
        <f aca="false">IF(D702="","",$B$12)</f>
        <v>0.432</v>
      </c>
      <c r="K702" s="16" t="n">
        <f aca="false">IF(J702="","",J702*$B$15)</f>
        <v>1.119744</v>
      </c>
      <c r="L702" s="16" t="n">
        <f aca="false">IF(D702="","",H702+E702-K702-G702*I702)</f>
        <v>167.429952364805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16.1077628652474</v>
      </c>
      <c r="N702" s="16" t="n">
        <f aca="false">IF(D702="","",(I702+M702)/2)</f>
        <v>15.9453814326237</v>
      </c>
      <c r="O702" s="16" t="n">
        <f aca="false">IF(D702="","",G702*N702)</f>
        <v>2.37586183346093</v>
      </c>
      <c r="P702" s="16" t="n">
        <f aca="false">IF(D702="","",H702+E702-K702-O702)</f>
        <v>167.405757531344</v>
      </c>
      <c r="Q702" s="16" t="n">
        <f aca="false">IF(D702="","",IF(P702&gt;=0,K702,MAX(0,K702+P702)))</f>
        <v>1.119744</v>
      </c>
      <c r="R702" s="16" t="n">
        <f aca="false">IF(D702="","",Q702/$B$15)</f>
        <v>0.432</v>
      </c>
      <c r="S702" s="16" t="n">
        <f aca="false">IF(D702="","",MAX(0,J702-R702))</f>
        <v>0</v>
      </c>
      <c r="T702" s="16" t="n">
        <f aca="false">IF(D702="","",MAX(0,Z702-$B$8))</f>
        <v>5.40575753134374</v>
      </c>
      <c r="U702" s="16" t="n">
        <f aca="false">IF(D702="","",MAX(0,MIN($B$8,Z702)))</f>
        <v>162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100</v>
      </c>
      <c r="Z702" s="18" t="n">
        <f aca="false">IF(D702="","",MAX(0,IF(P702&gt;=0,P702,IF(K702+P702&gt;=0,0,P702+K702))))</f>
        <v>167.405757531344</v>
      </c>
      <c r="AA702" s="18" t="n">
        <f aca="false">IF(D702="","",IF(H702&lt;=$B$16,1,IF(H702&gt;=$B$17,$B$21,MATCH(H702,Aux_CAV!$A$2:$A$121,1))))</f>
        <v>23</v>
      </c>
      <c r="AB702" s="18" t="n">
        <f aca="false">IF(D702="","",IF(L702&lt;=$B$16,1,IF(L702&gt;=$B$17,$B$21,MATCH(L702,Aux_CAV!$A$2:$A$121,1))))</f>
        <v>23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0.635327255024223</v>
      </c>
      <c r="E703" s="16" t="n">
        <f aca="false">IF(D703="","",D703*$B$15)</f>
        <v>1.64676824502279</v>
      </c>
      <c r="F703" s="16" t="n">
        <f aca="false" t="array" ref="F703:F703">IF(D703="","",IFERROR(INDEX(Dados_Evap!$C$2:$N$15,MATCH($B$9,Dados_Evap!$A$2:$A$15,0),C703),0))</f>
        <v>206.8</v>
      </c>
      <c r="G703" s="16" t="n">
        <f aca="false">IF(F703="","",F703/1000)</f>
        <v>0.2068</v>
      </c>
      <c r="H703" s="16" t="n">
        <f aca="false">IF(D703="","",MAX(0,MIN($B$8,IFERROR(LOOKUP(2,1/($U$24:U702&lt;&gt;""),$U$24:U702),$B$11))))</f>
        <v>162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15.783</v>
      </c>
      <c r="J703" s="16" t="n">
        <f aca="false">IF(D703="","",$B$12)</f>
        <v>0.432</v>
      </c>
      <c r="K703" s="16" t="n">
        <f aca="false">IF(J703="","",J703*$B$15)</f>
        <v>1.119744</v>
      </c>
      <c r="L703" s="16" t="n">
        <f aca="false">IF(D703="","",H703+E703-K703-G703*I703)</f>
        <v>159.263099845023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15.583735152354</v>
      </c>
      <c r="N703" s="16" t="n">
        <f aca="false">IF(D703="","",(I703+M703)/2)</f>
        <v>15.683367576177</v>
      </c>
      <c r="O703" s="16" t="n">
        <f aca="false">IF(D703="","",G703*N703)</f>
        <v>3.24332041475341</v>
      </c>
      <c r="P703" s="16" t="n">
        <f aca="false">IF(D703="","",H703+E703-K703-O703)</f>
        <v>159.283703830269</v>
      </c>
      <c r="Q703" s="16" t="n">
        <f aca="false">IF(D703="","",IF(P703&gt;=0,K703,MAX(0,K703+P703)))</f>
        <v>1.119744</v>
      </c>
      <c r="R703" s="16" t="n">
        <f aca="false">IF(D703="","",Q703/$B$15)</f>
        <v>0.432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159.283703830269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98.3232739693021</v>
      </c>
      <c r="Z703" s="18" t="n">
        <f aca="false">IF(D703="","",MAX(0,IF(P703&gt;=0,P703,IF(K703+P703&gt;=0,0,P703+K703))))</f>
        <v>159.283703830269</v>
      </c>
      <c r="AA703" s="18" t="n">
        <f aca="false">IF(D703="","",IF(H703&lt;=$B$16,1,IF(H703&gt;=$B$17,$B$21,MATCH(H703,Aux_CAV!$A$2:$A$121,1))))</f>
        <v>23</v>
      </c>
      <c r="AB703" s="18" t="n">
        <f aca="false">IF(D703="","",IF(L703&lt;=$B$16,1,IF(L703&gt;=$B$17,$B$21,MATCH(L703,Aux_CAV!$A$2:$A$121,1))))</f>
        <v>22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0.64700895095866</v>
      </c>
      <c r="E704" s="16" t="n">
        <f aca="false">IF(D704="","",D704*$B$15)</f>
        <v>1.67704720088485</v>
      </c>
      <c r="F704" s="16" t="n">
        <f aca="false" t="array" ref="F704:F704">IF(D704="","",IFERROR(INDEX(Dados_Evap!$C$2:$N$15,MATCH($B$9,Dados_Evap!$A$2:$A$15,0),C704),0))</f>
        <v>245.9</v>
      </c>
      <c r="G704" s="16" t="n">
        <f aca="false">IF(F704="","",F704/1000)</f>
        <v>0.2459</v>
      </c>
      <c r="H704" s="16" t="n">
        <f aca="false">IF(D704="","",MAX(0,MIN($B$8,IFERROR(LOOKUP(2,1/($U$24:U703&lt;&gt;""),$U$24:U703),$B$11))))</f>
        <v>159.283703830269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15.5852352618752</v>
      </c>
      <c r="J704" s="16" t="n">
        <f aca="false">IF(D704="","",$B$12)</f>
        <v>0.432</v>
      </c>
      <c r="K704" s="16" t="n">
        <f aca="false">IF(J704="","",J704*$B$15)</f>
        <v>1.119744</v>
      </c>
      <c r="L704" s="16" t="n">
        <f aca="false">IF(D704="","",H704+E704-K704-G704*I704)</f>
        <v>156.008597680259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15.3467853765846</v>
      </c>
      <c r="N704" s="16" t="n">
        <f aca="false">IF(D704="","",(I704+M704)/2)</f>
        <v>15.4660103192299</v>
      </c>
      <c r="O704" s="16" t="n">
        <f aca="false">IF(D704="","",G704*N704)</f>
        <v>3.80309193749864</v>
      </c>
      <c r="P704" s="16" t="n">
        <f aca="false">IF(D704="","",H704+E704-K704-O704)</f>
        <v>156.037915093656</v>
      </c>
      <c r="Q704" s="16" t="n">
        <f aca="false">IF(D704="","",IF(P704&gt;=0,K704,MAX(0,K704+P704)))</f>
        <v>1.119744</v>
      </c>
      <c r="R704" s="16" t="n">
        <f aca="false">IF(D704="","",Q704/$B$15)</f>
        <v>0.432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156.037915093656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96.3197006750961</v>
      </c>
      <c r="Z704" s="18" t="n">
        <f aca="false">IF(D704="","",MAX(0,IF(P704&gt;=0,P704,IF(K704+P704&gt;=0,0,P704+K704))))</f>
        <v>156.037915093656</v>
      </c>
      <c r="AA704" s="18" t="n">
        <f aca="false">IF(D704="","",IF(H704&lt;=$B$16,1,IF(H704&gt;=$B$17,$B$21,MATCH(H704,Aux_CAV!$A$2:$A$121,1))))</f>
        <v>22</v>
      </c>
      <c r="AB704" s="18" t="n">
        <f aca="false">IF(D704="","",IF(L704&lt;=$B$16,1,IF(L704&gt;=$B$17,$B$21,MATCH(L704,Aux_CAV!$A$2:$A$121,1))))</f>
        <v>22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0.410155816470547</v>
      </c>
      <c r="E705" s="16" t="n">
        <f aca="false">IF(D705="","",D705*$B$15)</f>
        <v>1.06312387629166</v>
      </c>
      <c r="F705" s="16" t="n">
        <f aca="false" t="array" ref="F705:F705">IF(D705="","",IFERROR(INDEX(Dados_Evap!$C$2:$N$15,MATCH($B$9,Dados_Evap!$A$2:$A$15,0),C705),0))</f>
        <v>282.3</v>
      </c>
      <c r="G705" s="16" t="n">
        <f aca="false">IF(F705="","",F705/1000)</f>
        <v>0.2823</v>
      </c>
      <c r="H705" s="16" t="n">
        <f aca="false">IF(D705="","",MAX(0,MIN($B$8,IFERROR(LOOKUP(2,1/($U$24:U704&lt;&gt;""),$U$24:U704),$B$11))))</f>
        <v>156.037915093656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15.3489198826254</v>
      </c>
      <c r="J705" s="16" t="n">
        <f aca="false">IF(D705="","",$B$12)</f>
        <v>0.432</v>
      </c>
      <c r="K705" s="16" t="n">
        <f aca="false">IF(J705="","",J705*$B$15)</f>
        <v>1.119744</v>
      </c>
      <c r="L705" s="16" t="n">
        <f aca="false">IF(D705="","",H705+E705-K705-G705*I705)</f>
        <v>151.648294887082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15.0293258338269</v>
      </c>
      <c r="N705" s="16" t="n">
        <f aca="false">IF(D705="","",(I705+M705)/2)</f>
        <v>15.1891228582261</v>
      </c>
      <c r="O705" s="16" t="n">
        <f aca="false">IF(D705="","",G705*N705)</f>
        <v>4.28788938287724</v>
      </c>
      <c r="P705" s="16" t="n">
        <f aca="false">IF(D705="","",H705+E705-K705-O705)</f>
        <v>151.69340558707</v>
      </c>
      <c r="Q705" s="16" t="n">
        <f aca="false">IF(D705="","",IF(P705&gt;=0,K705,MAX(0,K705+P705)))</f>
        <v>1.119744</v>
      </c>
      <c r="R705" s="16" t="n">
        <f aca="false">IF(D705="","",Q705/$B$15)</f>
        <v>0.432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151.69340558707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93.6379046833766</v>
      </c>
      <c r="Z705" s="18" t="n">
        <f aca="false">IF(D705="","",MAX(0,IF(P705&gt;=0,P705,IF(K705+P705&gt;=0,0,P705+K705))))</f>
        <v>151.69340558707</v>
      </c>
      <c r="AA705" s="18" t="n">
        <f aca="false">IF(D705="","",IF(H705&lt;=$B$16,1,IF(H705&gt;=$B$17,$B$21,MATCH(H705,Aux_CAV!$A$2:$A$121,1))))</f>
        <v>22</v>
      </c>
      <c r="AB705" s="18" t="n">
        <f aca="false">IF(D705="","",IF(L705&lt;=$B$16,1,IF(L705&gt;=$B$17,$B$21,MATCH(L705,Aux_CAV!$A$2:$A$121,1))))</f>
        <v>22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0.389308721042348</v>
      </c>
      <c r="E706" s="16" t="n">
        <f aca="false">IF(D706="","",D706*$B$15)</f>
        <v>1.00908820494177</v>
      </c>
      <c r="F706" s="16" t="n">
        <f aca="false" t="array" ref="F706:F706">IF(D706="","",IFERROR(INDEX(Dados_Evap!$C$2:$N$15,MATCH($B$9,Dados_Evap!$A$2:$A$15,0),C706),0))</f>
        <v>241.3</v>
      </c>
      <c r="G706" s="16" t="n">
        <f aca="false">IF(F706="","",F706/1000)</f>
        <v>0.2413</v>
      </c>
      <c r="H706" s="16" t="n">
        <f aca="false">IF(D706="","",MAX(0,MIN($B$8,IFERROR(LOOKUP(2,1/($U$24:U705&lt;&gt;""),$U$24:U705),$B$11))))</f>
        <v>151.69340558707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15.0326101979802</v>
      </c>
      <c r="J706" s="16" t="n">
        <f aca="false">IF(D706="","",$B$12)</f>
        <v>0.432</v>
      </c>
      <c r="K706" s="16" t="n">
        <f aca="false">IF(J706="","",J706*$B$15)</f>
        <v>1.119744</v>
      </c>
      <c r="L706" s="16" t="n">
        <f aca="false">IF(D706="","",H706+E706-K706-G706*I706)</f>
        <v>147.955380951239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14.7604567150696</v>
      </c>
      <c r="N706" s="16" t="n">
        <f aca="false">IF(D706="","",(I706+M706)/2)</f>
        <v>14.8965334565249</v>
      </c>
      <c r="O706" s="16" t="n">
        <f aca="false">IF(D706="","",G706*N706)</f>
        <v>3.59453352305946</v>
      </c>
      <c r="P706" s="16" t="n">
        <f aca="false">IF(D706="","",H706+E706-K706-O706)</f>
        <v>147.988216268952</v>
      </c>
      <c r="Q706" s="16" t="n">
        <f aca="false">IF(D706="","",IF(P706&gt;=0,K706,MAX(0,K706+P706)))</f>
        <v>1.119744</v>
      </c>
      <c r="R706" s="16" t="n">
        <f aca="false">IF(D706="","",Q706/$B$15)</f>
        <v>0.432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147.988216268952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91.3507507833039</v>
      </c>
      <c r="Z706" s="18" t="n">
        <f aca="false">IF(D706="","",MAX(0,IF(P706&gt;=0,P706,IF(K706+P706&gt;=0,0,P706+K706))))</f>
        <v>147.988216268952</v>
      </c>
      <c r="AA706" s="18" t="n">
        <f aca="false">IF(D706="","",IF(H706&lt;=$B$16,1,IF(H706&gt;=$B$17,$B$21,MATCH(H706,Aux_CAV!$A$2:$A$121,1))))</f>
        <v>22</v>
      </c>
      <c r="AB706" s="18" t="n">
        <f aca="false">IF(D706="","",IF(L706&lt;=$B$16,1,IF(L706&gt;=$B$17,$B$21,MATCH(L706,Aux_CAV!$A$2:$A$121,1))))</f>
        <v>22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0.384164271743994</v>
      </c>
      <c r="E707" s="16" t="n">
        <f aca="false">IF(D707="","",D707*$B$15)</f>
        <v>0.995753792360432</v>
      </c>
      <c r="F707" s="16" t="n">
        <f aca="false" t="array" ref="F707:F707">IF(D707="","",IFERROR(INDEX(Dados_Evap!$C$2:$N$15,MATCH($B$9,Dados_Evap!$A$2:$A$15,0),C707),0))</f>
        <v>241.8</v>
      </c>
      <c r="G707" s="16" t="n">
        <f aca="false">IF(F707="","",F707/1000)</f>
        <v>0.2418</v>
      </c>
      <c r="H707" s="16" t="n">
        <f aca="false">IF(D707="","",MAX(0,MIN($B$8,IFERROR(LOOKUP(2,1/($U$24:U706&lt;&gt;""),$U$24:U706),$B$11))))</f>
        <v>147.988216268952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14.7628473483448</v>
      </c>
      <c r="J707" s="16" t="n">
        <f aca="false">IF(D707="","",$B$12)</f>
        <v>0.432</v>
      </c>
      <c r="K707" s="16" t="n">
        <f aca="false">IF(J707="","",J707*$B$15)</f>
        <v>1.119744</v>
      </c>
      <c r="L707" s="16" t="n">
        <f aca="false">IF(D707="","",H707+E707-K707-G707*I707)</f>
        <v>144.294569572483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14.4939248796565</v>
      </c>
      <c r="N707" s="16" t="n">
        <f aca="false">IF(D707="","",(I707+M707)/2)</f>
        <v>14.6283861140006</v>
      </c>
      <c r="O707" s="16" t="n">
        <f aca="false">IF(D707="","",G707*N707)</f>
        <v>3.53714376236536</v>
      </c>
      <c r="P707" s="16" t="n">
        <f aca="false">IF(D707="","",H707+E707-K707-O707)</f>
        <v>144.327082298947</v>
      </c>
      <c r="Q707" s="16" t="n">
        <f aca="false">IF(D707="","",IF(P707&gt;=0,K707,MAX(0,K707+P707)))</f>
        <v>1.119744</v>
      </c>
      <c r="R707" s="16" t="n">
        <f aca="false">IF(D707="","",Q707/$B$15)</f>
        <v>0.432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144.327082298947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89.0907915425601</v>
      </c>
      <c r="Z707" s="18" t="n">
        <f aca="false">IF(D707="","",MAX(0,IF(P707&gt;=0,P707,IF(K707+P707&gt;=0,0,P707+K707))))</f>
        <v>144.327082298947</v>
      </c>
      <c r="AA707" s="18" t="n">
        <f aca="false">IF(D707="","",IF(H707&lt;=$B$16,1,IF(H707&gt;=$B$17,$B$21,MATCH(H707,Aux_CAV!$A$2:$A$121,1))))</f>
        <v>22</v>
      </c>
      <c r="AB707" s="18" t="n">
        <f aca="false">IF(D707="","",IF(L707&lt;=$B$16,1,IF(L707&gt;=$B$17,$B$21,MATCH(L707,Aux_CAV!$A$2:$A$121,1))))</f>
        <v>22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0.478821855988442</v>
      </c>
      <c r="E708" s="16" t="n">
        <f aca="false">IF(D708="","",D708*$B$15)</f>
        <v>1.24110625072204</v>
      </c>
      <c r="F708" s="16" t="n">
        <f aca="false" t="array" ref="F708:F708">IF(D708="","",IFERROR(INDEX(Dados_Evap!$C$2:$N$15,MATCH($B$9,Dados_Evap!$A$2:$A$15,0),C708),0))</f>
        <v>189</v>
      </c>
      <c r="G708" s="16" t="n">
        <f aca="false">IF(F708="","",F708/1000)</f>
        <v>0.189</v>
      </c>
      <c r="H708" s="16" t="n">
        <f aca="false">IF(D708="","",MAX(0,MIN($B$8,IFERROR(LOOKUP(2,1/($U$24:U707&lt;&gt;""),$U$24:U707),$B$11))))</f>
        <v>144.327082298947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14.4962920261063</v>
      </c>
      <c r="J708" s="16" t="n">
        <f aca="false">IF(D708="","",$B$12)</f>
        <v>0.432</v>
      </c>
      <c r="K708" s="16" t="n">
        <f aca="false">IF(J708="","",J708*$B$15)</f>
        <v>1.119744</v>
      </c>
      <c r="L708" s="16" t="n">
        <f aca="false">IF(D708="","",H708+E708-K708-G708*I708)</f>
        <v>141.708645356735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14.3056521018067</v>
      </c>
      <c r="N708" s="16" t="n">
        <f aca="false">IF(D708="","",(I708+M708)/2)</f>
        <v>14.4009720639565</v>
      </c>
      <c r="O708" s="16" t="n">
        <f aca="false">IF(D708="","",G708*N708)</f>
        <v>2.72178372008778</v>
      </c>
      <c r="P708" s="16" t="n">
        <f aca="false">IF(D708="","",H708+E708-K708-O708)</f>
        <v>141.726660829582</v>
      </c>
      <c r="Q708" s="16" t="n">
        <f aca="false">IF(D708="","",IF(P708&gt;=0,K708,MAX(0,K708+P708)))</f>
        <v>1.119744</v>
      </c>
      <c r="R708" s="16" t="n">
        <f aca="false">IF(D708="","",Q708/$B$15)</f>
        <v>0.432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141.726660829582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87.4855931046801</v>
      </c>
      <c r="Z708" s="18" t="n">
        <f aca="false">IF(D708="","",MAX(0,IF(P708&gt;=0,P708,IF(K708+P708&gt;=0,0,P708+K708))))</f>
        <v>141.726660829582</v>
      </c>
      <c r="AA708" s="18" t="n">
        <f aca="false">IF(D708="","",IF(H708&lt;=$B$16,1,IF(H708&gt;=$B$17,$B$21,MATCH(H708,Aux_CAV!$A$2:$A$121,1))))</f>
        <v>22</v>
      </c>
      <c r="AB708" s="18" t="n">
        <f aca="false">IF(D708="","",IF(L708&lt;=$B$16,1,IF(L708&gt;=$B$17,$B$21,MATCH(L708,Aux_CAV!$A$2:$A$121,1))))</f>
        <v>22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2.45109799339608</v>
      </c>
      <c r="E709" s="16" t="n">
        <f aca="false">IF(D709="","",D709*$B$15)</f>
        <v>6.35324599888264</v>
      </c>
      <c r="F709" s="16" t="n">
        <f aca="false" t="array" ref="F709:F709">IF(D709="","",IFERROR(INDEX(Dados_Evap!$C$2:$N$15,MATCH($B$9,Dados_Evap!$A$2:$A$15,0),C709),0))</f>
        <v>136.9</v>
      </c>
      <c r="G709" s="16" t="n">
        <f aca="false">IF(F709="","",F709/1000)</f>
        <v>0.1369</v>
      </c>
      <c r="H709" s="16" t="n">
        <f aca="false">IF(D709="","",MAX(0,MIN($B$8,IFERROR(LOOKUP(2,1/($U$24:U708&lt;&gt;""),$U$24:U708),$B$11))))</f>
        <v>141.726660829582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14.3069637501127</v>
      </c>
      <c r="J709" s="16" t="n">
        <f aca="false">IF(D709="","",$B$12)</f>
        <v>0.432</v>
      </c>
      <c r="K709" s="16" t="n">
        <f aca="false">IF(J709="","",J709*$B$15)</f>
        <v>1.119744</v>
      </c>
      <c r="L709" s="16" t="n">
        <f aca="false">IF(D709="","",H709+E709-K709-G709*I709)</f>
        <v>145.001539491074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14.5453970727002</v>
      </c>
      <c r="N709" s="16" t="n">
        <f aca="false">IF(D709="","",(I709+M709)/2)</f>
        <v>14.4261804114064</v>
      </c>
      <c r="O709" s="16" t="n">
        <f aca="false">IF(D709="","",G709*N709)</f>
        <v>1.97494409832154</v>
      </c>
      <c r="P709" s="16" t="n">
        <f aca="false">IF(D709="","",H709+E709-K709-O709)</f>
        <v>144.985218730143</v>
      </c>
      <c r="Q709" s="16" t="n">
        <f aca="false">IF(D709="","",IF(P709&gt;=0,K709,MAX(0,K709+P709)))</f>
        <v>1.119744</v>
      </c>
      <c r="R709" s="16" t="n">
        <f aca="false">IF(D709="","",Q709/$B$15)</f>
        <v>0.432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144.985218730143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89.4970485988536</v>
      </c>
      <c r="Z709" s="18" t="n">
        <f aca="false">IF(D709="","",MAX(0,IF(P709&gt;=0,P709,IF(K709+P709&gt;=0,0,P709+K709))))</f>
        <v>144.985218730143</v>
      </c>
      <c r="AA709" s="18" t="n">
        <f aca="false">IF(D709="","",IF(H709&lt;=$B$16,1,IF(H709&gt;=$B$17,$B$21,MATCH(H709,Aux_CAV!$A$2:$A$121,1))))</f>
        <v>22</v>
      </c>
      <c r="AB709" s="18" t="n">
        <f aca="false">IF(D709="","",IF(L709&lt;=$B$16,1,IF(L709&gt;=$B$17,$B$21,MATCH(L709,Aux_CAV!$A$2:$A$121,1))))</f>
        <v>22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8.05873183719325</v>
      </c>
      <c r="E710" s="16" t="n">
        <f aca="false">IF(D710="","",D710*$B$15)</f>
        <v>20.8882329220049</v>
      </c>
      <c r="F710" s="16" t="n">
        <f aca="false" t="array" ref="F710:F710">IF(D710="","",IFERROR(INDEX(Dados_Evap!$C$2:$N$15,MATCH($B$9,Dados_Evap!$A$2:$A$15,0),C710),0))</f>
        <v>102.9</v>
      </c>
      <c r="G710" s="16" t="n">
        <f aca="false">IF(F710="","",F710/1000)</f>
        <v>0.1029</v>
      </c>
      <c r="H710" s="16" t="n">
        <f aca="false">IF(D710="","",MAX(0,MIN($B$8,IFERROR(LOOKUP(2,1/($U$24:U709&lt;&gt;""),$U$24:U709),$B$11))))</f>
        <v>144.985218730143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14.5442088108871</v>
      </c>
      <c r="J710" s="16" t="n">
        <f aca="false">IF(D710="","",$B$12)</f>
        <v>0.432</v>
      </c>
      <c r="K710" s="16" t="n">
        <f aca="false">IF(J710="","",J710*$B$15)</f>
        <v>1.119744</v>
      </c>
      <c r="L710" s="16" t="n">
        <f aca="false">IF(D710="","",H710+E710-K710-G710*I710)</f>
        <v>163.257108565507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15.8581870646799</v>
      </c>
      <c r="N710" s="16" t="n">
        <f aca="false">IF(D710="","",(I710+M710)/2)</f>
        <v>15.2011979377835</v>
      </c>
      <c r="O710" s="16" t="n">
        <f aca="false">IF(D710="","",G710*N710)</f>
        <v>1.56420326779792</v>
      </c>
      <c r="P710" s="16" t="n">
        <f aca="false">IF(D710="","",H710+E710-K710-O710)</f>
        <v>163.18950438435</v>
      </c>
      <c r="Q710" s="16" t="n">
        <f aca="false">IF(D710="","",IF(P710&gt;=0,K710,MAX(0,K710+P710)))</f>
        <v>1.119744</v>
      </c>
      <c r="R710" s="16" t="n">
        <f aca="false">IF(D710="","",Q710/$B$15)</f>
        <v>0.432</v>
      </c>
      <c r="S710" s="16" t="n">
        <f aca="false">IF(D710="","",MAX(0,J710-R710))</f>
        <v>0</v>
      </c>
      <c r="T710" s="16" t="n">
        <f aca="false">IF(D710="","",MAX(0,Z710-$B$8))</f>
        <v>1.18950438434979</v>
      </c>
      <c r="U710" s="16" t="n">
        <f aca="false">IF(D710="","",MAX(0,MIN($B$8,Z710)))</f>
        <v>162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100</v>
      </c>
      <c r="Z710" s="18" t="n">
        <f aca="false">IF(D710="","",MAX(0,IF(P710&gt;=0,P710,IF(K710+P710&gt;=0,0,P710+K710))))</f>
        <v>163.18950438435</v>
      </c>
      <c r="AA710" s="18" t="n">
        <f aca="false">IF(D710="","",IF(H710&lt;=$B$16,1,IF(H710&gt;=$B$17,$B$21,MATCH(H710,Aux_CAV!$A$2:$A$121,1))))</f>
        <v>22</v>
      </c>
      <c r="AB710" s="18" t="n">
        <f aca="false">IF(D710="","",IF(L710&lt;=$B$16,1,IF(L710&gt;=$B$17,$B$21,MATCH(L710,Aux_CAV!$A$2:$A$121,1))))</f>
        <v>23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17.5325851271956</v>
      </c>
      <c r="E711" s="16" t="n">
        <f aca="false">IF(D711="","",D711*$B$15)</f>
        <v>45.444460649691</v>
      </c>
      <c r="F711" s="16" t="n">
        <f aca="false" t="array" ref="F711:F711">IF(D711="","",IFERROR(INDEX(Dados_Evap!$C$2:$N$15,MATCH($B$9,Dados_Evap!$A$2:$A$15,0),C711),0))</f>
        <v>81.8</v>
      </c>
      <c r="G711" s="16" t="n">
        <f aca="false">IF(F711="","",F711/1000)</f>
        <v>0.0818</v>
      </c>
      <c r="H711" s="16" t="n">
        <f aca="false">IF(D711="","",MAX(0,MIN($B$8,IFERROR(LOOKUP(2,1/($U$24:U710&lt;&gt;""),$U$24:U710),$B$11))))</f>
        <v>162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15.783</v>
      </c>
      <c r="J711" s="16" t="n">
        <f aca="false">IF(D711="","",$B$12)</f>
        <v>0.432</v>
      </c>
      <c r="K711" s="16" t="n">
        <f aca="false">IF(J711="","",J711*$B$15)</f>
        <v>1.119744</v>
      </c>
      <c r="L711" s="16" t="n">
        <f aca="false">IF(D711="","",H711+E711-K711-G711*I711)</f>
        <v>205.033667249691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18.3568231459815</v>
      </c>
      <c r="N711" s="16" t="n">
        <f aca="false">IF(D711="","",(I711+M711)/2)</f>
        <v>17.0699115729908</v>
      </c>
      <c r="O711" s="16" t="n">
        <f aca="false">IF(D711="","",G711*N711)</f>
        <v>1.39631876667064</v>
      </c>
      <c r="P711" s="16" t="n">
        <f aca="false">IF(D711="","",H711+E711-K711-O711)</f>
        <v>204.92839788302</v>
      </c>
      <c r="Q711" s="16" t="n">
        <f aca="false">IF(D711="","",IF(P711&gt;=0,K711,MAX(0,K711+P711)))</f>
        <v>1.119744</v>
      </c>
      <c r="R711" s="16" t="n">
        <f aca="false">IF(D711="","",Q711/$B$15)</f>
        <v>0.432</v>
      </c>
      <c r="S711" s="16" t="n">
        <f aca="false">IF(D711="","",MAX(0,J711-R711))</f>
        <v>0</v>
      </c>
      <c r="T711" s="16" t="n">
        <f aca="false">IF(D711="","",MAX(0,Z711-$B$8))</f>
        <v>42.9283978830204</v>
      </c>
      <c r="U711" s="16" t="n">
        <f aca="false">IF(D711="","",MAX(0,MIN($B$8,Z711)))</f>
        <v>162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204.92839788302</v>
      </c>
      <c r="AA711" s="18" t="n">
        <f aca="false">IF(D711="","",IF(H711&lt;=$B$16,1,IF(H711&gt;=$B$17,$B$21,MATCH(H711,Aux_CAV!$A$2:$A$121,1))))</f>
        <v>23</v>
      </c>
      <c r="AB711" s="18" t="n">
        <f aca="false">IF(D711="","",IF(L711&lt;=$B$16,1,IF(L711&gt;=$B$17,$B$21,MATCH(L711,Aux_CAV!$A$2:$A$121,1))))</f>
        <v>23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22.3101361890802</v>
      </c>
      <c r="E712" s="16" t="n">
        <f aca="false">IF(D712="","",D712*$B$15)</f>
        <v>57.8278730020959</v>
      </c>
      <c r="F712" s="16" t="n">
        <f aca="false" t="array" ref="F712:F712">IF(D712="","",IFERROR(INDEX(Dados_Evap!$C$2:$N$15,MATCH($B$9,Dados_Evap!$A$2:$A$15,0),C712),0))</f>
        <v>83.6</v>
      </c>
      <c r="G712" s="16" t="n">
        <f aca="false">IF(F712="","",F712/1000)</f>
        <v>0.0836</v>
      </c>
      <c r="H712" s="16" t="n">
        <f aca="false">IF(D712="","",MAX(0,MIN($B$8,IFERROR(LOOKUP(2,1/($U$24:U711&lt;&gt;""),$U$24:U711),$B$11))))</f>
        <v>162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15.783</v>
      </c>
      <c r="J712" s="16" t="n">
        <f aca="false">IF(D712="","",$B$12)</f>
        <v>0.432</v>
      </c>
      <c r="K712" s="16" t="n">
        <f aca="false">IF(J712="","",J712*$B$15)</f>
        <v>1.119744</v>
      </c>
      <c r="L712" s="16" t="n">
        <f aca="false">IF(D712="","",H712+E712-K712-G712*I712)</f>
        <v>217.388670202096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19.0957699892301</v>
      </c>
      <c r="N712" s="16" t="n">
        <f aca="false">IF(D712="","",(I712+M712)/2)</f>
        <v>17.4393849946151</v>
      </c>
      <c r="O712" s="16" t="n">
        <f aca="false">IF(D712="","",G712*N712)</f>
        <v>1.45793258554982</v>
      </c>
      <c r="P712" s="16" t="n">
        <f aca="false">IF(D712="","",H712+E712-K712-O712)</f>
        <v>217.250196416546</v>
      </c>
      <c r="Q712" s="16" t="n">
        <f aca="false">IF(D712="","",IF(P712&gt;=0,K712,MAX(0,K712+P712)))</f>
        <v>1.119744</v>
      </c>
      <c r="R712" s="16" t="n">
        <f aca="false">IF(D712="","",Q712/$B$15)</f>
        <v>0.432</v>
      </c>
      <c r="S712" s="16" t="n">
        <f aca="false">IF(D712="","",MAX(0,J712-R712))</f>
        <v>0</v>
      </c>
      <c r="T712" s="16" t="n">
        <f aca="false">IF(D712="","",MAX(0,Z712-$B$8))</f>
        <v>55.2501964165461</v>
      </c>
      <c r="U712" s="16" t="n">
        <f aca="false">IF(D712="","",MAX(0,MIN($B$8,Z712)))</f>
        <v>162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217.250196416546</v>
      </c>
      <c r="AA712" s="18" t="n">
        <f aca="false">IF(D712="","",IF(H712&lt;=$B$16,1,IF(H712&gt;=$B$17,$B$21,MATCH(H712,Aux_CAV!$A$2:$A$121,1))))</f>
        <v>23</v>
      </c>
      <c r="AB712" s="18" t="n">
        <f aca="false">IF(D712="","",IF(L712&lt;=$B$16,1,IF(L712&gt;=$B$17,$B$21,MATCH(L712,Aux_CAV!$A$2:$A$121,1))))</f>
        <v>23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9.21681534703985</v>
      </c>
      <c r="E713" s="16" t="n">
        <f aca="false">IF(D713="","",D713*$B$15)</f>
        <v>23.8899853795273</v>
      </c>
      <c r="F713" s="16" t="n">
        <f aca="false" t="array" ref="F713:F713">IF(D713="","",IFERROR(INDEX(Dados_Evap!$C$2:$N$15,MATCH($B$9,Dados_Evap!$A$2:$A$15,0),C713),0))</f>
        <v>108.2</v>
      </c>
      <c r="G713" s="16" t="n">
        <f aca="false">IF(F713="","",F713/1000)</f>
        <v>0.1082</v>
      </c>
      <c r="H713" s="16" t="n">
        <f aca="false">IF(D713="","",MAX(0,MIN($B$8,IFERROR(LOOKUP(2,1/($U$24:U712&lt;&gt;""),$U$24:U712),$B$11))))</f>
        <v>162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15.783</v>
      </c>
      <c r="J713" s="16" t="n">
        <f aca="false">IF(D713="","",$B$12)</f>
        <v>0.432</v>
      </c>
      <c r="K713" s="16" t="n">
        <f aca="false">IF(J713="","",J713*$B$15)</f>
        <v>1.119744</v>
      </c>
      <c r="L713" s="16" t="n">
        <f aca="false">IF(D713="","",H713+E713-K713-G713*I713)</f>
        <v>183.062520779527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17.0427393380517</v>
      </c>
      <c r="N713" s="16" t="n">
        <f aca="false">IF(D713="","",(I713+M713)/2)</f>
        <v>16.4128696690259</v>
      </c>
      <c r="O713" s="16" t="n">
        <f aca="false">IF(D713="","",G713*N713)</f>
        <v>1.7758724981886</v>
      </c>
      <c r="P713" s="16" t="n">
        <f aca="false">IF(D713="","",H713+E713-K713-O713)</f>
        <v>182.994368881339</v>
      </c>
      <c r="Q713" s="16" t="n">
        <f aca="false">IF(D713="","",IF(P713&gt;=0,K713,MAX(0,K713+P713)))</f>
        <v>1.119744</v>
      </c>
      <c r="R713" s="16" t="n">
        <f aca="false">IF(D713="","",Q713/$B$15)</f>
        <v>0.432</v>
      </c>
      <c r="S713" s="16" t="n">
        <f aca="false">IF(D713="","",MAX(0,J713-R713))</f>
        <v>0</v>
      </c>
      <c r="T713" s="16" t="n">
        <f aca="false">IF(D713="","",MAX(0,Z713-$B$8))</f>
        <v>20.9943688813387</v>
      </c>
      <c r="U713" s="16" t="n">
        <f aca="false">IF(D713="","",MAX(0,MIN($B$8,Z713)))</f>
        <v>162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182.994368881339</v>
      </c>
      <c r="AA713" s="18" t="n">
        <f aca="false">IF(D713="","",IF(H713&lt;=$B$16,1,IF(H713&gt;=$B$17,$B$21,MATCH(H713,Aux_CAV!$A$2:$A$121,1))))</f>
        <v>23</v>
      </c>
      <c r="AB713" s="18" t="n">
        <f aca="false">IF(D713="","",IF(L713&lt;=$B$16,1,IF(L713&gt;=$B$17,$B$21,MATCH(L713,Aux_CAV!$A$2:$A$121,1))))</f>
        <v>23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3.71800738093694</v>
      </c>
      <c r="E714" s="16" t="n">
        <f aca="false">IF(D714="","",D714*$B$15)</f>
        <v>9.63707513138855</v>
      </c>
      <c r="F714" s="16" t="n">
        <f aca="false" t="array" ref="F714:F714">IF(D714="","",IFERROR(INDEX(Dados_Evap!$C$2:$N$15,MATCH($B$9,Dados_Evap!$A$2:$A$15,0),C714),0))</f>
        <v>149</v>
      </c>
      <c r="G714" s="16" t="n">
        <f aca="false">IF(F714="","",F714/1000)</f>
        <v>0.149</v>
      </c>
      <c r="H714" s="16" t="n">
        <f aca="false">IF(D714="","",MAX(0,MIN($B$8,IFERROR(LOOKUP(2,1/($U$24:U713&lt;&gt;""),$U$24:U713),$B$11))))</f>
        <v>162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15.783</v>
      </c>
      <c r="J714" s="16" t="n">
        <f aca="false">IF(D714="","",$B$12)</f>
        <v>0.432</v>
      </c>
      <c r="K714" s="16" t="n">
        <f aca="false">IF(J714="","",J714*$B$15)</f>
        <v>1.119744</v>
      </c>
      <c r="L714" s="16" t="n">
        <f aca="false">IF(D714="","",H714+E714-K714-G714*I714)</f>
        <v>168.165664131389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16.1517654356678</v>
      </c>
      <c r="N714" s="16" t="n">
        <f aca="false">IF(D714="","",(I714+M714)/2)</f>
        <v>15.9673827178339</v>
      </c>
      <c r="O714" s="16" t="n">
        <f aca="false">IF(D714="","",G714*N714)</f>
        <v>2.37914002495725</v>
      </c>
      <c r="P714" s="16" t="n">
        <f aca="false">IF(D714="","",H714+E714-K714-O714)</f>
        <v>168.138191106431</v>
      </c>
      <c r="Q714" s="16" t="n">
        <f aca="false">IF(D714="","",IF(P714&gt;=0,K714,MAX(0,K714+P714)))</f>
        <v>1.119744</v>
      </c>
      <c r="R714" s="16" t="n">
        <f aca="false">IF(D714="","",Q714/$B$15)</f>
        <v>0.432</v>
      </c>
      <c r="S714" s="16" t="n">
        <f aca="false">IF(D714="","",MAX(0,J714-R714))</f>
        <v>0</v>
      </c>
      <c r="T714" s="16" t="n">
        <f aca="false">IF(D714="","",MAX(0,Z714-$B$8))</f>
        <v>6.13819110643129</v>
      </c>
      <c r="U714" s="16" t="n">
        <f aca="false">IF(D714="","",MAX(0,MIN($B$8,Z714)))</f>
        <v>162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100</v>
      </c>
      <c r="Z714" s="18" t="n">
        <f aca="false">IF(D714="","",MAX(0,IF(P714&gt;=0,P714,IF(K714+P714&gt;=0,0,P714+K714))))</f>
        <v>168.138191106431</v>
      </c>
      <c r="AA714" s="18" t="n">
        <f aca="false">IF(D714="","",IF(H714&lt;=$B$16,1,IF(H714&gt;=$B$17,$B$21,MATCH(H714,Aux_CAV!$A$2:$A$121,1))))</f>
        <v>23</v>
      </c>
      <c r="AB714" s="18" t="n">
        <f aca="false">IF(D714="","",IF(L714&lt;=$B$16,1,IF(L714&gt;=$B$17,$B$21,MATCH(L714,Aux_CAV!$A$2:$A$121,1))))</f>
        <v>23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2.22994903624401</v>
      </c>
      <c r="E715" s="16" t="n">
        <f aca="false">IF(D715="","",D715*$B$15)</f>
        <v>5.78002790194447</v>
      </c>
      <c r="F715" s="16" t="n">
        <f aca="false" t="array" ref="F715:F715">IF(D715="","",IFERROR(INDEX(Dados_Evap!$C$2:$N$15,MATCH($B$9,Dados_Evap!$A$2:$A$15,0),C715),0))</f>
        <v>206.8</v>
      </c>
      <c r="G715" s="16" t="n">
        <f aca="false">IF(F715="","",F715/1000)</f>
        <v>0.2068</v>
      </c>
      <c r="H715" s="16" t="n">
        <f aca="false">IF(D715="","",MAX(0,MIN($B$8,IFERROR(LOOKUP(2,1/($U$24:U714&lt;&gt;""),$U$24:U714),$B$11))))</f>
        <v>162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15.783</v>
      </c>
      <c r="J715" s="16" t="n">
        <f aca="false">IF(D715="","",$B$12)</f>
        <v>0.432</v>
      </c>
      <c r="K715" s="16" t="n">
        <f aca="false">IF(J715="","",J715*$B$15)</f>
        <v>1.119744</v>
      </c>
      <c r="L715" s="16" t="n">
        <f aca="false">IF(D715="","",H715+E715-K715-G715*I715)</f>
        <v>163.396359501944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15.8665155968782</v>
      </c>
      <c r="N715" s="16" t="n">
        <f aca="false">IF(D715="","",(I715+M715)/2)</f>
        <v>15.8247577984391</v>
      </c>
      <c r="O715" s="16" t="n">
        <f aca="false">IF(D715="","",G715*N715)</f>
        <v>3.27255991271721</v>
      </c>
      <c r="P715" s="16" t="n">
        <f aca="false">IF(D715="","",H715+E715-K715-O715)</f>
        <v>163.387723989227</v>
      </c>
      <c r="Q715" s="16" t="n">
        <f aca="false">IF(D715="","",IF(P715&gt;=0,K715,MAX(0,K715+P715)))</f>
        <v>1.119744</v>
      </c>
      <c r="R715" s="16" t="n">
        <f aca="false">IF(D715="","",Q715/$B$15)</f>
        <v>0.432</v>
      </c>
      <c r="S715" s="16" t="n">
        <f aca="false">IF(D715="","",MAX(0,J715-R715))</f>
        <v>0</v>
      </c>
      <c r="T715" s="16" t="n">
        <f aca="false">IF(D715="","",MAX(0,Z715-$B$8))</f>
        <v>1.38772398922725</v>
      </c>
      <c r="U715" s="16" t="n">
        <f aca="false">IF(D715="","",MAX(0,MIN($B$8,Z715)))</f>
        <v>162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100</v>
      </c>
      <c r="Z715" s="18" t="n">
        <f aca="false">IF(D715="","",MAX(0,IF(P715&gt;=0,P715,IF(K715+P715&gt;=0,0,P715+K715))))</f>
        <v>163.387723989227</v>
      </c>
      <c r="AA715" s="18" t="n">
        <f aca="false">IF(D715="","",IF(H715&lt;=$B$16,1,IF(H715&gt;=$B$17,$B$21,MATCH(H715,Aux_CAV!$A$2:$A$121,1))))</f>
        <v>23</v>
      </c>
      <c r="AB715" s="18" t="n">
        <f aca="false">IF(D715="","",IF(L715&lt;=$B$16,1,IF(L715&gt;=$B$17,$B$21,MATCH(L715,Aux_CAV!$A$2:$A$121,1))))</f>
        <v>23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0.870711805911248</v>
      </c>
      <c r="E716" s="16" t="n">
        <f aca="false">IF(D716="","",D716*$B$15)</f>
        <v>2.25688500092196</v>
      </c>
      <c r="F716" s="16" t="n">
        <f aca="false" t="array" ref="F716:F716">IF(D716="","",IFERROR(INDEX(Dados_Evap!$C$2:$N$15,MATCH($B$9,Dados_Evap!$A$2:$A$15,0),C716),0))</f>
        <v>245.9</v>
      </c>
      <c r="G716" s="16" t="n">
        <f aca="false">IF(F716="","",F716/1000)</f>
        <v>0.2459</v>
      </c>
      <c r="H716" s="16" t="n">
        <f aca="false">IF(D716="","",MAX(0,MIN($B$8,IFERROR(LOOKUP(2,1/($U$24:U715&lt;&gt;""),$U$24:U715),$B$11))))</f>
        <v>162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15.783</v>
      </c>
      <c r="J716" s="16" t="n">
        <f aca="false">IF(D716="","",$B$12)</f>
        <v>0.432</v>
      </c>
      <c r="K716" s="16" t="n">
        <f aca="false">IF(J716="","",J716*$B$15)</f>
        <v>1.119744</v>
      </c>
      <c r="L716" s="16" t="n">
        <f aca="false">IF(D716="","",H716+E716-K716-G716*I716)</f>
        <v>159.256101300922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15.5832256109952</v>
      </c>
      <c r="N716" s="16" t="n">
        <f aca="false">IF(D716="","",(I716+M716)/2)</f>
        <v>15.6831128054976</v>
      </c>
      <c r="O716" s="16" t="n">
        <f aca="false">IF(D716="","",G716*N716)</f>
        <v>3.85647743887186</v>
      </c>
      <c r="P716" s="16" t="n">
        <f aca="false">IF(D716="","",H716+E716-K716-O716)</f>
        <v>159.28066356205</v>
      </c>
      <c r="Q716" s="16" t="n">
        <f aca="false">IF(D716="","",IF(P716&gt;=0,K716,MAX(0,K716+P716)))</f>
        <v>1.119744</v>
      </c>
      <c r="R716" s="16" t="n">
        <f aca="false">IF(D716="","",Q716/$B$15)</f>
        <v>0.432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159.28066356205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98.3213972605248</v>
      </c>
      <c r="Z716" s="18" t="n">
        <f aca="false">IF(D716="","",MAX(0,IF(P716&gt;=0,P716,IF(K716+P716&gt;=0,0,P716+K716))))</f>
        <v>159.28066356205</v>
      </c>
      <c r="AA716" s="18" t="n">
        <f aca="false">IF(D716="","",IF(H716&lt;=$B$16,1,IF(H716&gt;=$B$17,$B$21,MATCH(H716,Aux_CAV!$A$2:$A$121,1))))</f>
        <v>23</v>
      </c>
      <c r="AB716" s="18" t="n">
        <f aca="false">IF(D716="","",IF(L716&lt;=$B$16,1,IF(L716&gt;=$B$17,$B$21,MATCH(L716,Aux_CAV!$A$2:$A$121,1))))</f>
        <v>22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0.740870022325943</v>
      </c>
      <c r="E717" s="16" t="n">
        <f aca="false">IF(D717="","",D717*$B$15)</f>
        <v>1.92033509786884</v>
      </c>
      <c r="F717" s="16" t="n">
        <f aca="false" t="array" ref="F717:F717">IF(D717="","",IFERROR(INDEX(Dados_Evap!$C$2:$N$15,MATCH($B$9,Dados_Evap!$A$2:$A$15,0),C717),0))</f>
        <v>282.3</v>
      </c>
      <c r="G717" s="16" t="n">
        <f aca="false">IF(F717="","",F717/1000)</f>
        <v>0.2823</v>
      </c>
      <c r="H717" s="16" t="n">
        <f aca="false">IF(D717="","",MAX(0,MIN($B$8,IFERROR(LOOKUP(2,1/($U$24:U716&lt;&gt;""),$U$24:U716),$B$11))))</f>
        <v>159.28066356205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15.5850139097801</v>
      </c>
      <c r="J717" s="16" t="n">
        <f aca="false">IF(D717="","",$B$12)</f>
        <v>0.432</v>
      </c>
      <c r="K717" s="16" t="n">
        <f aca="false">IF(J717="","",J717*$B$15)</f>
        <v>1.119744</v>
      </c>
      <c r="L717" s="16" t="n">
        <f aca="false">IF(D717="","",H717+E717-K717-G717*I717)</f>
        <v>155.681605233188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15.3229781141865</v>
      </c>
      <c r="N717" s="16" t="n">
        <f aca="false">IF(D717="","",(I717+M717)/2)</f>
        <v>15.4539960119833</v>
      </c>
      <c r="O717" s="16" t="n">
        <f aca="false">IF(D717="","",G717*N717)</f>
        <v>4.36266307418288</v>
      </c>
      <c r="P717" s="16" t="n">
        <f aca="false">IF(D717="","",H717+E717-K717-O717)</f>
        <v>155.718591585736</v>
      </c>
      <c r="Q717" s="16" t="n">
        <f aca="false">IF(D717="","",IF(P717&gt;=0,K717,MAX(0,K717+P717)))</f>
        <v>1.119744</v>
      </c>
      <c r="R717" s="16" t="n">
        <f aca="false">IF(D717="","",Q717/$B$15)</f>
        <v>0.432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155.718591585736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96.1225873986025</v>
      </c>
      <c r="Z717" s="18" t="n">
        <f aca="false">IF(D717="","",MAX(0,IF(P717&gt;=0,P717,IF(K717+P717&gt;=0,0,P717+K717))))</f>
        <v>155.718591585736</v>
      </c>
      <c r="AA717" s="18" t="n">
        <f aca="false">IF(D717="","",IF(H717&lt;=$B$16,1,IF(H717&gt;=$B$17,$B$21,MATCH(H717,Aux_CAV!$A$2:$A$121,1))))</f>
        <v>22</v>
      </c>
      <c r="AB717" s="18" t="n">
        <f aca="false">IF(D717="","",IF(L717&lt;=$B$16,1,IF(L717&gt;=$B$17,$B$21,MATCH(L717,Aux_CAV!$A$2:$A$121,1))))</f>
        <v>22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0.656278577455188</v>
      </c>
      <c r="E718" s="16" t="n">
        <f aca="false">IF(D718="","",D718*$B$15)</f>
        <v>1.70107407276385</v>
      </c>
      <c r="F718" s="16" t="n">
        <f aca="false" t="array" ref="F718:F718">IF(D718="","",IFERROR(INDEX(Dados_Evap!$C$2:$N$15,MATCH($B$9,Dados_Evap!$A$2:$A$15,0),C718),0))</f>
        <v>241.3</v>
      </c>
      <c r="G718" s="16" t="n">
        <f aca="false">IF(F718="","",F718/1000)</f>
        <v>0.2413</v>
      </c>
      <c r="H718" s="16" t="n">
        <f aca="false">IF(D718="","",MAX(0,MIN($B$8,IFERROR(LOOKUP(2,1/($U$24:U717&lt;&gt;""),$U$24:U717),$B$11))))</f>
        <v>155.718591585736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15.3256709708814</v>
      </c>
      <c r="J718" s="16" t="n">
        <f aca="false">IF(D718="","",$B$12)</f>
        <v>0.432</v>
      </c>
      <c r="K718" s="16" t="n">
        <f aca="false">IF(J718="","",J718*$B$15)</f>
        <v>1.119744</v>
      </c>
      <c r="L718" s="16" t="n">
        <f aca="false">IF(D718="","",H718+E718-K718-G718*I718)</f>
        <v>152.601837253226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15.0987501692262</v>
      </c>
      <c r="N718" s="16" t="n">
        <f aca="false">IF(D718="","",(I718+M718)/2)</f>
        <v>15.2122105700538</v>
      </c>
      <c r="O718" s="16" t="n">
        <f aca="false">IF(D718="","",G718*N718)</f>
        <v>3.67070641055398</v>
      </c>
      <c r="P718" s="16" t="n">
        <f aca="false">IF(D718="","",H718+E718-K718-O718)</f>
        <v>152.629215247946</v>
      </c>
      <c r="Q718" s="16" t="n">
        <f aca="false">IF(D718="","",IF(P718&gt;=0,K718,MAX(0,K718+P718)))</f>
        <v>1.119744</v>
      </c>
      <c r="R718" s="16" t="n">
        <f aca="false">IF(D718="","",Q718/$B$15)</f>
        <v>0.432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152.629215247946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94.2155649678679</v>
      </c>
      <c r="Z718" s="18" t="n">
        <f aca="false">IF(D718="","",MAX(0,IF(P718&gt;=0,P718,IF(K718+P718&gt;=0,0,P718+K718))))</f>
        <v>152.629215247946</v>
      </c>
      <c r="AA718" s="18" t="n">
        <f aca="false">IF(D718="","",IF(H718&lt;=$B$16,1,IF(H718&gt;=$B$17,$B$21,MATCH(H718,Aux_CAV!$A$2:$A$121,1))))</f>
        <v>22</v>
      </c>
      <c r="AB718" s="18" t="n">
        <f aca="false">IF(D718="","",IF(L718&lt;=$B$16,1,IF(L718&gt;=$B$17,$B$21,MATCH(L718,Aux_CAV!$A$2:$A$121,1))))</f>
        <v>22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0.907445565513953</v>
      </c>
      <c r="E719" s="16" t="n">
        <f aca="false">IF(D719="","",D719*$B$15)</f>
        <v>2.35209890581217</v>
      </c>
      <c r="F719" s="16" t="n">
        <f aca="false" t="array" ref="F719:F719">IF(D719="","",IFERROR(INDEX(Dados_Evap!$C$2:$N$15,MATCH($B$9,Dados_Evap!$A$2:$A$15,0),C719),0))</f>
        <v>241.8</v>
      </c>
      <c r="G719" s="16" t="n">
        <f aca="false">IF(F719="","",F719/1000)</f>
        <v>0.2418</v>
      </c>
      <c r="H719" s="16" t="n">
        <f aca="false">IF(D719="","",MAX(0,MIN($B$8,IFERROR(LOOKUP(2,1/($U$24:U718&lt;&gt;""),$U$24:U718),$B$11))))</f>
        <v>152.629215247946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15.1007434724663</v>
      </c>
      <c r="J719" s="16" t="n">
        <f aca="false">IF(D719="","",$B$12)</f>
        <v>0.432</v>
      </c>
      <c r="K719" s="16" t="n">
        <f aca="false">IF(J719="","",J719*$B$15)</f>
        <v>1.119744</v>
      </c>
      <c r="L719" s="16" t="n">
        <f aca="false">IF(D719="","",H719+E719-K719-G719*I719)</f>
        <v>150.210210382116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14.9246235525752</v>
      </c>
      <c r="N719" s="16" t="n">
        <f aca="false">IF(D719="","",(I719+M719)/2)</f>
        <v>15.0126835125207</v>
      </c>
      <c r="O719" s="16" t="n">
        <f aca="false">IF(D719="","",G719*N719)</f>
        <v>3.63006687332752</v>
      </c>
      <c r="P719" s="16" t="n">
        <f aca="false">IF(D719="","",H719+E719-K719-O719)</f>
        <v>150.231503280431</v>
      </c>
      <c r="Q719" s="16" t="n">
        <f aca="false">IF(D719="","",IF(P719&gt;=0,K719,MAX(0,K719+P719)))</f>
        <v>1.119744</v>
      </c>
      <c r="R719" s="16" t="n">
        <f aca="false">IF(D719="","",Q719/$B$15)</f>
        <v>0.432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150.231503280431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92.7354958521177</v>
      </c>
      <c r="Z719" s="18" t="n">
        <f aca="false">IF(D719="","",MAX(0,IF(P719&gt;=0,P719,IF(K719+P719&gt;=0,0,P719+K719))))</f>
        <v>150.231503280431</v>
      </c>
      <c r="AA719" s="18" t="n">
        <f aca="false">IF(D719="","",IF(H719&lt;=$B$16,1,IF(H719&gt;=$B$17,$B$21,MATCH(H719,Aux_CAV!$A$2:$A$121,1))))</f>
        <v>22</v>
      </c>
      <c r="AB719" s="18" t="n">
        <f aca="false">IF(D719="","",IF(L719&lt;=$B$16,1,IF(L719&gt;=$B$17,$B$21,MATCH(L719,Aux_CAV!$A$2:$A$121,1))))</f>
        <v>22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1.58997384129437</v>
      </c>
      <c r="E720" s="16" t="n">
        <f aca="false">IF(D720="","",D720*$B$15)</f>
        <v>4.12121219663501</v>
      </c>
      <c r="F720" s="16" t="n">
        <f aca="false" t="array" ref="F720:F720">IF(D720="","",IFERROR(INDEX(Dados_Evap!$C$2:$N$15,MATCH($B$9,Dados_Evap!$A$2:$A$15,0),C720),0))</f>
        <v>189</v>
      </c>
      <c r="G720" s="16" t="n">
        <f aca="false">IF(F720="","",F720/1000)</f>
        <v>0.189</v>
      </c>
      <c r="H720" s="16" t="n">
        <f aca="false">IF(D720="","",MAX(0,MIN($B$8,IFERROR(LOOKUP(2,1/($U$24:U719&lt;&gt;""),$U$24:U719),$B$11))))</f>
        <v>150.231503280431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14.9261738196286</v>
      </c>
      <c r="J720" s="16" t="n">
        <f aca="false">IF(D720="","",$B$12)</f>
        <v>0.432</v>
      </c>
      <c r="K720" s="16" t="n">
        <f aca="false">IF(J720="","",J720*$B$15)</f>
        <v>1.119744</v>
      </c>
      <c r="L720" s="16" t="n">
        <f aca="false">IF(D720="","",H720+E720-K720-G720*I720)</f>
        <v>150.411924625156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14.9393097141563</v>
      </c>
      <c r="N720" s="16" t="n">
        <f aca="false">IF(D720="","",(I720+M720)/2)</f>
        <v>14.9327417668925</v>
      </c>
      <c r="O720" s="16" t="n">
        <f aca="false">IF(D720="","",G720*N720)</f>
        <v>2.82228819394267</v>
      </c>
      <c r="P720" s="16" t="n">
        <f aca="false">IF(D720="","",H720+E720-K720-O720)</f>
        <v>150.410683283123</v>
      </c>
      <c r="Q720" s="16" t="n">
        <f aca="false">IF(D720="","",IF(P720&gt;=0,K720,MAX(0,K720+P720)))</f>
        <v>1.119744</v>
      </c>
      <c r="R720" s="16" t="n">
        <f aca="false">IF(D720="","",Q720/$B$15)</f>
        <v>0.432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150.410683283123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92.8461007920512</v>
      </c>
      <c r="Z720" s="18" t="n">
        <f aca="false">IF(D720="","",MAX(0,IF(P720&gt;=0,P720,IF(K720+P720&gt;=0,0,P720+K720))))</f>
        <v>150.410683283123</v>
      </c>
      <c r="AA720" s="18" t="n">
        <f aca="false">IF(D720="","",IF(H720&lt;=$B$16,1,IF(H720&gt;=$B$17,$B$21,MATCH(H720,Aux_CAV!$A$2:$A$121,1))))</f>
        <v>22</v>
      </c>
      <c r="AB720" s="18" t="n">
        <f aca="false">IF(D720="","",IF(L720&lt;=$B$16,1,IF(L720&gt;=$B$17,$B$21,MATCH(L720,Aux_CAV!$A$2:$A$121,1))))</f>
        <v>22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1.44975420396282</v>
      </c>
      <c r="E721" s="16" t="n">
        <f aca="false">IF(D721="","",D721*$B$15)</f>
        <v>3.75776289667163</v>
      </c>
      <c r="F721" s="16" t="n">
        <f aca="false" t="array" ref="F721:F721">IF(D721="","",IFERROR(INDEX(Dados_Evap!$C$2:$N$15,MATCH($B$9,Dados_Evap!$A$2:$A$15,0),C721),0))</f>
        <v>136.9</v>
      </c>
      <c r="G721" s="16" t="n">
        <f aca="false">IF(F721="","",F721/1000)</f>
        <v>0.1369</v>
      </c>
      <c r="H721" s="16" t="n">
        <f aca="false">IF(D721="","",MAX(0,MIN($B$8,IFERROR(LOOKUP(2,1/($U$24:U720&lt;&gt;""),$U$24:U720),$B$11))))</f>
        <v>150.410683283123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14.9392193360581</v>
      </c>
      <c r="J721" s="16" t="n">
        <f aca="false">IF(D721="","",$B$12)</f>
        <v>0.432</v>
      </c>
      <c r="K721" s="16" t="n">
        <f aca="false">IF(J721="","",J721*$B$15)</f>
        <v>1.119744</v>
      </c>
      <c r="L721" s="16" t="n">
        <f aca="false">IF(D721="","",H721+E721-K721-G721*I721)</f>
        <v>151.003523052688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14.9823820821108</v>
      </c>
      <c r="N721" s="16" t="n">
        <f aca="false">IF(D721="","",(I721+M721)/2)</f>
        <v>14.9608007090844</v>
      </c>
      <c r="O721" s="16" t="n">
        <f aca="false">IF(D721="","",G721*N721)</f>
        <v>2.04813361707366</v>
      </c>
      <c r="P721" s="16" t="n">
        <f aca="false">IF(D721="","",H721+E721-K721-O721)</f>
        <v>151.000568562721</v>
      </c>
      <c r="Q721" s="16" t="n">
        <f aca="false">IF(D721="","",IF(P721&gt;=0,K721,MAX(0,K721+P721)))</f>
        <v>1.119744</v>
      </c>
      <c r="R721" s="16" t="n">
        <f aca="false">IF(D721="","",Q721/$B$15)</f>
        <v>0.432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151.000568562721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93.2102275078524</v>
      </c>
      <c r="Z721" s="18" t="n">
        <f aca="false">IF(D721="","",MAX(0,IF(P721&gt;=0,P721,IF(K721+P721&gt;=0,0,P721+K721))))</f>
        <v>151.000568562721</v>
      </c>
      <c r="AA721" s="18" t="n">
        <f aca="false">IF(D721="","",IF(H721&lt;=$B$16,1,IF(H721&gt;=$B$17,$B$21,MATCH(H721,Aux_CAV!$A$2:$A$121,1))))</f>
        <v>22</v>
      </c>
      <c r="AB721" s="18" t="n">
        <f aca="false">IF(D721="","",IF(L721&lt;=$B$16,1,IF(L721&gt;=$B$17,$B$21,MATCH(L721,Aux_CAV!$A$2:$A$121,1))))</f>
        <v>22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6.49727463850931</v>
      </c>
      <c r="E722" s="16" t="n">
        <f aca="false">IF(D722="","",D722*$B$15)</f>
        <v>16.8409358630161</v>
      </c>
      <c r="F722" s="16" t="n">
        <f aca="false" t="array" ref="F722:F722">IF(D722="","",IFERROR(INDEX(Dados_Evap!$C$2:$N$15,MATCH($B$9,Dados_Evap!$A$2:$A$15,0),C722),0))</f>
        <v>102.9</v>
      </c>
      <c r="G722" s="16" t="n">
        <f aca="false">IF(F722="","",F722/1000)</f>
        <v>0.1029</v>
      </c>
      <c r="H722" s="16" t="n">
        <f aca="false">IF(D722="","",MAX(0,MIN($B$8,IFERROR(LOOKUP(2,1/($U$24:U721&lt;&gt;""),$U$24:U721),$B$11))))</f>
        <v>151.000568562721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14.9821669752527</v>
      </c>
      <c r="J722" s="16" t="n">
        <f aca="false">IF(D722="","",$B$12)</f>
        <v>0.432</v>
      </c>
      <c r="K722" s="16" t="n">
        <f aca="false">IF(J722="","",J722*$B$15)</f>
        <v>1.119744</v>
      </c>
      <c r="L722" s="16" t="n">
        <f aca="false">IF(D722="","",H722+E722-K722-G722*I722)</f>
        <v>165.180095443984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15.9731999941735</v>
      </c>
      <c r="N722" s="16" t="n">
        <f aca="false">IF(D722="","",(I722+M722)/2)</f>
        <v>15.4776834847131</v>
      </c>
      <c r="O722" s="16" t="n">
        <f aca="false">IF(D722="","",G722*N722)</f>
        <v>1.59265363057698</v>
      </c>
      <c r="P722" s="16" t="n">
        <f aca="false">IF(D722="","",H722+E722-K722-O722)</f>
        <v>165.12910679516</v>
      </c>
      <c r="Q722" s="16" t="n">
        <f aca="false">IF(D722="","",IF(P722&gt;=0,K722,MAX(0,K722+P722)))</f>
        <v>1.119744</v>
      </c>
      <c r="R722" s="16" t="n">
        <f aca="false">IF(D722="","",Q722/$B$15)</f>
        <v>0.432</v>
      </c>
      <c r="S722" s="16" t="n">
        <f aca="false">IF(D722="","",MAX(0,J722-R722))</f>
        <v>0</v>
      </c>
      <c r="T722" s="16" t="n">
        <f aca="false">IF(D722="","",MAX(0,Z722-$B$8))</f>
        <v>3.12910679516008</v>
      </c>
      <c r="U722" s="16" t="n">
        <f aca="false">IF(D722="","",MAX(0,MIN($B$8,Z722)))</f>
        <v>162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100</v>
      </c>
      <c r="Z722" s="18" t="n">
        <f aca="false">IF(D722="","",MAX(0,IF(P722&gt;=0,P722,IF(K722+P722&gt;=0,0,P722+K722))))</f>
        <v>165.12910679516</v>
      </c>
      <c r="AA722" s="18" t="n">
        <f aca="false">IF(D722="","",IF(H722&lt;=$B$16,1,IF(H722&gt;=$B$17,$B$21,MATCH(H722,Aux_CAV!$A$2:$A$121,1))))</f>
        <v>22</v>
      </c>
      <c r="AB722" s="18" t="n">
        <f aca="false">IF(D722="","",IF(L722&lt;=$B$16,1,IF(L722&gt;=$B$17,$B$21,MATCH(L722,Aux_CAV!$A$2:$A$121,1))))</f>
        <v>23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8.28366065248064</v>
      </c>
      <c r="E723" s="16" t="n">
        <f aca="false">IF(D723="","",D723*$B$15)</f>
        <v>21.4712484112298</v>
      </c>
      <c r="F723" s="16" t="n">
        <f aca="false" t="array" ref="F723:F723">IF(D723="","",IFERROR(INDEX(Dados_Evap!$C$2:$N$15,MATCH($B$9,Dados_Evap!$A$2:$A$15,0),C723),0))</f>
        <v>81.8</v>
      </c>
      <c r="G723" s="16" t="n">
        <f aca="false">IF(F723="","",F723/1000)</f>
        <v>0.0818</v>
      </c>
      <c r="H723" s="16" t="n">
        <f aca="false">IF(D723="","",MAX(0,MIN($B$8,IFERROR(LOOKUP(2,1/($U$24:U722&lt;&gt;""),$U$24:U722),$B$11))))</f>
        <v>162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15.783</v>
      </c>
      <c r="J723" s="16" t="n">
        <f aca="false">IF(D723="","",$B$12)</f>
        <v>0.432</v>
      </c>
      <c r="K723" s="16" t="n">
        <f aca="false">IF(J723="","",J723*$B$15)</f>
        <v>1.119744</v>
      </c>
      <c r="L723" s="16" t="n">
        <f aca="false">IF(D723="","",H723+E723-K723-G723*I723)</f>
        <v>181.06045501123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16.9229967378145</v>
      </c>
      <c r="N723" s="16" t="n">
        <f aca="false">IF(D723="","",(I723+M723)/2)</f>
        <v>16.3529983689073</v>
      </c>
      <c r="O723" s="16" t="n">
        <f aca="false">IF(D723="","",G723*N723)</f>
        <v>1.33767526657661</v>
      </c>
      <c r="P723" s="16" t="n">
        <f aca="false">IF(D723="","",H723+E723-K723-O723)</f>
        <v>181.013829144653</v>
      </c>
      <c r="Q723" s="16" t="n">
        <f aca="false">IF(D723="","",IF(P723&gt;=0,K723,MAX(0,K723+P723)))</f>
        <v>1.119744</v>
      </c>
      <c r="R723" s="16" t="n">
        <f aca="false">IF(D723="","",Q723/$B$15)</f>
        <v>0.432</v>
      </c>
      <c r="S723" s="16" t="n">
        <f aca="false">IF(D723="","",MAX(0,J723-R723))</f>
        <v>0</v>
      </c>
      <c r="T723" s="16" t="n">
        <f aca="false">IF(D723="","",MAX(0,Z723-$B$8))</f>
        <v>19.0138291446532</v>
      </c>
      <c r="U723" s="16" t="n">
        <f aca="false">IF(D723="","",MAX(0,MIN($B$8,Z723)))</f>
        <v>162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181.013829144653</v>
      </c>
      <c r="AA723" s="18" t="n">
        <f aca="false">IF(D723="","",IF(H723&lt;=$B$16,1,IF(H723&gt;=$B$17,$B$21,MATCH(H723,Aux_CAV!$A$2:$A$121,1))))</f>
        <v>23</v>
      </c>
      <c r="AB723" s="18" t="n">
        <f aca="false">IF(D723="","",IF(L723&lt;=$B$16,1,IF(L723&gt;=$B$17,$B$21,MATCH(L723,Aux_CAV!$A$2:$A$121,1))))</f>
        <v>23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15.0874279831982</v>
      </c>
      <c r="E724" s="16" t="n">
        <f aca="false">IF(D724="","",D724*$B$15)</f>
        <v>39.1066133324497</v>
      </c>
      <c r="F724" s="16" t="n">
        <f aca="false" t="array" ref="F724:F724">IF(D724="","",IFERROR(INDEX(Dados_Evap!$C$2:$N$15,MATCH($B$9,Dados_Evap!$A$2:$A$15,0),C724),0))</f>
        <v>83.6</v>
      </c>
      <c r="G724" s="16" t="n">
        <f aca="false">IF(F724="","",F724/1000)</f>
        <v>0.0836</v>
      </c>
      <c r="H724" s="16" t="n">
        <f aca="false">IF(D724="","",MAX(0,MIN($B$8,IFERROR(LOOKUP(2,1/($U$24:U723&lt;&gt;""),$U$24:U723),$B$11))))</f>
        <v>162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15.783</v>
      </c>
      <c r="J724" s="16" t="n">
        <f aca="false">IF(D724="","",$B$12)</f>
        <v>0.432</v>
      </c>
      <c r="K724" s="16" t="n">
        <f aca="false">IF(J724="","",J724*$B$15)</f>
        <v>1.119744</v>
      </c>
      <c r="L724" s="16" t="n">
        <f aca="false">IF(D724="","",H724+E724-K724-G724*I724)</f>
        <v>198.66741053245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17.9760603632741</v>
      </c>
      <c r="N724" s="16" t="n">
        <f aca="false">IF(D724="","",(I724+M724)/2)</f>
        <v>16.8795301816371</v>
      </c>
      <c r="O724" s="16" t="n">
        <f aca="false">IF(D724="","",G724*N724)</f>
        <v>1.41112872318486</v>
      </c>
      <c r="P724" s="16" t="n">
        <f aca="false">IF(D724="","",H724+E724-K724-O724)</f>
        <v>198.575740609265</v>
      </c>
      <c r="Q724" s="16" t="n">
        <f aca="false">IF(D724="","",IF(P724&gt;=0,K724,MAX(0,K724+P724)))</f>
        <v>1.119744</v>
      </c>
      <c r="R724" s="16" t="n">
        <f aca="false">IF(D724="","",Q724/$B$15)</f>
        <v>0.432</v>
      </c>
      <c r="S724" s="16" t="n">
        <f aca="false">IF(D724="","",MAX(0,J724-R724))</f>
        <v>0</v>
      </c>
      <c r="T724" s="16" t="n">
        <f aca="false">IF(D724="","",MAX(0,Z724-$B$8))</f>
        <v>36.5757406092649</v>
      </c>
      <c r="U724" s="16" t="n">
        <f aca="false">IF(D724="","",MAX(0,MIN($B$8,Z724)))</f>
        <v>162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198.575740609265</v>
      </c>
      <c r="AA724" s="18" t="n">
        <f aca="false">IF(D724="","",IF(H724&lt;=$B$16,1,IF(H724&gt;=$B$17,$B$21,MATCH(H724,Aux_CAV!$A$2:$A$121,1))))</f>
        <v>23</v>
      </c>
      <c r="AB724" s="18" t="n">
        <f aca="false">IF(D724="","",IF(L724&lt;=$B$16,1,IF(L724&gt;=$B$17,$B$21,MATCH(L724,Aux_CAV!$A$2:$A$121,1))))</f>
        <v>23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2.70199397472591</v>
      </c>
      <c r="E725" s="16" t="n">
        <f aca="false">IF(D725="","",D725*$B$15)</f>
        <v>7.00356838248956</v>
      </c>
      <c r="F725" s="16" t="n">
        <f aca="false" t="array" ref="F725:F725">IF(D725="","",IFERROR(INDEX(Dados_Evap!$C$2:$N$15,MATCH($B$9,Dados_Evap!$A$2:$A$15,0),C725),0))</f>
        <v>108.2</v>
      </c>
      <c r="G725" s="16" t="n">
        <f aca="false">IF(F725="","",F725/1000)</f>
        <v>0.1082</v>
      </c>
      <c r="H725" s="16" t="n">
        <f aca="false">IF(D725="","",MAX(0,MIN($B$8,IFERROR(LOOKUP(2,1/($U$24:U724&lt;&gt;""),$U$24:U724),$B$11))))</f>
        <v>162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15.783</v>
      </c>
      <c r="J725" s="16" t="n">
        <f aca="false">IF(D725="","",$B$12)</f>
        <v>0.432</v>
      </c>
      <c r="K725" s="16" t="n">
        <f aca="false">IF(J725="","",J725*$B$15)</f>
        <v>1.119744</v>
      </c>
      <c r="L725" s="16" t="n">
        <f aca="false">IF(D725="","",H725+E725-K725-G725*I725)</f>
        <v>166.17610378249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16.0327707786099</v>
      </c>
      <c r="N725" s="16" t="n">
        <f aca="false">IF(D725="","",(I725+M725)/2)</f>
        <v>15.9078853893049</v>
      </c>
      <c r="O725" s="16" t="n">
        <f aca="false">IF(D725="","",G725*N725)</f>
        <v>1.72123319912279</v>
      </c>
      <c r="P725" s="16" t="n">
        <f aca="false">IF(D725="","",H725+E725-K725-O725)</f>
        <v>166.162591183367</v>
      </c>
      <c r="Q725" s="16" t="n">
        <f aca="false">IF(D725="","",IF(P725&gt;=0,K725,MAX(0,K725+P725)))</f>
        <v>1.119744</v>
      </c>
      <c r="R725" s="16" t="n">
        <f aca="false">IF(D725="","",Q725/$B$15)</f>
        <v>0.432</v>
      </c>
      <c r="S725" s="16" t="n">
        <f aca="false">IF(D725="","",MAX(0,J725-R725))</f>
        <v>0</v>
      </c>
      <c r="T725" s="16" t="n">
        <f aca="false">IF(D725="","",MAX(0,Z725-$B$8))</f>
        <v>4.16259118336677</v>
      </c>
      <c r="U725" s="16" t="n">
        <f aca="false">IF(D725="","",MAX(0,MIN($B$8,Z725)))</f>
        <v>162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100</v>
      </c>
      <c r="Z725" s="18" t="n">
        <f aca="false">IF(D725="","",MAX(0,IF(P725&gt;=0,P725,IF(K725+P725&gt;=0,0,P725+K725))))</f>
        <v>166.162591183367</v>
      </c>
      <c r="AA725" s="18" t="n">
        <f aca="false">IF(D725="","",IF(H725&lt;=$B$16,1,IF(H725&gt;=$B$17,$B$21,MATCH(H725,Aux_CAV!$A$2:$A$121,1))))</f>
        <v>23</v>
      </c>
      <c r="AB725" s="18" t="n">
        <f aca="false">IF(D725="","",IF(L725&lt;=$B$16,1,IF(L725&gt;=$B$17,$B$21,MATCH(L725,Aux_CAV!$A$2:$A$121,1))))</f>
        <v>23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3.41790084291627</v>
      </c>
      <c r="E726" s="16" t="n">
        <f aca="false">IF(D726="","",D726*$B$15)</f>
        <v>8.85919898483897</v>
      </c>
      <c r="F726" s="16" t="n">
        <f aca="false" t="array" ref="F726:F726">IF(D726="","",IFERROR(INDEX(Dados_Evap!$C$2:$N$15,MATCH($B$9,Dados_Evap!$A$2:$A$15,0),C726),0))</f>
        <v>149</v>
      </c>
      <c r="G726" s="16" t="n">
        <f aca="false">IF(F726="","",F726/1000)</f>
        <v>0.149</v>
      </c>
      <c r="H726" s="16" t="n">
        <f aca="false">IF(D726="","",MAX(0,MIN($B$8,IFERROR(LOOKUP(2,1/($U$24:U725&lt;&gt;""),$U$24:U725),$B$11))))</f>
        <v>162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15.783</v>
      </c>
      <c r="J726" s="16" t="n">
        <f aca="false">IF(D726="","",$B$12)</f>
        <v>0.432</v>
      </c>
      <c r="K726" s="16" t="n">
        <f aca="false">IF(J726="","",J726*$B$15)</f>
        <v>1.119744</v>
      </c>
      <c r="L726" s="16" t="n">
        <f aca="false">IF(D726="","",H726+E726-K726-G726*I726)</f>
        <v>167.387787984839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16.1052410337599</v>
      </c>
      <c r="N726" s="16" t="n">
        <f aca="false">IF(D726="","",(I726+M726)/2)</f>
        <v>15.9441205168799</v>
      </c>
      <c r="O726" s="16" t="n">
        <f aca="false">IF(D726="","",G726*N726)</f>
        <v>2.37567395701511</v>
      </c>
      <c r="P726" s="16" t="n">
        <f aca="false">IF(D726="","",H726+E726-K726-O726)</f>
        <v>167.363781027824</v>
      </c>
      <c r="Q726" s="16" t="n">
        <f aca="false">IF(D726="","",IF(P726&gt;=0,K726,MAX(0,K726+P726)))</f>
        <v>1.119744</v>
      </c>
      <c r="R726" s="16" t="n">
        <f aca="false">IF(D726="","",Q726/$B$15)</f>
        <v>0.432</v>
      </c>
      <c r="S726" s="16" t="n">
        <f aca="false">IF(D726="","",MAX(0,J726-R726))</f>
        <v>0</v>
      </c>
      <c r="T726" s="16" t="n">
        <f aca="false">IF(D726="","",MAX(0,Z726-$B$8))</f>
        <v>5.36378102782385</v>
      </c>
      <c r="U726" s="16" t="n">
        <f aca="false">IF(D726="","",MAX(0,MIN($B$8,Z726)))</f>
        <v>162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100</v>
      </c>
      <c r="Z726" s="18" t="n">
        <f aca="false">IF(D726="","",MAX(0,IF(P726&gt;=0,P726,IF(K726+P726&gt;=0,0,P726+K726))))</f>
        <v>167.363781027824</v>
      </c>
      <c r="AA726" s="18" t="n">
        <f aca="false">IF(D726="","",IF(H726&lt;=$B$16,1,IF(H726&gt;=$B$17,$B$21,MATCH(H726,Aux_CAV!$A$2:$A$121,1))))</f>
        <v>23</v>
      </c>
      <c r="AB726" s="18" t="n">
        <f aca="false">IF(D726="","",IF(L726&lt;=$B$16,1,IF(L726&gt;=$B$17,$B$21,MATCH(L726,Aux_CAV!$A$2:$A$121,1))))</f>
        <v>23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0.844373799212712</v>
      </c>
      <c r="E727" s="16" t="n">
        <f aca="false">IF(D727="","",D727*$B$15)</f>
        <v>2.18861688755935</v>
      </c>
      <c r="F727" s="16" t="n">
        <f aca="false" t="array" ref="F727:F727">IF(D727="","",IFERROR(INDEX(Dados_Evap!$C$2:$N$15,MATCH($B$9,Dados_Evap!$A$2:$A$15,0),C727),0))</f>
        <v>206.8</v>
      </c>
      <c r="G727" s="16" t="n">
        <f aca="false">IF(F727="","",F727/1000)</f>
        <v>0.2068</v>
      </c>
      <c r="H727" s="16" t="n">
        <f aca="false">IF(D727="","",MAX(0,MIN($B$8,IFERROR(LOOKUP(2,1/($U$24:U726&lt;&gt;""),$U$24:U726),$B$11))))</f>
        <v>162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15.783</v>
      </c>
      <c r="J727" s="16" t="n">
        <f aca="false">IF(D727="","",$B$12)</f>
        <v>0.432</v>
      </c>
      <c r="K727" s="16" t="n">
        <f aca="false">IF(J727="","",J727*$B$15)</f>
        <v>1.119744</v>
      </c>
      <c r="L727" s="16" t="n">
        <f aca="false">IF(D727="","",H727+E727-K727-G727*I727)</f>
        <v>159.804948487559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15.6231853993811</v>
      </c>
      <c r="N727" s="16" t="n">
        <f aca="false">IF(D727="","",(I727+M727)/2)</f>
        <v>15.7030926996905</v>
      </c>
      <c r="O727" s="16" t="n">
        <f aca="false">IF(D727="","",G727*N727)</f>
        <v>3.247399570296</v>
      </c>
      <c r="P727" s="16" t="n">
        <f aca="false">IF(D727="","",H727+E727-K727-O727)</f>
        <v>159.821473317263</v>
      </c>
      <c r="Q727" s="16" t="n">
        <f aca="false">IF(D727="","",IF(P727&gt;=0,K727,MAX(0,K727+P727)))</f>
        <v>1.119744</v>
      </c>
      <c r="R727" s="16" t="n">
        <f aca="false">IF(D727="","",Q727/$B$15)</f>
        <v>0.432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159.821473317263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98.6552304427552</v>
      </c>
      <c r="Z727" s="18" t="n">
        <f aca="false">IF(D727="","",MAX(0,IF(P727&gt;=0,P727,IF(K727+P727&gt;=0,0,P727+K727))))</f>
        <v>159.821473317263</v>
      </c>
      <c r="AA727" s="18" t="n">
        <f aca="false">IF(D727="","",IF(H727&lt;=$B$16,1,IF(H727&gt;=$B$17,$B$21,MATCH(H727,Aux_CAV!$A$2:$A$121,1))))</f>
        <v>23</v>
      </c>
      <c r="AB727" s="18" t="n">
        <f aca="false">IF(D727="","",IF(L727&lt;=$B$16,1,IF(L727&gt;=$B$17,$B$21,MATCH(L727,Aux_CAV!$A$2:$A$121,1))))</f>
        <v>22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0.57532696433533</v>
      </c>
      <c r="E728" s="16" t="n">
        <f aca="false">IF(D728="","",D728*$B$15)</f>
        <v>1.49124749155718</v>
      </c>
      <c r="F728" s="16" t="n">
        <f aca="false" t="array" ref="F728:F728">IF(D728="","",IFERROR(INDEX(Dados_Evap!$C$2:$N$15,MATCH($B$9,Dados_Evap!$A$2:$A$15,0),C728),0))</f>
        <v>245.9</v>
      </c>
      <c r="G728" s="16" t="n">
        <f aca="false">IF(F728="","",F728/1000)</f>
        <v>0.2459</v>
      </c>
      <c r="H728" s="16" t="n">
        <f aca="false">IF(D728="","",MAX(0,MIN($B$8,IFERROR(LOOKUP(2,1/($U$24:U727&lt;&gt;""),$U$24:U727),$B$11))))</f>
        <v>159.821473317263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15.6243885187815</v>
      </c>
      <c r="J728" s="16" t="n">
        <f aca="false">IF(D728="","",$B$12)</f>
        <v>0.432</v>
      </c>
      <c r="K728" s="16" t="n">
        <f aca="false">IF(J728="","",J728*$B$15)</f>
        <v>1.119744</v>
      </c>
      <c r="L728" s="16" t="n">
        <f aca="false">IF(D728="","",H728+E728-K728-G728*I728)</f>
        <v>156.350939672052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15.3717101896851</v>
      </c>
      <c r="N728" s="16" t="n">
        <f aca="false">IF(D728="","",(I728+M728)/2)</f>
        <v>15.4980493542333</v>
      </c>
      <c r="O728" s="16" t="n">
        <f aca="false">IF(D728="","",G728*N728)</f>
        <v>3.81097033620596</v>
      </c>
      <c r="P728" s="16" t="n">
        <f aca="false">IF(D728="","",H728+E728-K728-O728)</f>
        <v>156.382006472615</v>
      </c>
      <c r="Q728" s="16" t="n">
        <f aca="false">IF(D728="","",IF(P728&gt;=0,K728,MAX(0,K728+P728)))</f>
        <v>1.119744</v>
      </c>
      <c r="R728" s="16" t="n">
        <f aca="false">IF(D728="","",Q728/$B$15)</f>
        <v>0.432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156.382006472615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96.5321027608732</v>
      </c>
      <c r="Z728" s="18" t="n">
        <f aca="false">IF(D728="","",MAX(0,IF(P728&gt;=0,P728,IF(K728+P728&gt;=0,0,P728+K728))))</f>
        <v>156.382006472615</v>
      </c>
      <c r="AA728" s="18" t="n">
        <f aca="false">IF(D728="","",IF(H728&lt;=$B$16,1,IF(H728&gt;=$B$17,$B$21,MATCH(H728,Aux_CAV!$A$2:$A$121,1))))</f>
        <v>22</v>
      </c>
      <c r="AB728" s="18" t="n">
        <f aca="false">IF(D728="","",IF(L728&lt;=$B$16,1,IF(L728&gt;=$B$17,$B$21,MATCH(L728,Aux_CAV!$A$2:$A$121,1))))</f>
        <v>22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0.633688612813601</v>
      </c>
      <c r="E729" s="16" t="n">
        <f aca="false">IF(D729="","",D729*$B$15)</f>
        <v>1.64252088441285</v>
      </c>
      <c r="F729" s="16" t="n">
        <f aca="false" t="array" ref="F729:F729">IF(D729="","",IFERROR(INDEX(Dados_Evap!$C$2:$N$15,MATCH($B$9,Dados_Evap!$A$2:$A$15,0),C729),0))</f>
        <v>282.3</v>
      </c>
      <c r="G729" s="16" t="n">
        <f aca="false">IF(F729="","",F729/1000)</f>
        <v>0.2823</v>
      </c>
      <c r="H729" s="16" t="n">
        <f aca="false">IF(D729="","",MAX(0,MIN($B$8,IFERROR(LOOKUP(2,1/($U$24:U728&lt;&gt;""),$U$24:U728),$B$11))))</f>
        <v>156.382006472615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15.373972062947</v>
      </c>
      <c r="J729" s="16" t="n">
        <f aca="false">IF(D729="","",$B$12)</f>
        <v>0.432</v>
      </c>
      <c r="K729" s="16" t="n">
        <f aca="false">IF(J729="","",J729*$B$15)</f>
        <v>1.119744</v>
      </c>
      <c r="L729" s="16" t="n">
        <f aca="false">IF(D729="","",H729+E729-K729-G729*I729)</f>
        <v>152.564711043658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15.0960471299941</v>
      </c>
      <c r="N729" s="16" t="n">
        <f aca="false">IF(D729="","",(I729+M729)/2)</f>
        <v>15.2350095964705</v>
      </c>
      <c r="O729" s="16" t="n">
        <f aca="false">IF(D729="","",G729*N729)</f>
        <v>4.30084320908363</v>
      </c>
      <c r="P729" s="16" t="n">
        <f aca="false">IF(D729="","",H729+E729-K729-O729)</f>
        <v>152.603940147944</v>
      </c>
      <c r="Q729" s="16" t="n">
        <f aca="false">IF(D729="","",IF(P729&gt;=0,K729,MAX(0,K729+P729)))</f>
        <v>1.119744</v>
      </c>
      <c r="R729" s="16" t="n">
        <f aca="false">IF(D729="","",Q729/$B$15)</f>
        <v>0.432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152.603940147944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94.1999630542863</v>
      </c>
      <c r="Z729" s="18" t="n">
        <f aca="false">IF(D729="","",MAX(0,IF(P729&gt;=0,P729,IF(K729+P729&gt;=0,0,P729+K729))))</f>
        <v>152.603940147944</v>
      </c>
      <c r="AA729" s="18" t="n">
        <f aca="false">IF(D729="","",IF(H729&lt;=$B$16,1,IF(H729&gt;=$B$17,$B$21,MATCH(H729,Aux_CAV!$A$2:$A$121,1))))</f>
        <v>22</v>
      </c>
      <c r="AB729" s="18" t="n">
        <f aca="false">IF(D729="","",IF(L729&lt;=$B$16,1,IF(L729&gt;=$B$17,$B$21,MATCH(L729,Aux_CAV!$A$2:$A$121,1))))</f>
        <v>22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0.533019344910838</v>
      </c>
      <c r="E730" s="16" t="n">
        <f aca="false">IF(D730="","",D730*$B$15)</f>
        <v>1.38158614200889</v>
      </c>
      <c r="F730" s="16" t="n">
        <f aca="false" t="array" ref="F730:F730">IF(D730="","",IFERROR(INDEX(Dados_Evap!$C$2:$N$15,MATCH($B$9,Dados_Evap!$A$2:$A$15,0),C730),0))</f>
        <v>241.3</v>
      </c>
      <c r="G730" s="16" t="n">
        <f aca="false">IF(F730="","",F730/1000)</f>
        <v>0.2413</v>
      </c>
      <c r="H730" s="16" t="n">
        <f aca="false">IF(D730="","",MAX(0,MIN($B$8,IFERROR(LOOKUP(2,1/($U$24:U729&lt;&gt;""),$U$24:U729),$B$11))))</f>
        <v>152.603940147944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15.0989032741887</v>
      </c>
      <c r="J730" s="16" t="n">
        <f aca="false">IF(D730="","",$B$12)</f>
        <v>0.432</v>
      </c>
      <c r="K730" s="16" t="n">
        <f aca="false">IF(J730="","",J730*$B$15)</f>
        <v>1.119744</v>
      </c>
      <c r="L730" s="16" t="n">
        <f aca="false">IF(D730="","",H730+E730-K730-G730*I730)</f>
        <v>149.222416929891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14.8527055063851</v>
      </c>
      <c r="N730" s="16" t="n">
        <f aca="false">IF(D730="","",(I730+M730)/2)</f>
        <v>14.9758043902869</v>
      </c>
      <c r="O730" s="16" t="n">
        <f aca="false">IF(D730="","",G730*N730)</f>
        <v>3.61366159937623</v>
      </c>
      <c r="P730" s="16" t="n">
        <f aca="false">IF(D730="","",H730+E730-K730-O730)</f>
        <v>149.252120690576</v>
      </c>
      <c r="Q730" s="16" t="n">
        <f aca="false">IF(D730="","",IF(P730&gt;=0,K730,MAX(0,K730+P730)))</f>
        <v>1.119744</v>
      </c>
      <c r="R730" s="16" t="n">
        <f aca="false">IF(D730="","",Q730/$B$15)</f>
        <v>0.432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149.252120690576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92.1309386978867</v>
      </c>
      <c r="Z730" s="18" t="n">
        <f aca="false">IF(D730="","",MAX(0,IF(P730&gt;=0,P730,IF(K730+P730&gt;=0,0,P730+K730))))</f>
        <v>149.252120690576</v>
      </c>
      <c r="AA730" s="18" t="n">
        <f aca="false">IF(D730="","",IF(H730&lt;=$B$16,1,IF(H730&gt;=$B$17,$B$21,MATCH(H730,Aux_CAV!$A$2:$A$121,1))))</f>
        <v>22</v>
      </c>
      <c r="AB730" s="18" t="n">
        <f aca="false">IF(D730="","",IF(L730&lt;=$B$16,1,IF(L730&gt;=$B$17,$B$21,MATCH(L730,Aux_CAV!$A$2:$A$121,1))))</f>
        <v>22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0.724348190147128</v>
      </c>
      <c r="E731" s="16" t="n">
        <f aca="false">IF(D731="","",D731*$B$15)</f>
        <v>1.87751050886136</v>
      </c>
      <c r="F731" s="16" t="n">
        <f aca="false" t="array" ref="F731:F731">IF(D731="","",IFERROR(INDEX(Dados_Evap!$C$2:$N$15,MATCH($B$9,Dados_Evap!$A$2:$A$15,0),C731),0))</f>
        <v>241.8</v>
      </c>
      <c r="G731" s="16" t="n">
        <f aca="false">IF(F731="","",F731/1000)</f>
        <v>0.2418</v>
      </c>
      <c r="H731" s="16" t="n">
        <f aca="false">IF(D731="","",MAX(0,MIN($B$8,IFERROR(LOOKUP(2,1/($U$24:U730&lt;&gt;""),$U$24:U730),$B$11))))</f>
        <v>149.252120690576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14.8548681411224</v>
      </c>
      <c r="J731" s="16" t="n">
        <f aca="false">IF(D731="","",$B$12)</f>
        <v>0.432</v>
      </c>
      <c r="K731" s="16" t="n">
        <f aca="false">IF(J731="","",J731*$B$15)</f>
        <v>1.119744</v>
      </c>
      <c r="L731" s="16" t="n">
        <f aca="false">IF(D731="","",H731+E731-K731-G731*I731)</f>
        <v>146.417980082914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14.6485235306454</v>
      </c>
      <c r="N731" s="16" t="n">
        <f aca="false">IF(D731="","",(I731+M731)/2)</f>
        <v>14.7516958358839</v>
      </c>
      <c r="O731" s="16" t="n">
        <f aca="false">IF(D731="","",G731*N731)</f>
        <v>3.56696005311673</v>
      </c>
      <c r="P731" s="16" t="n">
        <f aca="false">IF(D731="","",H731+E731-K731-O731)</f>
        <v>146.442927146321</v>
      </c>
      <c r="Q731" s="16" t="n">
        <f aca="false">IF(D731="","",IF(P731&gt;=0,K731,MAX(0,K731+P731)))</f>
        <v>1.119744</v>
      </c>
      <c r="R731" s="16" t="n">
        <f aca="false">IF(D731="","",Q731/$B$15)</f>
        <v>0.432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146.442927146321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90.3968686088402</v>
      </c>
      <c r="Z731" s="18" t="n">
        <f aca="false">IF(D731="","",MAX(0,IF(P731&gt;=0,P731,IF(K731+P731&gt;=0,0,P731+K731))))</f>
        <v>146.442927146321</v>
      </c>
      <c r="AA731" s="18" t="n">
        <f aca="false">IF(D731="","",IF(H731&lt;=$B$16,1,IF(H731&gt;=$B$17,$B$21,MATCH(H731,Aux_CAV!$A$2:$A$121,1))))</f>
        <v>22</v>
      </c>
      <c r="AB731" s="18" t="n">
        <f aca="false">IF(D731="","",IF(L731&lt;=$B$16,1,IF(L731&gt;=$B$17,$B$21,MATCH(L731,Aux_CAV!$A$2:$A$121,1))))</f>
        <v>22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0.767554229599917</v>
      </c>
      <c r="E732" s="16" t="n">
        <f aca="false">IF(D732="","",D732*$B$15)</f>
        <v>1.98950056312299</v>
      </c>
      <c r="F732" s="16" t="n">
        <f aca="false" t="array" ref="F732:F732">IF(D732="","",IFERROR(INDEX(Dados_Evap!$C$2:$N$15,MATCH($B$9,Dados_Evap!$A$2:$A$15,0),C732),0))</f>
        <v>189</v>
      </c>
      <c r="G732" s="16" t="n">
        <f aca="false">IF(F732="","",F732/1000)</f>
        <v>0.189</v>
      </c>
      <c r="H732" s="16" t="n">
        <f aca="false">IF(D732="","",MAX(0,MIN($B$8,IFERROR(LOOKUP(2,1/($U$24:U731&lt;&gt;""),$U$24:U731),$B$11))))</f>
        <v>146.442927146321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14.6503398456396</v>
      </c>
      <c r="J732" s="16" t="n">
        <f aca="false">IF(D732="","",$B$12)</f>
        <v>0.432</v>
      </c>
      <c r="K732" s="16" t="n">
        <f aca="false">IF(J732="","",J732*$B$15)</f>
        <v>1.119744</v>
      </c>
      <c r="L732" s="16" t="n">
        <f aca="false">IF(D732="","",H732+E732-K732-G732*I732)</f>
        <v>144.543769478618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14.5120683187728</v>
      </c>
      <c r="N732" s="16" t="n">
        <f aca="false">IF(D732="","",(I732+M732)/2)</f>
        <v>14.5812040822062</v>
      </c>
      <c r="O732" s="16" t="n">
        <f aca="false">IF(D732="","",G732*N732)</f>
        <v>2.75584757153697</v>
      </c>
      <c r="P732" s="16" t="n">
        <f aca="false">IF(D732="","",H732+E732-K732-O732)</f>
        <v>144.556836137907</v>
      </c>
      <c r="Q732" s="16" t="n">
        <f aca="false">IF(D732="","",IF(P732&gt;=0,K732,MAX(0,K732+P732)))</f>
        <v>1.119744</v>
      </c>
      <c r="R732" s="16" t="n">
        <f aca="false">IF(D732="","",Q732/$B$15)</f>
        <v>0.432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144.556836137907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89.2326148999427</v>
      </c>
      <c r="Z732" s="18" t="n">
        <f aca="false">IF(D732="","",MAX(0,IF(P732&gt;=0,P732,IF(K732+P732&gt;=0,0,P732+K732))))</f>
        <v>144.556836137907</v>
      </c>
      <c r="AA732" s="18" t="n">
        <f aca="false">IF(D732="","",IF(H732&lt;=$B$16,1,IF(H732&gt;=$B$17,$B$21,MATCH(H732,Aux_CAV!$A$2:$A$121,1))))</f>
        <v>22</v>
      </c>
      <c r="AB732" s="18" t="n">
        <f aca="false">IF(D732="","",IF(L732&lt;=$B$16,1,IF(L732&gt;=$B$17,$B$21,MATCH(L732,Aux_CAV!$A$2:$A$121,1))))</f>
        <v>22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0.996557832485785</v>
      </c>
      <c r="E733" s="16" t="n">
        <f aca="false">IF(D733="","",D733*$B$15)</f>
        <v>2.58307790180315</v>
      </c>
      <c r="F733" s="16" t="n">
        <f aca="false" t="array" ref="F733:F733">IF(D733="","",IFERROR(INDEX(Dados_Evap!$C$2:$N$15,MATCH($B$9,Dados_Evap!$A$2:$A$15,0),C733),0))</f>
        <v>136.9</v>
      </c>
      <c r="G733" s="16" t="n">
        <f aca="false">IF(F733="","",F733/1000)</f>
        <v>0.1369</v>
      </c>
      <c r="H733" s="16" t="n">
        <f aca="false">IF(D733="","",MAX(0,MIN($B$8,IFERROR(LOOKUP(2,1/($U$24:U732&lt;&gt;""),$U$24:U732),$B$11))))</f>
        <v>144.556836137907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14.5130196599709</v>
      </c>
      <c r="J733" s="16" t="n">
        <f aca="false">IF(D733="","",$B$12)</f>
        <v>0.432</v>
      </c>
      <c r="K733" s="16" t="n">
        <f aca="false">IF(J733="","",J733*$B$15)</f>
        <v>1.119744</v>
      </c>
      <c r="L733" s="16" t="n">
        <f aca="false">IF(D733="","",H733+E733-K733-G733*I733)</f>
        <v>144.03333764826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14.4749054282213</v>
      </c>
      <c r="N733" s="16" t="n">
        <f aca="false">IF(D733="","",(I733+M733)/2)</f>
        <v>14.4939625440961</v>
      </c>
      <c r="O733" s="16" t="n">
        <f aca="false">IF(D733="","",G733*N733)</f>
        <v>1.98422347228676</v>
      </c>
      <c r="P733" s="16" t="n">
        <f aca="false">IF(D733="","",H733+E733-K733-O733)</f>
        <v>144.035946567424</v>
      </c>
      <c r="Q733" s="16" t="n">
        <f aca="false">IF(D733="","",IF(P733&gt;=0,K733,MAX(0,K733+P733)))</f>
        <v>1.119744</v>
      </c>
      <c r="R733" s="16" t="n">
        <f aca="false">IF(D733="","",Q733/$B$15)</f>
        <v>0.432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144.035946567424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88.9110781280392</v>
      </c>
      <c r="Z733" s="18" t="n">
        <f aca="false">IF(D733="","",MAX(0,IF(P733&gt;=0,P733,IF(K733+P733&gt;=0,0,P733+K733))))</f>
        <v>144.035946567424</v>
      </c>
      <c r="AA733" s="18" t="n">
        <f aca="false">IF(D733="","",IF(H733&lt;=$B$16,1,IF(H733&gt;=$B$17,$B$21,MATCH(H733,Aux_CAV!$A$2:$A$121,1))))</f>
        <v>22</v>
      </c>
      <c r="AB733" s="18" t="n">
        <f aca="false">IF(D733="","",IF(L733&lt;=$B$16,1,IF(L733&gt;=$B$17,$B$21,MATCH(L733,Aux_CAV!$A$2:$A$121,1))))</f>
        <v>22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2.56053054477659</v>
      </c>
      <c r="E734" s="16" t="n">
        <f aca="false">IF(D734="","",D734*$B$15)</f>
        <v>6.63689517206092</v>
      </c>
      <c r="F734" s="16" t="n">
        <f aca="false" t="array" ref="F734:F734">IF(D734="","",IFERROR(INDEX(Dados_Evap!$C$2:$N$15,MATCH($B$9,Dados_Evap!$A$2:$A$15,0),C734),0))</f>
        <v>102.9</v>
      </c>
      <c r="G734" s="16" t="n">
        <f aca="false">IF(F734="","",F734/1000)</f>
        <v>0.1029</v>
      </c>
      <c r="H734" s="16" t="n">
        <f aca="false">IF(D734="","",MAX(0,MIN($B$8,IFERROR(LOOKUP(2,1/($U$24:U733&lt;&gt;""),$U$24:U733),$B$11))))</f>
        <v>144.035946567424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14.4750953751869</v>
      </c>
      <c r="J734" s="16" t="n">
        <f aca="false">IF(D734="","",$B$12)</f>
        <v>0.432</v>
      </c>
      <c r="K734" s="16" t="n">
        <f aca="false">IF(J734="","",J734*$B$15)</f>
        <v>1.119744</v>
      </c>
      <c r="L734" s="16" t="n">
        <f aca="false">IF(D734="","",H734+E734-K734-G734*I734)</f>
        <v>148.063610425378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14.7683365530081</v>
      </c>
      <c r="N734" s="16" t="n">
        <f aca="false">IF(D734="","",(I734+M734)/2)</f>
        <v>14.6217159640975</v>
      </c>
      <c r="O734" s="16" t="n">
        <f aca="false">IF(D734="","",G734*N734)</f>
        <v>1.50457457270563</v>
      </c>
      <c r="P734" s="16" t="n">
        <f aca="false">IF(D734="","",H734+E734-K734-O734)</f>
        <v>148.048523166779</v>
      </c>
      <c r="Q734" s="16" t="n">
        <f aca="false">IF(D734="","",IF(P734&gt;=0,K734,MAX(0,K734+P734)))</f>
        <v>1.119744</v>
      </c>
      <c r="R734" s="16" t="n">
        <f aca="false">IF(D734="","",Q734/$B$15)</f>
        <v>0.432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148.048523166779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91.3879772634437</v>
      </c>
      <c r="Z734" s="18" t="n">
        <f aca="false">IF(D734="","",MAX(0,IF(P734&gt;=0,P734,IF(K734+P734&gt;=0,0,P734+K734))))</f>
        <v>148.048523166779</v>
      </c>
      <c r="AA734" s="18" t="n">
        <f aca="false">IF(D734="","",IF(H734&lt;=$B$16,1,IF(H734&gt;=$B$17,$B$21,MATCH(H734,Aux_CAV!$A$2:$A$121,1))))</f>
        <v>22</v>
      </c>
      <c r="AB734" s="18" t="n">
        <f aca="false">IF(D734="","",IF(L734&lt;=$B$16,1,IF(L734&gt;=$B$17,$B$21,MATCH(L734,Aux_CAV!$A$2:$A$121,1))))</f>
        <v>22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8.26765104122498</v>
      </c>
      <c r="E735" s="16" t="n">
        <f aca="false">IF(D735="","",D735*$B$15)</f>
        <v>21.4297514988551</v>
      </c>
      <c r="F735" s="16" t="n">
        <f aca="false" t="array" ref="F735:F735">IF(D735="","",IFERROR(INDEX(Dados_Evap!$C$2:$N$15,MATCH($B$9,Dados_Evap!$A$2:$A$15,0),C735),0))</f>
        <v>81.8</v>
      </c>
      <c r="G735" s="16" t="n">
        <f aca="false">IF(F735="","",F735/1000)</f>
        <v>0.0818</v>
      </c>
      <c r="H735" s="16" t="n">
        <f aca="false">IF(D735="","",MAX(0,MIN($B$8,IFERROR(LOOKUP(2,1/($U$24:U734&lt;&gt;""),$U$24:U734),$B$11))))</f>
        <v>148.048523166779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14.7672380985099</v>
      </c>
      <c r="J735" s="16" t="n">
        <f aca="false">IF(D735="","",$B$12)</f>
        <v>0.432</v>
      </c>
      <c r="K735" s="16" t="n">
        <f aca="false">IF(J735="","",J735*$B$15)</f>
        <v>1.119744</v>
      </c>
      <c r="L735" s="16" t="n">
        <f aca="false">IF(D735="","",H735+E735-K735-G735*I735)</f>
        <v>167.150570589176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16.0910531742859</v>
      </c>
      <c r="N735" s="16" t="n">
        <f aca="false">IF(D735="","",(I735+M735)/2)</f>
        <v>15.4291456363979</v>
      </c>
      <c r="O735" s="16" t="n">
        <f aca="false">IF(D735="","",G735*N735)</f>
        <v>1.26210411305735</v>
      </c>
      <c r="P735" s="16" t="n">
        <f aca="false">IF(D735="","",H735+E735-K735-O735)</f>
        <v>167.096426552577</v>
      </c>
      <c r="Q735" s="16" t="n">
        <f aca="false">IF(D735="","",IF(P735&gt;=0,K735,MAX(0,K735+P735)))</f>
        <v>1.119744</v>
      </c>
      <c r="R735" s="16" t="n">
        <f aca="false">IF(D735="","",Q735/$B$15)</f>
        <v>0.432</v>
      </c>
      <c r="S735" s="16" t="n">
        <f aca="false">IF(D735="","",MAX(0,J735-R735))</f>
        <v>0</v>
      </c>
      <c r="T735" s="16" t="n">
        <f aca="false">IF(D735="","",MAX(0,Z735-$B$8))</f>
        <v>5.09642655257662</v>
      </c>
      <c r="U735" s="16" t="n">
        <f aca="false">IF(D735="","",MAX(0,MIN($B$8,Z735)))</f>
        <v>162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100</v>
      </c>
      <c r="Z735" s="18" t="n">
        <f aca="false">IF(D735="","",MAX(0,IF(P735&gt;=0,P735,IF(K735+P735&gt;=0,0,P735+K735))))</f>
        <v>167.096426552577</v>
      </c>
      <c r="AA735" s="18" t="n">
        <f aca="false">IF(D735="","",IF(H735&lt;=$B$16,1,IF(H735&gt;=$B$17,$B$21,MATCH(H735,Aux_CAV!$A$2:$A$121,1))))</f>
        <v>22</v>
      </c>
      <c r="AB735" s="18" t="n">
        <f aca="false">IF(D735="","",IF(L735&lt;=$B$16,1,IF(L735&gt;=$B$17,$B$21,MATCH(L735,Aux_CAV!$A$2:$A$121,1))))</f>
        <v>23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7.04916556680155</v>
      </c>
      <c r="E736" s="16" t="n">
        <f aca="false">IF(D736="","",D736*$B$15)</f>
        <v>18.2714371491496</v>
      </c>
      <c r="F736" s="16" t="n">
        <f aca="false" t="array" ref="F736:F736">IF(D736="","",IFERROR(INDEX(Dados_Evap!$C$2:$N$15,MATCH($B$9,Dados_Evap!$A$2:$A$15,0),C736),0))</f>
        <v>83.6</v>
      </c>
      <c r="G736" s="16" t="n">
        <f aca="false">IF(F736="","",F736/1000)</f>
        <v>0.0836</v>
      </c>
      <c r="H736" s="16" t="n">
        <f aca="false">IF(D736="","",MAX(0,MIN($B$8,IFERROR(LOOKUP(2,1/($U$24:U735&lt;&gt;""),$U$24:U735),$B$11))))</f>
        <v>162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15.783</v>
      </c>
      <c r="J736" s="16" t="n">
        <f aca="false">IF(D736="","",$B$12)</f>
        <v>0.432</v>
      </c>
      <c r="K736" s="16" t="n">
        <f aca="false">IF(J736="","",J736*$B$15)</f>
        <v>1.119744</v>
      </c>
      <c r="L736" s="16" t="n">
        <f aca="false">IF(D736="","",H736+E736-K736-G736*I736)</f>
        <v>177.83223434915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16.7299183972634</v>
      </c>
      <c r="N736" s="16" t="n">
        <f aca="false">IF(D736="","",(I736+M736)/2)</f>
        <v>16.2564591986317</v>
      </c>
      <c r="O736" s="16" t="n">
        <f aca="false">IF(D736="","",G736*N736)</f>
        <v>1.35903998900561</v>
      </c>
      <c r="P736" s="16" t="n">
        <f aca="false">IF(D736="","",H736+E736-K736-O736)</f>
        <v>177.792653160144</v>
      </c>
      <c r="Q736" s="16" t="n">
        <f aca="false">IF(D736="","",IF(P736&gt;=0,K736,MAX(0,K736+P736)))</f>
        <v>1.119744</v>
      </c>
      <c r="R736" s="16" t="n">
        <f aca="false">IF(D736="","",Q736/$B$15)</f>
        <v>0.432</v>
      </c>
      <c r="S736" s="16" t="n">
        <f aca="false">IF(D736="","",MAX(0,J736-R736))</f>
        <v>0</v>
      </c>
      <c r="T736" s="16" t="n">
        <f aca="false">IF(D736="","",MAX(0,Z736-$B$8))</f>
        <v>15.792653160144</v>
      </c>
      <c r="U736" s="16" t="n">
        <f aca="false">IF(D736="","",MAX(0,MIN($B$8,Z736)))</f>
        <v>162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177.792653160144</v>
      </c>
      <c r="AA736" s="18" t="n">
        <f aca="false">IF(D736="","",IF(H736&lt;=$B$16,1,IF(H736&gt;=$B$17,$B$21,MATCH(H736,Aux_CAV!$A$2:$A$121,1))))</f>
        <v>23</v>
      </c>
      <c r="AB736" s="18" t="n">
        <f aca="false">IF(D736="","",IF(L736&lt;=$B$16,1,IF(L736&gt;=$B$17,$B$21,MATCH(L736,Aux_CAV!$A$2:$A$121,1))))</f>
        <v>23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7.80496084962555</v>
      </c>
      <c r="E737" s="16" t="n">
        <f aca="false">IF(D737="","",D737*$B$15)</f>
        <v>20.2304585222294</v>
      </c>
      <c r="F737" s="16" t="n">
        <f aca="false" t="array" ref="F737:F737">IF(D737="","",IFERROR(INDEX(Dados_Evap!$C$2:$N$15,MATCH($B$9,Dados_Evap!$A$2:$A$15,0),C737),0))</f>
        <v>108.2</v>
      </c>
      <c r="G737" s="16" t="n">
        <f aca="false">IF(F737="","",F737/1000)</f>
        <v>0.1082</v>
      </c>
      <c r="H737" s="16" t="n">
        <f aca="false">IF(D737="","",MAX(0,MIN($B$8,IFERROR(LOOKUP(2,1/($U$24:U736&lt;&gt;""),$U$24:U736),$B$11))))</f>
        <v>162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15.783</v>
      </c>
      <c r="J737" s="16" t="n">
        <f aca="false">IF(D737="","",$B$12)</f>
        <v>0.432</v>
      </c>
      <c r="K737" s="16" t="n">
        <f aca="false">IF(J737="","",J737*$B$15)</f>
        <v>1.119744</v>
      </c>
      <c r="L737" s="16" t="n">
        <f aca="false">IF(D737="","",H737+E737-K737-G737*I737)</f>
        <v>179.402993922229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16.8238647793486</v>
      </c>
      <c r="N737" s="16" t="n">
        <f aca="false">IF(D737="","",(I737+M737)/2)</f>
        <v>16.3034323896743</v>
      </c>
      <c r="O737" s="16" t="n">
        <f aca="false">IF(D737="","",G737*N737)</f>
        <v>1.76403138456276</v>
      </c>
      <c r="P737" s="16" t="n">
        <f aca="false">IF(D737="","",H737+E737-K737-O737)</f>
        <v>179.346683137667</v>
      </c>
      <c r="Q737" s="16" t="n">
        <f aca="false">IF(D737="","",IF(P737&gt;=0,K737,MAX(0,K737+P737)))</f>
        <v>1.119744</v>
      </c>
      <c r="R737" s="16" t="n">
        <f aca="false">IF(D737="","",Q737/$B$15)</f>
        <v>0.432</v>
      </c>
      <c r="S737" s="16" t="n">
        <f aca="false">IF(D737="","",MAX(0,J737-R737))</f>
        <v>0</v>
      </c>
      <c r="T737" s="16" t="n">
        <f aca="false">IF(D737="","",MAX(0,Z737-$B$8))</f>
        <v>17.3466831376666</v>
      </c>
      <c r="U737" s="16" t="n">
        <f aca="false">IF(D737="","",MAX(0,MIN($B$8,Z737)))</f>
        <v>162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179.346683137667</v>
      </c>
      <c r="AA737" s="18" t="n">
        <f aca="false">IF(D737="","",IF(H737&lt;=$B$16,1,IF(H737&gt;=$B$17,$B$21,MATCH(H737,Aux_CAV!$A$2:$A$121,1))))</f>
        <v>23</v>
      </c>
      <c r="AB737" s="18" t="n">
        <f aca="false">IF(D737="","",IF(L737&lt;=$B$16,1,IF(L737&gt;=$B$17,$B$21,MATCH(L737,Aux_CAV!$A$2:$A$121,1))))</f>
        <v>23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10.276774798814</v>
      </c>
      <c r="E738" s="16" t="n">
        <f aca="false">IF(D738="","",D738*$B$15)</f>
        <v>26.6374002785259</v>
      </c>
      <c r="F738" s="16" t="n">
        <f aca="false" t="array" ref="F738:F738">IF(D738="","",IFERROR(INDEX(Dados_Evap!$C$2:$N$15,MATCH($B$9,Dados_Evap!$A$2:$A$15,0),C738),0))</f>
        <v>149</v>
      </c>
      <c r="G738" s="16" t="n">
        <f aca="false">IF(F738="","",F738/1000)</f>
        <v>0.149</v>
      </c>
      <c r="H738" s="16" t="n">
        <f aca="false">IF(D738="","",MAX(0,MIN($B$8,IFERROR(LOOKUP(2,1/($U$24:U737&lt;&gt;""),$U$24:U737),$B$11))))</f>
        <v>162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15.783</v>
      </c>
      <c r="J738" s="16" t="n">
        <f aca="false">IF(D738="","",$B$12)</f>
        <v>0.432</v>
      </c>
      <c r="K738" s="16" t="n">
        <f aca="false">IF(J738="","",J738*$B$15)</f>
        <v>1.119744</v>
      </c>
      <c r="L738" s="16" t="n">
        <f aca="false">IF(D738="","",H738+E738-K738-G738*I738)</f>
        <v>185.165989278526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17.1685467873252</v>
      </c>
      <c r="N738" s="16" t="n">
        <f aca="false">IF(D738="","",(I738+M738)/2)</f>
        <v>16.4757733936626</v>
      </c>
      <c r="O738" s="16" t="n">
        <f aca="false">IF(D738="","",G738*N738)</f>
        <v>2.45489023565572</v>
      </c>
      <c r="P738" s="16" t="n">
        <f aca="false">IF(D738="","",H738+E738-K738-O738)</f>
        <v>185.06276604287</v>
      </c>
      <c r="Q738" s="16" t="n">
        <f aca="false">IF(D738="","",IF(P738&gt;=0,K738,MAX(0,K738+P738)))</f>
        <v>1.119744</v>
      </c>
      <c r="R738" s="16" t="n">
        <f aca="false">IF(D738="","",Q738/$B$15)</f>
        <v>0.432</v>
      </c>
      <c r="S738" s="16" t="n">
        <f aca="false">IF(D738="","",MAX(0,J738-R738))</f>
        <v>0</v>
      </c>
      <c r="T738" s="16" t="n">
        <f aca="false">IF(D738="","",MAX(0,Z738-$B$8))</f>
        <v>23.0627660428702</v>
      </c>
      <c r="U738" s="16" t="n">
        <f aca="false">IF(D738="","",MAX(0,MIN($B$8,Z738)))</f>
        <v>162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185.06276604287</v>
      </c>
      <c r="AA738" s="18" t="n">
        <f aca="false">IF(D738="","",IF(H738&lt;=$B$16,1,IF(H738&gt;=$B$17,$B$21,MATCH(H738,Aux_CAV!$A$2:$A$121,1))))</f>
        <v>23</v>
      </c>
      <c r="AB738" s="18" t="n">
        <f aca="false">IF(D738="","",IF(L738&lt;=$B$16,1,IF(L738&gt;=$B$17,$B$21,MATCH(L738,Aux_CAV!$A$2:$A$121,1))))</f>
        <v>23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3.9001713982585</v>
      </c>
      <c r="E739" s="16" t="n">
        <f aca="false">IF(D739="","",D739*$B$15)</f>
        <v>10.109244264286</v>
      </c>
      <c r="F739" s="16" t="n">
        <f aca="false" t="array" ref="F739:F739">IF(D739="","",IFERROR(INDEX(Dados_Evap!$C$2:$N$15,MATCH($B$9,Dados_Evap!$A$2:$A$15,0),C739),0))</f>
        <v>206.8</v>
      </c>
      <c r="G739" s="16" t="n">
        <f aca="false">IF(F739="","",F739/1000)</f>
        <v>0.2068</v>
      </c>
      <c r="H739" s="16" t="n">
        <f aca="false">IF(D739="","",MAX(0,MIN($B$8,IFERROR(LOOKUP(2,1/($U$24:U738&lt;&gt;""),$U$24:U738),$B$11))))</f>
        <v>162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15.783</v>
      </c>
      <c r="J739" s="16" t="n">
        <f aca="false">IF(D739="","",$B$12)</f>
        <v>0.432</v>
      </c>
      <c r="K739" s="16" t="n">
        <f aca="false">IF(J739="","",J739*$B$15)</f>
        <v>1.119744</v>
      </c>
      <c r="L739" s="16" t="n">
        <f aca="false">IF(D739="","",H739+E739-K739-G739*I739)</f>
        <v>167.725575864286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16.1254439659783</v>
      </c>
      <c r="N739" s="16" t="n">
        <f aca="false">IF(D739="","",(I739+M739)/2)</f>
        <v>15.9542219829891</v>
      </c>
      <c r="O739" s="16" t="n">
        <f aca="false">IF(D739="","",G739*N739)</f>
        <v>3.29933310608215</v>
      </c>
      <c r="P739" s="16" t="n">
        <f aca="false">IF(D739="","",H739+E739-K739-O739)</f>
        <v>167.690167158204</v>
      </c>
      <c r="Q739" s="16" t="n">
        <f aca="false">IF(D739="","",IF(P739&gt;=0,K739,MAX(0,K739+P739)))</f>
        <v>1.119744</v>
      </c>
      <c r="R739" s="16" t="n">
        <f aca="false">IF(D739="","",Q739/$B$15)</f>
        <v>0.432</v>
      </c>
      <c r="S739" s="16" t="n">
        <f aca="false">IF(D739="","",MAX(0,J739-R739))</f>
        <v>0</v>
      </c>
      <c r="T739" s="16" t="n">
        <f aca="false">IF(D739="","",MAX(0,Z739-$B$8))</f>
        <v>5.69016715820388</v>
      </c>
      <c r="U739" s="16" t="n">
        <f aca="false">IF(D739="","",MAX(0,MIN($B$8,Z739)))</f>
        <v>162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100</v>
      </c>
      <c r="Z739" s="18" t="n">
        <f aca="false">IF(D739="","",MAX(0,IF(P739&gt;=0,P739,IF(K739+P739&gt;=0,0,P739+K739))))</f>
        <v>167.690167158204</v>
      </c>
      <c r="AA739" s="18" t="n">
        <f aca="false">IF(D739="","",IF(H739&lt;=$B$16,1,IF(H739&gt;=$B$17,$B$21,MATCH(H739,Aux_CAV!$A$2:$A$121,1))))</f>
        <v>23</v>
      </c>
      <c r="AB739" s="18" t="n">
        <f aca="false">IF(D739="","",IF(L739&lt;=$B$16,1,IF(L739&gt;=$B$17,$B$21,MATCH(L739,Aux_CAV!$A$2:$A$121,1))))</f>
        <v>23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1.38012185958562</v>
      </c>
      <c r="E740" s="16" t="n">
        <f aca="false">IF(D740="","",D740*$B$15)</f>
        <v>3.57727586004593</v>
      </c>
      <c r="F740" s="16" t="n">
        <f aca="false" t="array" ref="F740:F740">IF(D740="","",IFERROR(INDEX(Dados_Evap!$C$2:$N$15,MATCH($B$9,Dados_Evap!$A$2:$A$15,0),C740),0))</f>
        <v>245.9</v>
      </c>
      <c r="G740" s="16" t="n">
        <f aca="false">IF(F740="","",F740/1000)</f>
        <v>0.2459</v>
      </c>
      <c r="H740" s="16" t="n">
        <f aca="false">IF(D740="","",MAX(0,MIN($B$8,IFERROR(LOOKUP(2,1/($U$24:U739&lt;&gt;""),$U$24:U739),$B$11))))</f>
        <v>162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15.783</v>
      </c>
      <c r="J740" s="16" t="n">
        <f aca="false">IF(D740="","",$B$12)</f>
        <v>0.432</v>
      </c>
      <c r="K740" s="16" t="n">
        <f aca="false">IF(J740="","",J740*$B$15)</f>
        <v>1.119744</v>
      </c>
      <c r="L740" s="16" t="n">
        <f aca="false">IF(D740="","",H740+E740-K740-G740*I740)</f>
        <v>160.576492160046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15.6793589985789</v>
      </c>
      <c r="N740" s="16" t="n">
        <f aca="false">IF(D740="","",(I740+M740)/2)</f>
        <v>15.7311794992895</v>
      </c>
      <c r="O740" s="16" t="n">
        <f aca="false">IF(D740="","",G740*N740)</f>
        <v>3.86829703887528</v>
      </c>
      <c r="P740" s="16" t="n">
        <f aca="false">IF(D740="","",H740+E740-K740-O740)</f>
        <v>160.589234821171</v>
      </c>
      <c r="Q740" s="16" t="n">
        <f aca="false">IF(D740="","",IF(P740&gt;=0,K740,MAX(0,K740+P740)))</f>
        <v>1.119744</v>
      </c>
      <c r="R740" s="16" t="n">
        <f aca="false">IF(D740="","",Q740/$B$15)</f>
        <v>0.432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160.589234821171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99.1291572970189</v>
      </c>
      <c r="Z740" s="18" t="n">
        <f aca="false">IF(D740="","",MAX(0,IF(P740&gt;=0,P740,IF(K740+P740&gt;=0,0,P740+K740))))</f>
        <v>160.589234821171</v>
      </c>
      <c r="AA740" s="18" t="n">
        <f aca="false">IF(D740="","",IF(H740&lt;=$B$16,1,IF(H740&gt;=$B$17,$B$21,MATCH(H740,Aux_CAV!$A$2:$A$121,1))))</f>
        <v>23</v>
      </c>
      <c r="AB740" s="18" t="n">
        <f aca="false">IF(D740="","",IF(L740&lt;=$B$16,1,IF(L740&gt;=$B$17,$B$21,MATCH(L740,Aux_CAV!$A$2:$A$121,1))))</f>
        <v>22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1.22781953203554</v>
      </c>
      <c r="E741" s="16" t="n">
        <f aca="false">IF(D741="","",D741*$B$15)</f>
        <v>3.18250822703612</v>
      </c>
      <c r="F741" s="16" t="n">
        <f aca="false" t="array" ref="F741:F741">IF(D741="","",IFERROR(INDEX(Dados_Evap!$C$2:$N$15,MATCH($B$9,Dados_Evap!$A$2:$A$15,0),C741),0))</f>
        <v>282.3</v>
      </c>
      <c r="G741" s="16" t="n">
        <f aca="false">IF(F741="","",F741/1000)</f>
        <v>0.2823</v>
      </c>
      <c r="H741" s="16" t="n">
        <f aca="false">IF(D741="","",MAX(0,MIN($B$8,IFERROR(LOOKUP(2,1/($U$24:U740&lt;&gt;""),$U$24:U740),$B$11))))</f>
        <v>160.589234821171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15.6802867505187</v>
      </c>
      <c r="J741" s="16" t="n">
        <f aca="false">IF(D741="","",$B$12)</f>
        <v>0.432</v>
      </c>
      <c r="K741" s="16" t="n">
        <f aca="false">IF(J741="","",J741*$B$15)</f>
        <v>1.119744</v>
      </c>
      <c r="L741" s="16" t="n">
        <f aca="false">IF(D741="","",H741+E741-K741-G741*I741)</f>
        <v>158.225454098535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15.5081875218684</v>
      </c>
      <c r="N741" s="16" t="n">
        <f aca="false">IF(D741="","",(I741+M741)/2)</f>
        <v>15.5942371361935</v>
      </c>
      <c r="O741" s="16" t="n">
        <f aca="false">IF(D741="","",G741*N741)</f>
        <v>4.40225314354743</v>
      </c>
      <c r="P741" s="16" t="n">
        <f aca="false">IF(D741="","",H741+E741-K741-O741)</f>
        <v>158.249745904659</v>
      </c>
      <c r="Q741" s="16" t="n">
        <f aca="false">IF(D741="","",IF(P741&gt;=0,K741,MAX(0,K741+P741)))</f>
        <v>1.119744</v>
      </c>
      <c r="R741" s="16" t="n">
        <f aca="false">IF(D741="","",Q741/$B$15)</f>
        <v>0.432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158.249745904659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97.6850283362095</v>
      </c>
      <c r="Z741" s="18" t="n">
        <f aca="false">IF(D741="","",MAX(0,IF(P741&gt;=0,P741,IF(K741+P741&gt;=0,0,P741+K741))))</f>
        <v>158.249745904659</v>
      </c>
      <c r="AA741" s="18" t="n">
        <f aca="false">IF(D741="","",IF(H741&lt;=$B$16,1,IF(H741&gt;=$B$17,$B$21,MATCH(H741,Aux_CAV!$A$2:$A$121,1))))</f>
        <v>22</v>
      </c>
      <c r="AB741" s="18" t="n">
        <f aca="false">IF(D741="","",IF(L741&lt;=$B$16,1,IF(L741&gt;=$B$17,$B$21,MATCH(L741,Aux_CAV!$A$2:$A$121,1))))</f>
        <v>22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0.617985858960748</v>
      </c>
      <c r="E742" s="16" t="n">
        <f aca="false">IF(D742="","",D742*$B$15)</f>
        <v>1.60181934642626</v>
      </c>
      <c r="F742" s="16" t="n">
        <f aca="false" t="array" ref="F742:F742">IF(D742="","",IFERROR(INDEX(Dados_Evap!$C$2:$N$15,MATCH($B$9,Dados_Evap!$A$2:$A$15,0),C742),0))</f>
        <v>241.3</v>
      </c>
      <c r="G742" s="16" t="n">
        <f aca="false">IF(F742="","",F742/1000)</f>
        <v>0.2413</v>
      </c>
      <c r="H742" s="16" t="n">
        <f aca="false">IF(D742="","",MAX(0,MIN($B$8,IFERROR(LOOKUP(2,1/($U$24:U741&lt;&gt;""),$U$24:U741),$B$11))))</f>
        <v>158.249745904659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15.5099561296992</v>
      </c>
      <c r="J742" s="16" t="n">
        <f aca="false">IF(D742="","",$B$12)</f>
        <v>0.432</v>
      </c>
      <c r="K742" s="16" t="n">
        <f aca="false">IF(J742="","",J742*$B$15)</f>
        <v>1.119744</v>
      </c>
      <c r="L742" s="16" t="n">
        <f aca="false">IF(D742="","",H742+E742-K742-G742*I742)</f>
        <v>154.989268836989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15.2725713405753</v>
      </c>
      <c r="N742" s="16" t="n">
        <f aca="false">IF(D742="","",(I742+M742)/2)</f>
        <v>15.3912637351373</v>
      </c>
      <c r="O742" s="16" t="n">
        <f aca="false">IF(D742="","",G742*N742)</f>
        <v>3.71391193928863</v>
      </c>
      <c r="P742" s="16" t="n">
        <f aca="false">IF(D742="","",H742+E742-K742-O742)</f>
        <v>155.017909311797</v>
      </c>
      <c r="Q742" s="16" t="n">
        <f aca="false">IF(D742="","",IF(P742&gt;=0,K742,MAX(0,K742+P742)))</f>
        <v>1.119744</v>
      </c>
      <c r="R742" s="16" t="n">
        <f aca="false">IF(D742="","",Q742/$B$15)</f>
        <v>0.432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155.017909311797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95.6900674764179</v>
      </c>
      <c r="Z742" s="18" t="n">
        <f aca="false">IF(D742="","",MAX(0,IF(P742&gt;=0,P742,IF(K742+P742&gt;=0,0,P742+K742))))</f>
        <v>155.017909311797</v>
      </c>
      <c r="AA742" s="18" t="n">
        <f aca="false">IF(D742="","",IF(H742&lt;=$B$16,1,IF(H742&gt;=$B$17,$B$21,MATCH(H742,Aux_CAV!$A$2:$A$121,1))))</f>
        <v>22</v>
      </c>
      <c r="AB742" s="18" t="n">
        <f aca="false">IF(D742="","",IF(L742&lt;=$B$16,1,IF(L742&gt;=$B$17,$B$21,MATCH(L742,Aux_CAV!$A$2:$A$121,1))))</f>
        <v>22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0.640226376416471</v>
      </c>
      <c r="E743" s="16" t="n">
        <f aca="false">IF(D743="","",D743*$B$15)</f>
        <v>1.65946676767149</v>
      </c>
      <c r="F743" s="16" t="n">
        <f aca="false" t="array" ref="F743:F743">IF(D743="","",IFERROR(INDEX(Dados_Evap!$C$2:$N$15,MATCH($B$9,Dados_Evap!$A$2:$A$15,0),C743),0))</f>
        <v>241.8</v>
      </c>
      <c r="G743" s="16" t="n">
        <f aca="false">IF(F743="","",F743/1000)</f>
        <v>0.2418</v>
      </c>
      <c r="H743" s="16" t="n">
        <f aca="false">IF(D743="","",MAX(0,MIN($B$8,IFERROR(LOOKUP(2,1/($U$24:U742&lt;&gt;""),$U$24:U742),$B$11))))</f>
        <v>155.017909311797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15.2746565609071</v>
      </c>
      <c r="J743" s="16" t="n">
        <f aca="false">IF(D743="","",$B$12)</f>
        <v>0.432</v>
      </c>
      <c r="K743" s="16" t="n">
        <f aca="false">IF(J743="","",J743*$B$15)</f>
        <v>1.119744</v>
      </c>
      <c r="L743" s="16" t="n">
        <f aca="false">IF(D743="","",H743+E743-K743-G743*I743)</f>
        <v>151.864220123041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15.0450466518363</v>
      </c>
      <c r="N743" s="16" t="n">
        <f aca="false">IF(D743="","",(I743+M743)/2)</f>
        <v>15.1598516063717</v>
      </c>
      <c r="O743" s="16" t="n">
        <f aca="false">IF(D743="","",G743*N743)</f>
        <v>3.66565211842067</v>
      </c>
      <c r="P743" s="16" t="n">
        <f aca="false">IF(D743="","",H743+E743-K743-O743)</f>
        <v>151.891979961048</v>
      </c>
      <c r="Q743" s="16" t="n">
        <f aca="false">IF(D743="","",IF(P743&gt;=0,K743,MAX(0,K743+P743)))</f>
        <v>1.119744</v>
      </c>
      <c r="R743" s="16" t="n">
        <f aca="false">IF(D743="","",Q743/$B$15)</f>
        <v>0.432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151.891979961048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93.7604814574369</v>
      </c>
      <c r="Z743" s="18" t="n">
        <f aca="false">IF(D743="","",MAX(0,IF(P743&gt;=0,P743,IF(K743+P743&gt;=0,0,P743+K743))))</f>
        <v>151.891979961048</v>
      </c>
      <c r="AA743" s="18" t="n">
        <f aca="false">IF(D743="","",IF(H743&lt;=$B$16,1,IF(H743&gt;=$B$17,$B$21,MATCH(H743,Aux_CAV!$A$2:$A$121,1))))</f>
        <v>22</v>
      </c>
      <c r="AB743" s="18" t="n">
        <f aca="false">IF(D743="","",IF(L743&lt;=$B$16,1,IF(L743&gt;=$B$17,$B$21,MATCH(L743,Aux_CAV!$A$2:$A$121,1))))</f>
        <v>22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1.43217650611619</v>
      </c>
      <c r="E744" s="16" t="n">
        <f aca="false">IF(D744="","",D744*$B$15)</f>
        <v>3.71220150385316</v>
      </c>
      <c r="F744" s="16" t="n">
        <f aca="false" t="array" ref="F744:F744">IF(D744="","",IFERROR(INDEX(Dados_Evap!$C$2:$N$15,MATCH($B$9,Dados_Evap!$A$2:$A$15,0),C744),0))</f>
        <v>189</v>
      </c>
      <c r="G744" s="16" t="n">
        <f aca="false">IF(F744="","",F744/1000)</f>
        <v>0.189</v>
      </c>
      <c r="H744" s="16" t="n">
        <f aca="false">IF(D744="","",MAX(0,MIN($B$8,IFERROR(LOOKUP(2,1/($U$24:U743&lt;&gt;""),$U$24:U743),$B$11))))</f>
        <v>151.891979961048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15.047067755851</v>
      </c>
      <c r="J744" s="16" t="n">
        <f aca="false">IF(D744="","",$B$12)</f>
        <v>0.432</v>
      </c>
      <c r="K744" s="16" t="n">
        <f aca="false">IF(J744="","",J744*$B$15)</f>
        <v>1.119744</v>
      </c>
      <c r="L744" s="16" t="n">
        <f aca="false">IF(D744="","",H744+E744-K744-G744*I744)</f>
        <v>151.640541659045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15.0287613463717</v>
      </c>
      <c r="N744" s="16" t="n">
        <f aca="false">IF(D744="","",(I744+M744)/2)</f>
        <v>15.0379145511113</v>
      </c>
      <c r="O744" s="16" t="n">
        <f aca="false">IF(D744="","",G744*N744)</f>
        <v>2.84216585016004</v>
      </c>
      <c r="P744" s="16" t="n">
        <f aca="false">IF(D744="","",H744+E744-K744-O744)</f>
        <v>151.642271614741</v>
      </c>
      <c r="Q744" s="16" t="n">
        <f aca="false">IF(D744="","",IF(P744&gt;=0,K744,MAX(0,K744+P744)))</f>
        <v>1.119744</v>
      </c>
      <c r="R744" s="16" t="n">
        <f aca="false">IF(D744="","",Q744/$B$15)</f>
        <v>0.432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151.642271614741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93.6063405029265</v>
      </c>
      <c r="Z744" s="18" t="n">
        <f aca="false">IF(D744="","",MAX(0,IF(P744&gt;=0,P744,IF(K744+P744&gt;=0,0,P744+K744))))</f>
        <v>151.642271614741</v>
      </c>
      <c r="AA744" s="18" t="n">
        <f aca="false">IF(D744="","",IF(H744&lt;=$B$16,1,IF(H744&gt;=$B$17,$B$21,MATCH(H744,Aux_CAV!$A$2:$A$121,1))))</f>
        <v>22</v>
      </c>
      <c r="AB744" s="18" t="n">
        <f aca="false">IF(D744="","",IF(L744&lt;=$B$16,1,IF(L744&gt;=$B$17,$B$21,MATCH(L744,Aux_CAV!$A$2:$A$121,1))))</f>
        <v>22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0.81486285497524</v>
      </c>
      <c r="E745" s="16" t="n">
        <f aca="false">IF(D745="","",D745*$B$15)</f>
        <v>2.11212452009582</v>
      </c>
      <c r="F745" s="16" t="n">
        <f aca="false" t="array" ref="F745:F745">IF(D745="","",IFERROR(INDEX(Dados_Evap!$C$2:$N$15,MATCH($B$9,Dados_Evap!$A$2:$A$15,0),C745),0))</f>
        <v>136.9</v>
      </c>
      <c r="G745" s="16" t="n">
        <f aca="false">IF(F745="","",F745/1000)</f>
        <v>0.1369</v>
      </c>
      <c r="H745" s="16" t="n">
        <f aca="false">IF(D745="","",MAX(0,MIN($B$8,IFERROR(LOOKUP(2,1/($U$24:U744&lt;&gt;""),$U$24:U744),$B$11))))</f>
        <v>151.642271614741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15.0288872988503</v>
      </c>
      <c r="J745" s="16" t="n">
        <f aca="false">IF(D745="","",$B$12)</f>
        <v>0.432</v>
      </c>
      <c r="K745" s="16" t="n">
        <f aca="false">IF(J745="","",J745*$B$15)</f>
        <v>1.119744</v>
      </c>
      <c r="L745" s="16" t="n">
        <f aca="false">IF(D745="","",H745+E745-K745-G745*I745)</f>
        <v>150.577197463624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14.9513426949421</v>
      </c>
      <c r="N745" s="16" t="n">
        <f aca="false">IF(D745="","",(I745+M745)/2)</f>
        <v>14.9901149968962</v>
      </c>
      <c r="O745" s="16" t="n">
        <f aca="false">IF(D745="","",G745*N745)</f>
        <v>2.05214674307509</v>
      </c>
      <c r="P745" s="16" t="n">
        <f aca="false">IF(D745="","",H745+E745-K745-O745)</f>
        <v>150.582505391762</v>
      </c>
      <c r="Q745" s="16" t="n">
        <f aca="false">IF(D745="","",IF(P745&gt;=0,K745,MAX(0,K745+P745)))</f>
        <v>1.119744</v>
      </c>
      <c r="R745" s="16" t="n">
        <f aca="false">IF(D745="","",Q745/$B$15)</f>
        <v>0.432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150.582505391762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92.9521638220751</v>
      </c>
      <c r="Z745" s="18" t="n">
        <f aca="false">IF(D745="","",MAX(0,IF(P745&gt;=0,P745,IF(K745+P745&gt;=0,0,P745+K745))))</f>
        <v>150.582505391762</v>
      </c>
      <c r="AA745" s="18" t="n">
        <f aca="false">IF(D745="","",IF(H745&lt;=$B$16,1,IF(H745&gt;=$B$17,$B$21,MATCH(H745,Aux_CAV!$A$2:$A$121,1))))</f>
        <v>22</v>
      </c>
      <c r="AB745" s="18" t="n">
        <f aca="false">IF(D745="","",IF(L745&lt;=$B$16,1,IF(L745&gt;=$B$17,$B$21,MATCH(L745,Aux_CAV!$A$2:$A$121,1))))</f>
        <v>22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3.77561567486314</v>
      </c>
      <c r="E746" s="16" t="n">
        <f aca="false">IF(D746="","",D746*$B$15)</f>
        <v>9.78639582924526</v>
      </c>
      <c r="F746" s="16" t="n">
        <f aca="false" t="array" ref="F746:F746">IF(D746="","",IFERROR(INDEX(Dados_Evap!$C$2:$N$15,MATCH($B$9,Dados_Evap!$A$2:$A$15,0),C746),0))</f>
        <v>102.9</v>
      </c>
      <c r="G746" s="16" t="n">
        <f aca="false">IF(F746="","",F746/1000)</f>
        <v>0.1029</v>
      </c>
      <c r="H746" s="16" t="n">
        <f aca="false">IF(D746="","",MAX(0,MIN($B$8,IFERROR(LOOKUP(2,1/($U$24:U745&lt;&gt;""),$U$24:U745),$B$11))))</f>
        <v>150.582505391762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14.951729148021</v>
      </c>
      <c r="J746" s="16" t="n">
        <f aca="false">IF(D746="","",$B$12)</f>
        <v>0.432</v>
      </c>
      <c r="K746" s="16" t="n">
        <f aca="false">IF(J746="","",J746*$B$15)</f>
        <v>1.119744</v>
      </c>
      <c r="L746" s="16" t="n">
        <f aca="false">IF(D746="","",H746+E746-K746-G746*I746)</f>
        <v>157.710624291676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15.4707044288732</v>
      </c>
      <c r="N746" s="16" t="n">
        <f aca="false">IF(D746="","",(I746+M746)/2)</f>
        <v>15.2112167884471</v>
      </c>
      <c r="O746" s="16" t="n">
        <f aca="false">IF(D746="","",G746*N746)</f>
        <v>1.56523420753121</v>
      </c>
      <c r="P746" s="16" t="n">
        <f aca="false">IF(D746="","",H746+E746-K746-O746)</f>
        <v>157.683923013476</v>
      </c>
      <c r="Q746" s="16" t="n">
        <f aca="false">IF(D746="","",IF(P746&gt;=0,K746,MAX(0,K746+P746)))</f>
        <v>1.119744</v>
      </c>
      <c r="R746" s="16" t="n">
        <f aca="false">IF(D746="","",Q746/$B$15)</f>
        <v>0.432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157.683923013476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97.3357549465899</v>
      </c>
      <c r="Z746" s="18" t="n">
        <f aca="false">IF(D746="","",MAX(0,IF(P746&gt;=0,P746,IF(K746+P746&gt;=0,0,P746+K746))))</f>
        <v>157.683923013476</v>
      </c>
      <c r="AA746" s="18" t="n">
        <f aca="false">IF(D746="","",IF(H746&lt;=$B$16,1,IF(H746&gt;=$B$17,$B$21,MATCH(H746,Aux_CAV!$A$2:$A$121,1))))</f>
        <v>22</v>
      </c>
      <c r="AB746" s="18" t="n">
        <f aca="false">IF(D746="","",IF(L746&lt;=$B$16,1,IF(L746&gt;=$B$17,$B$21,MATCH(L746,Aux_CAV!$A$2:$A$121,1))))</f>
        <v>22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6.15998511735979</v>
      </c>
      <c r="E747" s="16" t="n">
        <f aca="false">IF(D747="","",D747*$B$15)</f>
        <v>15.9666814241966</v>
      </c>
      <c r="F747" s="16" t="n">
        <f aca="false" t="array" ref="F747:F747">IF(D747="","",IFERROR(INDEX(Dados_Evap!$C$2:$N$15,MATCH($B$9,Dados_Evap!$A$2:$A$15,0),C747),0))</f>
        <v>81.8</v>
      </c>
      <c r="G747" s="16" t="n">
        <f aca="false">IF(F747="","",F747/1000)</f>
        <v>0.0818</v>
      </c>
      <c r="H747" s="16" t="n">
        <f aca="false">IF(D747="","",MAX(0,MIN($B$8,IFERROR(LOOKUP(2,1/($U$24:U746&lt;&gt;""),$U$24:U746),$B$11))))</f>
        <v>157.683923013476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15.4687603951741</v>
      </c>
      <c r="J747" s="16" t="n">
        <f aca="false">IF(D747="","",$B$12)</f>
        <v>0.432</v>
      </c>
      <c r="K747" s="16" t="n">
        <f aca="false">IF(J747="","",J747*$B$15)</f>
        <v>1.119744</v>
      </c>
      <c r="L747" s="16" t="n">
        <f aca="false">IF(D747="","",H747+E747-K747-G747*I747)</f>
        <v>171.265515837347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16.3371660900813</v>
      </c>
      <c r="N747" s="16" t="n">
        <f aca="false">IF(D747="","",(I747+M747)/2)</f>
        <v>15.9029632426277</v>
      </c>
      <c r="O747" s="16" t="n">
        <f aca="false">IF(D747="","",G747*N747)</f>
        <v>1.30086239324695</v>
      </c>
      <c r="P747" s="16" t="n">
        <f aca="false">IF(D747="","",H747+E747-K747-O747)</f>
        <v>171.229998044425</v>
      </c>
      <c r="Q747" s="16" t="n">
        <f aca="false">IF(D747="","",IF(P747&gt;=0,K747,MAX(0,K747+P747)))</f>
        <v>1.119744</v>
      </c>
      <c r="R747" s="16" t="n">
        <f aca="false">IF(D747="","",Q747/$B$15)</f>
        <v>0.432</v>
      </c>
      <c r="S747" s="16" t="n">
        <f aca="false">IF(D747="","",MAX(0,J747-R747))</f>
        <v>0</v>
      </c>
      <c r="T747" s="16" t="n">
        <f aca="false">IF(D747="","",MAX(0,Z747-$B$8))</f>
        <v>9.22999804442532</v>
      </c>
      <c r="U747" s="16" t="n">
        <f aca="false">IF(D747="","",MAX(0,MIN($B$8,Z747)))</f>
        <v>162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100</v>
      </c>
      <c r="Z747" s="18" t="n">
        <f aca="false">IF(D747="","",MAX(0,IF(P747&gt;=0,P747,IF(K747+P747&gt;=0,0,P747+K747))))</f>
        <v>171.229998044425</v>
      </c>
      <c r="AA747" s="18" t="n">
        <f aca="false">IF(D747="","",IF(H747&lt;=$B$16,1,IF(H747&gt;=$B$17,$B$21,MATCH(H747,Aux_CAV!$A$2:$A$121,1))))</f>
        <v>22</v>
      </c>
      <c r="AB747" s="18" t="n">
        <f aca="false">IF(D747="","",IF(L747&lt;=$B$16,1,IF(L747&gt;=$B$17,$B$21,MATCH(L747,Aux_CAV!$A$2:$A$121,1))))</f>
        <v>23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1.88367737788817</v>
      </c>
      <c r="E748" s="16" t="n">
        <f aca="false">IF(D748="","",D748*$B$15)</f>
        <v>4.88249176348614</v>
      </c>
      <c r="F748" s="16" t="n">
        <f aca="false" t="array" ref="F748:F748">IF(D748="","",IFERROR(INDEX(Dados_Evap!$C$2:$N$15,MATCH($B$9,Dados_Evap!$A$2:$A$15,0),C748),0))</f>
        <v>83.6</v>
      </c>
      <c r="G748" s="16" t="n">
        <f aca="false">IF(F748="","",F748/1000)</f>
        <v>0.0836</v>
      </c>
      <c r="H748" s="16" t="n">
        <f aca="false">IF(D748="","",MAX(0,MIN($B$8,IFERROR(LOOKUP(2,1/($U$24:U747&lt;&gt;""),$U$24:U747),$B$11))))</f>
        <v>162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15.783</v>
      </c>
      <c r="J748" s="16" t="n">
        <f aca="false">IF(D748="","",$B$12)</f>
        <v>0.432</v>
      </c>
      <c r="K748" s="16" t="n">
        <f aca="false">IF(J748="","",J748*$B$15)</f>
        <v>1.119744</v>
      </c>
      <c r="L748" s="16" t="n">
        <f aca="false">IF(D748="","",H748+E748-K748-G748*I748)</f>
        <v>164.443288963486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15.9291319494352</v>
      </c>
      <c r="N748" s="16" t="n">
        <f aca="false">IF(D748="","",(I748+M748)/2)</f>
        <v>15.8560659747176</v>
      </c>
      <c r="O748" s="16" t="n">
        <f aca="false">IF(D748="","",G748*N748)</f>
        <v>1.32556711548639</v>
      </c>
      <c r="P748" s="16" t="n">
        <f aca="false">IF(D748="","",H748+E748-K748-O748)</f>
        <v>164.437180648</v>
      </c>
      <c r="Q748" s="16" t="n">
        <f aca="false">IF(D748="","",IF(P748&gt;=0,K748,MAX(0,K748+P748)))</f>
        <v>1.119744</v>
      </c>
      <c r="R748" s="16" t="n">
        <f aca="false">IF(D748="","",Q748/$B$15)</f>
        <v>0.432</v>
      </c>
      <c r="S748" s="16" t="n">
        <f aca="false">IF(D748="","",MAX(0,J748-R748))</f>
        <v>0</v>
      </c>
      <c r="T748" s="16" t="n">
        <f aca="false">IF(D748="","",MAX(0,Z748-$B$8))</f>
        <v>2.43718064799975</v>
      </c>
      <c r="U748" s="16" t="n">
        <f aca="false">IF(D748="","",MAX(0,MIN($B$8,Z748)))</f>
        <v>162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100</v>
      </c>
      <c r="Z748" s="18" t="n">
        <f aca="false">IF(D748="","",MAX(0,IF(P748&gt;=0,P748,IF(K748+P748&gt;=0,0,P748+K748))))</f>
        <v>164.437180648</v>
      </c>
      <c r="AA748" s="18" t="n">
        <f aca="false">IF(D748="","",IF(H748&lt;=$B$16,1,IF(H748&gt;=$B$17,$B$21,MATCH(H748,Aux_CAV!$A$2:$A$121,1))))</f>
        <v>23</v>
      </c>
      <c r="AB748" s="18" t="n">
        <f aca="false">IF(D748="","",IF(L748&lt;=$B$16,1,IF(L748&gt;=$B$17,$B$21,MATCH(L748,Aux_CAV!$A$2:$A$121,1))))</f>
        <v>23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1.60965777923944</v>
      </c>
      <c r="E749" s="16" t="n">
        <f aca="false">IF(D749="","",D749*$B$15)</f>
        <v>4.17223296378863</v>
      </c>
      <c r="F749" s="16" t="n">
        <f aca="false" t="array" ref="F749:F749">IF(D749="","",IFERROR(INDEX(Dados_Evap!$C$2:$N$15,MATCH($B$9,Dados_Evap!$A$2:$A$15,0),C749),0))</f>
        <v>108.2</v>
      </c>
      <c r="G749" s="16" t="n">
        <f aca="false">IF(F749="","",F749/1000)</f>
        <v>0.1082</v>
      </c>
      <c r="H749" s="16" t="n">
        <f aca="false">IF(D749="","",MAX(0,MIN($B$8,IFERROR(LOOKUP(2,1/($U$24:U748&lt;&gt;""),$U$24:U748),$B$11))))</f>
        <v>162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15.783</v>
      </c>
      <c r="J749" s="16" t="n">
        <f aca="false">IF(D749="","",$B$12)</f>
        <v>0.432</v>
      </c>
      <c r="K749" s="16" t="n">
        <f aca="false">IF(J749="","",J749*$B$15)</f>
        <v>1.119744</v>
      </c>
      <c r="L749" s="16" t="n">
        <f aca="false">IF(D749="","",H749+E749-K749-G749*I749)</f>
        <v>163.344768363789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15.8634299554723</v>
      </c>
      <c r="N749" s="16" t="n">
        <f aca="false">IF(D749="","",(I749+M749)/2)</f>
        <v>15.8232149777362</v>
      </c>
      <c r="O749" s="16" t="n">
        <f aca="false">IF(D749="","",G749*N749)</f>
        <v>1.71207186059105</v>
      </c>
      <c r="P749" s="16" t="n">
        <f aca="false">IF(D749="","",H749+E749-K749-O749)</f>
        <v>163.340417103198</v>
      </c>
      <c r="Q749" s="16" t="n">
        <f aca="false">IF(D749="","",IF(P749&gt;=0,K749,MAX(0,K749+P749)))</f>
        <v>1.119744</v>
      </c>
      <c r="R749" s="16" t="n">
        <f aca="false">IF(D749="","",Q749/$B$15)</f>
        <v>0.432</v>
      </c>
      <c r="S749" s="16" t="n">
        <f aca="false">IF(D749="","",MAX(0,J749-R749))</f>
        <v>0</v>
      </c>
      <c r="T749" s="16" t="n">
        <f aca="false">IF(D749="","",MAX(0,Z749-$B$8))</f>
        <v>1.34041710319758</v>
      </c>
      <c r="U749" s="16" t="n">
        <f aca="false">IF(D749="","",MAX(0,MIN($B$8,Z749)))</f>
        <v>162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100</v>
      </c>
      <c r="Z749" s="18" t="n">
        <f aca="false">IF(D749="","",MAX(0,IF(P749&gt;=0,P749,IF(K749+P749&gt;=0,0,P749+K749))))</f>
        <v>163.340417103198</v>
      </c>
      <c r="AA749" s="18" t="n">
        <f aca="false">IF(D749="","",IF(H749&lt;=$B$16,1,IF(H749&gt;=$B$17,$B$21,MATCH(H749,Aux_CAV!$A$2:$A$121,1))))</f>
        <v>23</v>
      </c>
      <c r="AB749" s="18" t="n">
        <f aca="false">IF(D749="","",IF(L749&lt;=$B$16,1,IF(L749&gt;=$B$17,$B$21,MATCH(L749,Aux_CAV!$A$2:$A$121,1))))</f>
        <v>23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1.07581842012733</v>
      </c>
      <c r="E750" s="16" t="n">
        <f aca="false">IF(D750="","",D750*$B$15)</f>
        <v>2.78852134497004</v>
      </c>
      <c r="F750" s="16" t="n">
        <f aca="false" t="array" ref="F750:F750">IF(D750="","",IFERROR(INDEX(Dados_Evap!$C$2:$N$15,MATCH($B$9,Dados_Evap!$A$2:$A$15,0),C750),0))</f>
        <v>149</v>
      </c>
      <c r="G750" s="16" t="n">
        <f aca="false">IF(F750="","",F750/1000)</f>
        <v>0.149</v>
      </c>
      <c r="H750" s="16" t="n">
        <f aca="false">IF(D750="","",MAX(0,MIN($B$8,IFERROR(LOOKUP(2,1/($U$24:U749&lt;&gt;""),$U$24:U749),$B$11))))</f>
        <v>162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15.783</v>
      </c>
      <c r="J750" s="16" t="n">
        <f aca="false">IF(D750="","",$B$12)</f>
        <v>0.432</v>
      </c>
      <c r="K750" s="16" t="n">
        <f aca="false">IF(J750="","",J750*$B$15)</f>
        <v>1.119744</v>
      </c>
      <c r="L750" s="16" t="n">
        <f aca="false">IF(D750="","",H750+E750-K750-G750*I750)</f>
        <v>161.31711034497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15.7332810130574</v>
      </c>
      <c r="N750" s="16" t="n">
        <f aca="false">IF(D750="","",(I750+M750)/2)</f>
        <v>15.7581405065287</v>
      </c>
      <c r="O750" s="16" t="n">
        <f aca="false">IF(D750="","",G750*N750)</f>
        <v>2.34796293547278</v>
      </c>
      <c r="P750" s="16" t="n">
        <f aca="false">IF(D750="","",H750+E750-K750-O750)</f>
        <v>161.320814409497</v>
      </c>
      <c r="Q750" s="16" t="n">
        <f aca="false">IF(D750="","",IF(P750&gt;=0,K750,MAX(0,K750+P750)))</f>
        <v>1.119744</v>
      </c>
      <c r="R750" s="16" t="n">
        <f aca="false">IF(D750="","",Q750/$B$15)</f>
        <v>0.432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161.320814409497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99.5807496354922</v>
      </c>
      <c r="Z750" s="18" t="n">
        <f aca="false">IF(D750="","",MAX(0,IF(P750&gt;=0,P750,IF(K750+P750&gt;=0,0,P750+K750))))</f>
        <v>161.320814409497</v>
      </c>
      <c r="AA750" s="18" t="n">
        <f aca="false">IF(D750="","",IF(H750&lt;=$B$16,1,IF(H750&gt;=$B$17,$B$21,MATCH(H750,Aux_CAV!$A$2:$A$121,1))))</f>
        <v>23</v>
      </c>
      <c r="AB750" s="18" t="n">
        <f aca="false">IF(D750="","",IF(L750&lt;=$B$16,1,IF(L750&gt;=$B$17,$B$21,MATCH(L750,Aux_CAV!$A$2:$A$121,1))))</f>
        <v>22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0.565645012524136</v>
      </c>
      <c r="E751" s="16" t="n">
        <f aca="false">IF(D751="","",D751*$B$15)</f>
        <v>1.46615187246256</v>
      </c>
      <c r="F751" s="16" t="n">
        <f aca="false" t="array" ref="F751:F751">IF(D751="","",IFERROR(INDEX(Dados_Evap!$C$2:$N$15,MATCH($B$9,Dados_Evap!$A$2:$A$15,0),C751),0))</f>
        <v>206.8</v>
      </c>
      <c r="G751" s="16" t="n">
        <f aca="false">IF(F751="","",F751/1000)</f>
        <v>0.2068</v>
      </c>
      <c r="H751" s="16" t="n">
        <f aca="false">IF(D751="","",MAX(0,MIN($B$8,IFERROR(LOOKUP(2,1/($U$24:U750&lt;&gt;""),$U$24:U750),$B$11))))</f>
        <v>161.320814409497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15.7335506940146</v>
      </c>
      <c r="J751" s="16" t="n">
        <f aca="false">IF(D751="","",$B$12)</f>
        <v>0.432</v>
      </c>
      <c r="K751" s="16" t="n">
        <f aca="false">IF(J751="","",J751*$B$15)</f>
        <v>1.119744</v>
      </c>
      <c r="L751" s="16" t="n">
        <f aca="false">IF(D751="","",H751+E751-K751-G751*I751)</f>
        <v>158.413523998438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15.521880282959</v>
      </c>
      <c r="N751" s="16" t="n">
        <f aca="false">IF(D751="","",(I751+M751)/2)</f>
        <v>15.6277154884868</v>
      </c>
      <c r="O751" s="16" t="n">
        <f aca="false">IF(D751="","",G751*N751)</f>
        <v>3.23181156301907</v>
      </c>
      <c r="P751" s="16" t="n">
        <f aca="false">IF(D751="","",H751+E751-K751-O751)</f>
        <v>158.435410718941</v>
      </c>
      <c r="Q751" s="16" t="n">
        <f aca="false">IF(D751="","",IF(P751&gt;=0,K751,MAX(0,K751+P751)))</f>
        <v>1.119744</v>
      </c>
      <c r="R751" s="16" t="n">
        <f aca="false">IF(D751="","",Q751/$B$15)</f>
        <v>0.432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158.435410718941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97.7996362462597</v>
      </c>
      <c r="Z751" s="18" t="n">
        <f aca="false">IF(D751="","",MAX(0,IF(P751&gt;=0,P751,IF(K751+P751&gt;=0,0,P751+K751))))</f>
        <v>158.435410718941</v>
      </c>
      <c r="AA751" s="18" t="n">
        <f aca="false">IF(D751="","",IF(H751&lt;=$B$16,1,IF(H751&gt;=$B$17,$B$21,MATCH(H751,Aux_CAV!$A$2:$A$121,1))))</f>
        <v>22</v>
      </c>
      <c r="AB751" s="18" t="n">
        <f aca="false">IF(D751="","",IF(L751&lt;=$B$16,1,IF(L751&gt;=$B$17,$B$21,MATCH(L751,Aux_CAV!$A$2:$A$121,1))))</f>
        <v>22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0.356530530255954</v>
      </c>
      <c r="E752" s="16" t="n">
        <f aca="false">IF(D752="","",D752*$B$15)</f>
        <v>0.924127134423433</v>
      </c>
      <c r="F752" s="16" t="n">
        <f aca="false" t="array" ref="F752:F752">IF(D752="","",IFERROR(INDEX(Dados_Evap!$C$2:$N$15,MATCH($B$9,Dados_Evap!$A$2:$A$15,0),C752),0))</f>
        <v>245.9</v>
      </c>
      <c r="G752" s="16" t="n">
        <f aca="false">IF(F752="","",F752/1000)</f>
        <v>0.2459</v>
      </c>
      <c r="H752" s="16" t="n">
        <f aca="false">IF(D752="","",MAX(0,MIN($B$8,IFERROR(LOOKUP(2,1/($U$24:U751&lt;&gt;""),$U$24:U751),$B$11))))</f>
        <v>158.435410718941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15.5234737842851</v>
      </c>
      <c r="J752" s="16" t="n">
        <f aca="false">IF(D752="","",$B$12)</f>
        <v>0.432</v>
      </c>
      <c r="K752" s="16" t="n">
        <f aca="false">IF(J752="","",J752*$B$15)</f>
        <v>1.119744</v>
      </c>
      <c r="L752" s="16" t="n">
        <f aca="false">IF(D752="","",H752+E752-K752-G752*I752)</f>
        <v>154.422571649808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15.2313119513866</v>
      </c>
      <c r="N752" s="16" t="n">
        <f aca="false">IF(D752="","",(I752+M752)/2)</f>
        <v>15.3773928678358</v>
      </c>
      <c r="O752" s="16" t="n">
        <f aca="false">IF(D752="","",G752*N752)</f>
        <v>3.78130090620083</v>
      </c>
      <c r="P752" s="16" t="n">
        <f aca="false">IF(D752="","",H752+E752-K752-O752)</f>
        <v>154.458492947163</v>
      </c>
      <c r="Q752" s="16" t="n">
        <f aca="false">IF(D752="","",IF(P752&gt;=0,K752,MAX(0,K752+P752)))</f>
        <v>1.119744</v>
      </c>
      <c r="R752" s="16" t="n">
        <f aca="false">IF(D752="","",Q752/$B$15)</f>
        <v>0.432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154.458492947163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95.3447487328169</v>
      </c>
      <c r="Z752" s="18" t="n">
        <f aca="false">IF(D752="","",MAX(0,IF(P752&gt;=0,P752,IF(K752+P752&gt;=0,0,P752+K752))))</f>
        <v>154.458492947163</v>
      </c>
      <c r="AA752" s="18" t="n">
        <f aca="false">IF(D752="","",IF(H752&lt;=$B$16,1,IF(H752&gt;=$B$17,$B$21,MATCH(H752,Aux_CAV!$A$2:$A$121,1))))</f>
        <v>22</v>
      </c>
      <c r="AB752" s="18" t="n">
        <f aca="false">IF(D752="","",IF(L752&lt;=$B$16,1,IF(L752&gt;=$B$17,$B$21,MATCH(L752,Aux_CAV!$A$2:$A$121,1))))</f>
        <v>22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0.323992974080771</v>
      </c>
      <c r="E753" s="16" t="n">
        <f aca="false">IF(D753="","",D753*$B$15)</f>
        <v>0.839789788817358</v>
      </c>
      <c r="F753" s="16" t="n">
        <f aca="false" t="array" ref="F753:F753">IF(D753="","",IFERROR(INDEX(Dados_Evap!$C$2:$N$15,MATCH($B$9,Dados_Evap!$A$2:$A$15,0),C753),0))</f>
        <v>282.3</v>
      </c>
      <c r="G753" s="16" t="n">
        <f aca="false">IF(F753="","",F753/1000)</f>
        <v>0.2823</v>
      </c>
      <c r="H753" s="16" t="n">
        <f aca="false">IF(D753="","",MAX(0,MIN($B$8,IFERROR(LOOKUP(2,1/($U$24:U752&lt;&gt;""),$U$24:U752),$B$11))))</f>
        <v>154.458492947163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15.2339272648578</v>
      </c>
      <c r="J753" s="16" t="n">
        <f aca="false">IF(D753="","",$B$12)</f>
        <v>0.432</v>
      </c>
      <c r="K753" s="16" t="n">
        <f aca="false">IF(J753="","",J753*$B$15)</f>
        <v>1.119744</v>
      </c>
      <c r="L753" s="16" t="n">
        <f aca="false">IF(D753="","",H753+E753-K753-G753*I753)</f>
        <v>149.878001069111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14.9004364670427</v>
      </c>
      <c r="N753" s="16" t="n">
        <f aca="false">IF(D753="","",(I753+M753)/2)</f>
        <v>15.0671818659502</v>
      </c>
      <c r="O753" s="16" t="n">
        <f aca="false">IF(D753="","",G753*N753)</f>
        <v>4.25346544075775</v>
      </c>
      <c r="P753" s="16" t="n">
        <f aca="false">IF(D753="","",H753+E753-K753-O753)</f>
        <v>149.925073295223</v>
      </c>
      <c r="Q753" s="16" t="n">
        <f aca="false">IF(D753="","",IF(P753&gt;=0,K753,MAX(0,K753+P753)))</f>
        <v>1.119744</v>
      </c>
      <c r="R753" s="16" t="n">
        <f aca="false">IF(D753="","",Q753/$B$15)</f>
        <v>0.432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149.925073295223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92.5463415402611</v>
      </c>
      <c r="Z753" s="18" t="n">
        <f aca="false">IF(D753="","",MAX(0,IF(P753&gt;=0,P753,IF(K753+P753&gt;=0,0,P753+K753))))</f>
        <v>149.925073295223</v>
      </c>
      <c r="AA753" s="18" t="n">
        <f aca="false">IF(D753="","",IF(H753&lt;=$B$16,1,IF(H753&gt;=$B$17,$B$21,MATCH(H753,Aux_CAV!$A$2:$A$121,1))))</f>
        <v>22</v>
      </c>
      <c r="AB753" s="18" t="n">
        <f aca="false">IF(D753="","",IF(L753&lt;=$B$16,1,IF(L753&gt;=$B$17,$B$21,MATCH(L753,Aux_CAV!$A$2:$A$121,1))))</f>
        <v>22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0.362742388095419</v>
      </c>
      <c r="E754" s="16" t="n">
        <f aca="false">IF(D754="","",D754*$B$15)</f>
        <v>0.940228269943326</v>
      </c>
      <c r="F754" s="16" t="n">
        <f aca="false" t="array" ref="F754:F754">IF(D754="","",IFERROR(INDEX(Dados_Evap!$C$2:$N$15,MATCH($B$9,Dados_Evap!$A$2:$A$15,0),C754),0))</f>
        <v>241.3</v>
      </c>
      <c r="G754" s="16" t="n">
        <f aca="false">IF(F754="","",F754/1000)</f>
        <v>0.2413</v>
      </c>
      <c r="H754" s="16" t="n">
        <f aca="false">IF(D754="","",MAX(0,MIN($B$8,IFERROR(LOOKUP(2,1/($U$24:U753&lt;&gt;""),$U$24:U753),$B$11))))</f>
        <v>149.925073295223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14.9038636435684</v>
      </c>
      <c r="J754" s="16" t="n">
        <f aca="false">IF(D754="","",$B$12)</f>
        <v>0.432</v>
      </c>
      <c r="K754" s="16" t="n">
        <f aca="false">IF(J754="","",J754*$B$15)</f>
        <v>1.119744</v>
      </c>
      <c r="L754" s="16" t="n">
        <f aca="false">IF(D754="","",H754+E754-K754-G754*I754)</f>
        <v>146.149255267973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14.6289585460732</v>
      </c>
      <c r="N754" s="16" t="n">
        <f aca="false">IF(D754="","",(I754+M754)/2)</f>
        <v>14.7664110948208</v>
      </c>
      <c r="O754" s="16" t="n">
        <f aca="false">IF(D754="","",G754*N754)</f>
        <v>3.56313499718026</v>
      </c>
      <c r="P754" s="16" t="n">
        <f aca="false">IF(D754="","",H754+E754-K754-O754)</f>
        <v>146.182422567986</v>
      </c>
      <c r="Q754" s="16" t="n">
        <f aca="false">IF(D754="","",IF(P754&gt;=0,K754,MAX(0,K754+P754)))</f>
        <v>1.119744</v>
      </c>
      <c r="R754" s="16" t="n">
        <f aca="false">IF(D754="","",Q754/$B$15)</f>
        <v>0.432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146.182422567986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90.2360633135716</v>
      </c>
      <c r="Z754" s="18" t="n">
        <f aca="false">IF(D754="","",MAX(0,IF(P754&gt;=0,P754,IF(K754+P754&gt;=0,0,P754+K754))))</f>
        <v>146.182422567986</v>
      </c>
      <c r="AA754" s="18" t="n">
        <f aca="false">IF(D754="","",IF(H754&lt;=$B$16,1,IF(H754&gt;=$B$17,$B$21,MATCH(H754,Aux_CAV!$A$2:$A$121,1))))</f>
        <v>22</v>
      </c>
      <c r="AB754" s="18" t="n">
        <f aca="false">IF(D754="","",IF(L754&lt;=$B$16,1,IF(L754&gt;=$B$17,$B$21,MATCH(L754,Aux_CAV!$A$2:$A$121,1))))</f>
        <v>22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0.334492907345561</v>
      </c>
      <c r="E755" s="16" t="n">
        <f aca="false">IF(D755="","",D755*$B$15)</f>
        <v>0.867005615839694</v>
      </c>
      <c r="F755" s="16" t="n">
        <f aca="false" t="array" ref="F755:F755">IF(D755="","",IFERROR(INDEX(Dados_Evap!$C$2:$N$15,MATCH($B$9,Dados_Evap!$A$2:$A$15,0),C755),0))</f>
        <v>241.8</v>
      </c>
      <c r="G755" s="16" t="n">
        <f aca="false">IF(F755="","",F755/1000)</f>
        <v>0.2418</v>
      </c>
      <c r="H755" s="16" t="n">
        <f aca="false">IF(D755="","",MAX(0,MIN($B$8,IFERROR(LOOKUP(2,1/($U$24:U754&lt;&gt;""),$U$24:U754),$B$11))))</f>
        <v>146.182422567986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14.6313733499058</v>
      </c>
      <c r="J755" s="16" t="n">
        <f aca="false">IF(D755="","",$B$12)</f>
        <v>0.432</v>
      </c>
      <c r="K755" s="16" t="n">
        <f aca="false">IF(J755="","",J755*$B$15)</f>
        <v>1.119744</v>
      </c>
      <c r="L755" s="16" t="n">
        <f aca="false">IF(D755="","",H755+E755-K755-G755*I755)</f>
        <v>142.391818107818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14.3553917000573</v>
      </c>
      <c r="N755" s="16" t="n">
        <f aca="false">IF(D755="","",(I755+M755)/2)</f>
        <v>14.4933825249816</v>
      </c>
      <c r="O755" s="16" t="n">
        <f aca="false">IF(D755="","",G755*N755)</f>
        <v>3.50449989454054</v>
      </c>
      <c r="P755" s="16" t="n">
        <f aca="false">IF(D755="","",H755+E755-K755-O755)</f>
        <v>142.425184289285</v>
      </c>
      <c r="Q755" s="16" t="n">
        <f aca="false">IF(D755="","",IF(P755&gt;=0,K755,MAX(0,K755+P755)))</f>
        <v>1.119744</v>
      </c>
      <c r="R755" s="16" t="n">
        <f aca="false">IF(D755="","",Q755/$B$15)</f>
        <v>0.432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142.425184289285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87.9167804254847</v>
      </c>
      <c r="Z755" s="18" t="n">
        <f aca="false">IF(D755="","",MAX(0,IF(P755&gt;=0,P755,IF(K755+P755&gt;=0,0,P755+K755))))</f>
        <v>142.425184289285</v>
      </c>
      <c r="AA755" s="18" t="n">
        <f aca="false">IF(D755="","",IF(H755&lt;=$B$16,1,IF(H755&gt;=$B$17,$B$21,MATCH(H755,Aux_CAV!$A$2:$A$121,1))))</f>
        <v>22</v>
      </c>
      <c r="AB755" s="18" t="n">
        <f aca="false">IF(D755="","",IF(L755&lt;=$B$16,1,IF(L755&gt;=$B$17,$B$21,MATCH(L755,Aux_CAV!$A$2:$A$121,1))))</f>
        <v>22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0.583389605338691</v>
      </c>
      <c r="E756" s="16" t="n">
        <f aca="false">IF(D756="","",D756*$B$15)</f>
        <v>1.51214585703789</v>
      </c>
      <c r="F756" s="16" t="n">
        <f aca="false" t="array" ref="F756:F756">IF(D756="","",IFERROR(INDEX(Dados_Evap!$C$2:$N$15,MATCH($B$9,Dados_Evap!$A$2:$A$15,0),C756),0))</f>
        <v>189</v>
      </c>
      <c r="G756" s="16" t="n">
        <f aca="false">IF(F756="","",F756/1000)</f>
        <v>0.189</v>
      </c>
      <c r="H756" s="16" t="n">
        <f aca="false">IF(D756="","",MAX(0,MIN($B$8,IFERROR(LOOKUP(2,1/($U$24:U755&lt;&gt;""),$U$24:U755),$B$11))))</f>
        <v>142.425184289285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14.3578209838053</v>
      </c>
      <c r="J756" s="16" t="n">
        <f aca="false">IF(D756="","",$B$12)</f>
        <v>0.432</v>
      </c>
      <c r="K756" s="16" t="n">
        <f aca="false">IF(J756="","",J756*$B$15)</f>
        <v>1.119744</v>
      </c>
      <c r="L756" s="16" t="n">
        <f aca="false">IF(D756="","",H756+E756-K756-G756*I756)</f>
        <v>140.103957980384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14.1888200043747</v>
      </c>
      <c r="N756" s="16" t="n">
        <f aca="false">IF(D756="","",(I756+M756)/2)</f>
        <v>14.27332049409</v>
      </c>
      <c r="O756" s="16" t="n">
        <f aca="false">IF(D756="","",G756*N756)</f>
        <v>2.69765757338301</v>
      </c>
      <c r="P756" s="16" t="n">
        <f aca="false">IF(D756="","",H756+E756-K756-O756)</f>
        <v>140.11992857294</v>
      </c>
      <c r="Q756" s="16" t="n">
        <f aca="false">IF(D756="","",IF(P756&gt;=0,K756,MAX(0,K756+P756)))</f>
        <v>1.119744</v>
      </c>
      <c r="R756" s="16" t="n">
        <f aca="false">IF(D756="","",Q756/$B$15)</f>
        <v>0.432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140.11992857294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86.4937830697161</v>
      </c>
      <c r="Z756" s="18" t="n">
        <f aca="false">IF(D756="","",MAX(0,IF(P756&gt;=0,P756,IF(K756+P756&gt;=0,0,P756+K756))))</f>
        <v>140.11992857294</v>
      </c>
      <c r="AA756" s="18" t="n">
        <f aca="false">IF(D756="","",IF(H756&lt;=$B$16,1,IF(H756&gt;=$B$17,$B$21,MATCH(H756,Aux_CAV!$A$2:$A$121,1))))</f>
        <v>22</v>
      </c>
      <c r="AB756" s="18" t="n">
        <f aca="false">IF(D756="","",IF(L756&lt;=$B$16,1,IF(L756&gt;=$B$17,$B$21,MATCH(L756,Aux_CAV!$A$2:$A$121,1))))</f>
        <v>22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0.828824456178054</v>
      </c>
      <c r="E757" s="16" t="n">
        <f aca="false">IF(D757="","",D757*$B$15)</f>
        <v>2.14831299041352</v>
      </c>
      <c r="F757" s="16" t="n">
        <f aca="false" t="array" ref="F757:F757">IF(D757="","",IFERROR(INDEX(Dados_Evap!$C$2:$N$15,MATCH($B$9,Dados_Evap!$A$2:$A$15,0),C757),0))</f>
        <v>136.9</v>
      </c>
      <c r="G757" s="16" t="n">
        <f aca="false">IF(F757="","",F757/1000)</f>
        <v>0.1369</v>
      </c>
      <c r="H757" s="16" t="n">
        <f aca="false">IF(D757="","",MAX(0,MIN($B$8,IFERROR(LOOKUP(2,1/($U$24:U756&lt;&gt;""),$U$24:U756),$B$11))))</f>
        <v>140.11992857294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14.189982771561</v>
      </c>
      <c r="J757" s="16" t="n">
        <f aca="false">IF(D757="","",$B$12)</f>
        <v>0.432</v>
      </c>
      <c r="K757" s="16" t="n">
        <f aca="false">IF(J757="","",J757*$B$15)</f>
        <v>1.119744</v>
      </c>
      <c r="L757" s="16" t="n">
        <f aca="false">IF(D757="","",H757+E757-K757-G757*I757)</f>
        <v>139.205888921927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14.1234345010769</v>
      </c>
      <c r="N757" s="16" t="n">
        <f aca="false">IF(D757="","",(I757+M757)/2)</f>
        <v>14.156708636319</v>
      </c>
      <c r="O757" s="16" t="n">
        <f aca="false">IF(D757="","",G757*N757)</f>
        <v>1.93805341231206</v>
      </c>
      <c r="P757" s="16" t="n">
        <f aca="false">IF(D757="","",H757+E757-K757-O757)</f>
        <v>139.210444151042</v>
      </c>
      <c r="Q757" s="16" t="n">
        <f aca="false">IF(D757="","",IF(P757&gt;=0,K757,MAX(0,K757+P757)))</f>
        <v>1.119744</v>
      </c>
      <c r="R757" s="16" t="n">
        <f aca="false">IF(D757="","",Q757/$B$15)</f>
        <v>0.432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139.210444151042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85.9323729327417</v>
      </c>
      <c r="Z757" s="18" t="n">
        <f aca="false">IF(D757="","",MAX(0,IF(P757&gt;=0,P757,IF(K757+P757&gt;=0,0,P757+K757))))</f>
        <v>139.210444151042</v>
      </c>
      <c r="AA757" s="18" t="n">
        <f aca="false">IF(D757="","",IF(H757&lt;=$B$16,1,IF(H757&gt;=$B$17,$B$21,MATCH(H757,Aux_CAV!$A$2:$A$121,1))))</f>
        <v>22</v>
      </c>
      <c r="AB757" s="18" t="n">
        <f aca="false">IF(D757="","",IF(L757&lt;=$B$16,1,IF(L757&gt;=$B$17,$B$21,MATCH(L757,Aux_CAV!$A$2:$A$121,1))))</f>
        <v>22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2.26111927283604</v>
      </c>
      <c r="E758" s="16" t="n">
        <f aca="false">IF(D758="","",D758*$B$15)</f>
        <v>5.86082115519102</v>
      </c>
      <c r="F758" s="16" t="n">
        <f aca="false" t="array" ref="F758:F758">IF(D758="","",IFERROR(INDEX(Dados_Evap!$C$2:$N$15,MATCH($B$9,Dados_Evap!$A$2:$A$15,0),C758),0))</f>
        <v>102.9</v>
      </c>
      <c r="G758" s="16" t="n">
        <f aca="false">IF(F758="","",F758/1000)</f>
        <v>0.1029</v>
      </c>
      <c r="H758" s="16" t="n">
        <f aca="false">IF(D758="","",MAX(0,MIN($B$8,IFERROR(LOOKUP(2,1/($U$24:U757&lt;&gt;""),$U$24:U757),$B$11))))</f>
        <v>139.210444151042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14.1237661525746</v>
      </c>
      <c r="J758" s="16" t="n">
        <f aca="false">IF(D758="","",$B$12)</f>
        <v>0.432</v>
      </c>
      <c r="K758" s="16" t="n">
        <f aca="false">IF(J758="","",J758*$B$15)</f>
        <v>1.119744</v>
      </c>
      <c r="L758" s="16" t="n">
        <f aca="false">IF(D758="","",H758+E758-K758-G758*I758)</f>
        <v>142.498185769133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14.3631359854261</v>
      </c>
      <c r="N758" s="16" t="n">
        <f aca="false">IF(D758="","",(I758+M758)/2)</f>
        <v>14.2434510690004</v>
      </c>
      <c r="O758" s="16" t="n">
        <f aca="false">IF(D758="","",G758*N758)</f>
        <v>1.46565111500014</v>
      </c>
      <c r="P758" s="16" t="n">
        <f aca="false">IF(D758="","",H758+E758-K758-O758)</f>
        <v>142.485870191232</v>
      </c>
      <c r="Q758" s="16" t="n">
        <f aca="false">IF(D758="","",IF(P758&gt;=0,K758,MAX(0,K758+P758)))</f>
        <v>1.119744</v>
      </c>
      <c r="R758" s="16" t="n">
        <f aca="false">IF(D758="","",Q758/$B$15)</f>
        <v>0.432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142.485870191232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87.9542408587855</v>
      </c>
      <c r="Z758" s="18" t="n">
        <f aca="false">IF(D758="","",MAX(0,IF(P758&gt;=0,P758,IF(K758+P758&gt;=0,0,P758+K758))))</f>
        <v>142.485870191232</v>
      </c>
      <c r="AA758" s="18" t="n">
        <f aca="false">IF(D758="","",IF(H758&lt;=$B$16,1,IF(H758&gt;=$B$17,$B$21,MATCH(H758,Aux_CAV!$A$2:$A$121,1))))</f>
        <v>22</v>
      </c>
      <c r="AB758" s="18" t="n">
        <f aca="false">IF(D758="","",IF(L758&lt;=$B$16,1,IF(L758&gt;=$B$17,$B$21,MATCH(L758,Aux_CAV!$A$2:$A$121,1))))</f>
        <v>22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3.99421433595656</v>
      </c>
      <c r="E759" s="16" t="n">
        <f aca="false">IF(D759="","",D759*$B$15)</f>
        <v>10.3530035587994</v>
      </c>
      <c r="F759" s="16" t="n">
        <f aca="false" t="array" ref="F759:F759">IF(D759="","",IFERROR(INDEX(Dados_Evap!$C$2:$N$15,MATCH($B$9,Dados_Evap!$A$2:$A$15,0),C759),0))</f>
        <v>81.8</v>
      </c>
      <c r="G759" s="16" t="n">
        <f aca="false">IF(F759="","",F759/1000)</f>
        <v>0.0818</v>
      </c>
      <c r="H759" s="16" t="n">
        <f aca="false">IF(D759="","",MAX(0,MIN($B$8,IFERROR(LOOKUP(2,1/($U$24:U758&lt;&gt;""),$U$24:U758),$B$11))))</f>
        <v>142.485870191232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14.3622393280346</v>
      </c>
      <c r="J759" s="16" t="n">
        <f aca="false">IF(D759="","",$B$12)</f>
        <v>0.432</v>
      </c>
      <c r="K759" s="16" t="n">
        <f aca="false">IF(J759="","",J759*$B$15)</f>
        <v>1.119744</v>
      </c>
      <c r="L759" s="16" t="n">
        <f aca="false">IF(D759="","",H759+E759-K759-G759*I759)</f>
        <v>150.544298572999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14.9489474331287</v>
      </c>
      <c r="N759" s="16" t="n">
        <f aca="false">IF(D759="","",(I759+M759)/2)</f>
        <v>14.6555933805816</v>
      </c>
      <c r="O759" s="16" t="n">
        <f aca="false">IF(D759="","",G759*N759)</f>
        <v>1.19882753853158</v>
      </c>
      <c r="P759" s="16" t="n">
        <f aca="false">IF(D759="","",H759+E759-K759-O759)</f>
        <v>150.5203022115</v>
      </c>
      <c r="Q759" s="16" t="n">
        <f aca="false">IF(D759="","",IF(P759&gt;=0,K759,MAX(0,K759+P759)))</f>
        <v>1.119744</v>
      </c>
      <c r="R759" s="16" t="n">
        <f aca="false">IF(D759="","",Q759/$B$15)</f>
        <v>0.432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150.5203022115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92.9137667972224</v>
      </c>
      <c r="Z759" s="18" t="n">
        <f aca="false">IF(D759="","",MAX(0,IF(P759&gt;=0,P759,IF(K759+P759&gt;=0,0,P759+K759))))</f>
        <v>150.5203022115</v>
      </c>
      <c r="AA759" s="18" t="n">
        <f aca="false">IF(D759="","",IF(H759&lt;=$B$16,1,IF(H759&gt;=$B$17,$B$21,MATCH(H759,Aux_CAV!$A$2:$A$121,1))))</f>
        <v>22</v>
      </c>
      <c r="AB759" s="18" t="n">
        <f aca="false">IF(D759="","",IF(L759&lt;=$B$16,1,IF(L759&gt;=$B$17,$B$21,MATCH(L759,Aux_CAV!$A$2:$A$121,1))))</f>
        <v>22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6.30227974369689</v>
      </c>
      <c r="E760" s="16" t="n">
        <f aca="false">IF(D760="","",D760*$B$15)</f>
        <v>16.3355090956623</v>
      </c>
      <c r="F760" s="16" t="n">
        <f aca="false" t="array" ref="F760:F760">IF(D760="","",IFERROR(INDEX(Dados_Evap!$C$2:$N$15,MATCH($B$9,Dados_Evap!$A$2:$A$15,0),C760),0))</f>
        <v>83.6</v>
      </c>
      <c r="G760" s="16" t="n">
        <f aca="false">IF(F760="","",F760/1000)</f>
        <v>0.0836</v>
      </c>
      <c r="H760" s="16" t="n">
        <f aca="false">IF(D760="","",MAX(0,MIN($B$8,IFERROR(LOOKUP(2,1/($U$24:U759&lt;&gt;""),$U$24:U759),$B$11))))</f>
        <v>150.5203022115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14.9472003356654</v>
      </c>
      <c r="J760" s="16" t="n">
        <f aca="false">IF(D760="","",$B$12)</f>
        <v>0.432</v>
      </c>
      <c r="K760" s="16" t="n">
        <f aca="false">IF(J760="","",J760*$B$15)</f>
        <v>1.119744</v>
      </c>
      <c r="L760" s="16" t="n">
        <f aca="false">IF(D760="","",H760+E760-K760-G760*I760)</f>
        <v>164.486481359101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15.9317152660491</v>
      </c>
      <c r="N760" s="16" t="n">
        <f aca="false">IF(D760="","",(I760+M760)/2)</f>
        <v>15.4394578008573</v>
      </c>
      <c r="O760" s="16" t="n">
        <f aca="false">IF(D760="","",G760*N760)</f>
        <v>1.29073867215167</v>
      </c>
      <c r="P760" s="16" t="n">
        <f aca="false">IF(D760="","",H760+E760-K760-O760)</f>
        <v>164.445328635011</v>
      </c>
      <c r="Q760" s="16" t="n">
        <f aca="false">IF(D760="","",IF(P760&gt;=0,K760,MAX(0,K760+P760)))</f>
        <v>1.119744</v>
      </c>
      <c r="R760" s="16" t="n">
        <f aca="false">IF(D760="","",Q760/$B$15)</f>
        <v>0.432</v>
      </c>
      <c r="S760" s="16" t="n">
        <f aca="false">IF(D760="","",MAX(0,J760-R760))</f>
        <v>0</v>
      </c>
      <c r="T760" s="16" t="n">
        <f aca="false">IF(D760="","",MAX(0,Z760-$B$8))</f>
        <v>2.44532863501092</v>
      </c>
      <c r="U760" s="16" t="n">
        <f aca="false">IF(D760="","",MAX(0,MIN($B$8,Z760)))</f>
        <v>162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100</v>
      </c>
      <c r="Z760" s="18" t="n">
        <f aca="false">IF(D760="","",MAX(0,IF(P760&gt;=0,P760,IF(K760+P760&gt;=0,0,P760+K760))))</f>
        <v>164.445328635011</v>
      </c>
      <c r="AA760" s="18" t="n">
        <f aca="false">IF(D760="","",IF(H760&lt;=$B$16,1,IF(H760&gt;=$B$17,$B$21,MATCH(H760,Aux_CAV!$A$2:$A$121,1))))</f>
        <v>22</v>
      </c>
      <c r="AB760" s="18" t="n">
        <f aca="false">IF(D760="","",IF(L760&lt;=$B$16,1,IF(L760&gt;=$B$17,$B$21,MATCH(L760,Aux_CAV!$A$2:$A$121,1))))</f>
        <v>23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5.90314161327824</v>
      </c>
      <c r="E761" s="16" t="n">
        <f aca="false">IF(D761="","",D761*$B$15)</f>
        <v>15.3009430616172</v>
      </c>
      <c r="F761" s="16" t="n">
        <f aca="false" t="array" ref="F761:F761">IF(D761="","",IFERROR(INDEX(Dados_Evap!$C$2:$N$15,MATCH($B$9,Dados_Evap!$A$2:$A$15,0),C761),0))</f>
        <v>108.2</v>
      </c>
      <c r="G761" s="16" t="n">
        <f aca="false">IF(F761="","",F761/1000)</f>
        <v>0.1082</v>
      </c>
      <c r="H761" s="16" t="n">
        <f aca="false">IF(D761="","",MAX(0,MIN($B$8,IFERROR(LOOKUP(2,1/($U$24:U760&lt;&gt;""),$U$24:U760),$B$11))))</f>
        <v>162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15.783</v>
      </c>
      <c r="J761" s="16" t="n">
        <f aca="false">IF(D761="","",$B$12)</f>
        <v>0.432</v>
      </c>
      <c r="K761" s="16" t="n">
        <f aca="false">IF(J761="","",J761*$B$15)</f>
        <v>1.119744</v>
      </c>
      <c r="L761" s="16" t="n">
        <f aca="false">IF(D761="","",H761+E761-K761-G761*I761)</f>
        <v>174.473478461617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16.5290328070377</v>
      </c>
      <c r="N761" s="16" t="n">
        <f aca="false">IF(D761="","",(I761+M761)/2)</f>
        <v>16.1560164035188</v>
      </c>
      <c r="O761" s="16" t="n">
        <f aca="false">IF(D761="","",G761*N761)</f>
        <v>1.74808097486074</v>
      </c>
      <c r="P761" s="16" t="n">
        <f aca="false">IF(D761="","",H761+E761-K761-O761)</f>
        <v>174.433118086756</v>
      </c>
      <c r="Q761" s="16" t="n">
        <f aca="false">IF(D761="","",IF(P761&gt;=0,K761,MAX(0,K761+P761)))</f>
        <v>1.119744</v>
      </c>
      <c r="R761" s="16" t="n">
        <f aca="false">IF(D761="","",Q761/$B$15)</f>
        <v>0.432</v>
      </c>
      <c r="S761" s="16" t="n">
        <f aca="false">IF(D761="","",MAX(0,J761-R761))</f>
        <v>0</v>
      </c>
      <c r="T761" s="16" t="n">
        <f aca="false">IF(D761="","",MAX(0,Z761-$B$8))</f>
        <v>12.4331180867565</v>
      </c>
      <c r="U761" s="16" t="n">
        <f aca="false">IF(D761="","",MAX(0,MIN($B$8,Z761)))</f>
        <v>162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100</v>
      </c>
      <c r="Z761" s="18" t="n">
        <f aca="false">IF(D761="","",MAX(0,IF(P761&gt;=0,P761,IF(K761+P761&gt;=0,0,P761+K761))))</f>
        <v>174.433118086756</v>
      </c>
      <c r="AA761" s="18" t="n">
        <f aca="false">IF(D761="","",IF(H761&lt;=$B$16,1,IF(H761&gt;=$B$17,$B$21,MATCH(H761,Aux_CAV!$A$2:$A$121,1))))</f>
        <v>23</v>
      </c>
      <c r="AB761" s="18" t="n">
        <f aca="false">IF(D761="","",IF(L761&lt;=$B$16,1,IF(L761&gt;=$B$17,$B$21,MATCH(L761,Aux_CAV!$A$2:$A$121,1))))</f>
        <v>23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5.06609753149819</v>
      </c>
      <c r="E762" s="16" t="n">
        <f aca="false">IF(D762="","",D762*$B$15)</f>
        <v>13.1313248016433</v>
      </c>
      <c r="F762" s="16" t="n">
        <f aca="false" t="array" ref="F762:F762">IF(D762="","",IFERROR(INDEX(Dados_Evap!$C$2:$N$15,MATCH($B$9,Dados_Evap!$A$2:$A$15,0),C762),0))</f>
        <v>149</v>
      </c>
      <c r="G762" s="16" t="n">
        <f aca="false">IF(F762="","",F762/1000)</f>
        <v>0.149</v>
      </c>
      <c r="H762" s="16" t="n">
        <f aca="false">IF(D762="","",MAX(0,MIN($B$8,IFERROR(LOOKUP(2,1/($U$24:U761&lt;&gt;""),$U$24:U761),$B$11))))</f>
        <v>162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15.783</v>
      </c>
      <c r="J762" s="16" t="n">
        <f aca="false">IF(D762="","",$B$12)</f>
        <v>0.432</v>
      </c>
      <c r="K762" s="16" t="n">
        <f aca="false">IF(J762="","",J762*$B$15)</f>
        <v>1.119744</v>
      </c>
      <c r="L762" s="16" t="n">
        <f aca="false">IF(D762="","",H762+E762-K762-G762*I762)</f>
        <v>171.659913801643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16.3607548445173</v>
      </c>
      <c r="N762" s="16" t="n">
        <f aca="false">IF(D762="","",(I762+M762)/2)</f>
        <v>16.0718774222587</v>
      </c>
      <c r="O762" s="16" t="n">
        <f aca="false">IF(D762="","",G762*N762)</f>
        <v>2.39470973591654</v>
      </c>
      <c r="P762" s="16" t="n">
        <f aca="false">IF(D762="","",H762+E762-K762-O762)</f>
        <v>171.616871065727</v>
      </c>
      <c r="Q762" s="16" t="n">
        <f aca="false">IF(D762="","",IF(P762&gt;=0,K762,MAX(0,K762+P762)))</f>
        <v>1.119744</v>
      </c>
      <c r="R762" s="16" t="n">
        <f aca="false">IF(D762="","",Q762/$B$15)</f>
        <v>0.432</v>
      </c>
      <c r="S762" s="16" t="n">
        <f aca="false">IF(D762="","",MAX(0,J762-R762))</f>
        <v>0</v>
      </c>
      <c r="T762" s="16" t="n">
        <f aca="false">IF(D762="","",MAX(0,Z762-$B$8))</f>
        <v>9.61687106572677</v>
      </c>
      <c r="U762" s="16" t="n">
        <f aca="false">IF(D762="","",MAX(0,MIN($B$8,Z762)))</f>
        <v>162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100</v>
      </c>
      <c r="Z762" s="18" t="n">
        <f aca="false">IF(D762="","",MAX(0,IF(P762&gt;=0,P762,IF(K762+P762&gt;=0,0,P762+K762))))</f>
        <v>171.616871065727</v>
      </c>
      <c r="AA762" s="18" t="n">
        <f aca="false">IF(D762="","",IF(H762&lt;=$B$16,1,IF(H762&gt;=$B$17,$B$21,MATCH(H762,Aux_CAV!$A$2:$A$121,1))))</f>
        <v>23</v>
      </c>
      <c r="AB762" s="18" t="n">
        <f aca="false">IF(D762="","",IF(L762&lt;=$B$16,1,IF(L762&gt;=$B$17,$B$21,MATCH(L762,Aux_CAV!$A$2:$A$121,1))))</f>
        <v>23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1.1993624228807</v>
      </c>
      <c r="E763" s="16" t="n">
        <f aca="false">IF(D763="","",D763*$B$15)</f>
        <v>3.10874740010677</v>
      </c>
      <c r="F763" s="16" t="n">
        <f aca="false" t="array" ref="F763:F763">IF(D763="","",IFERROR(INDEX(Dados_Evap!$C$2:$N$15,MATCH($B$9,Dados_Evap!$A$2:$A$15,0),C763),0))</f>
        <v>206.8</v>
      </c>
      <c r="G763" s="16" t="n">
        <f aca="false">IF(F763="","",F763/1000)</f>
        <v>0.2068</v>
      </c>
      <c r="H763" s="16" t="n">
        <f aca="false">IF(D763="","",MAX(0,MIN($B$8,IFERROR(LOOKUP(2,1/($U$24:U762&lt;&gt;""),$U$24:U762),$B$11))))</f>
        <v>162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15.783</v>
      </c>
      <c r="J763" s="16" t="n">
        <f aca="false">IF(D763="","",$B$12)</f>
        <v>0.432</v>
      </c>
      <c r="K763" s="16" t="n">
        <f aca="false">IF(J763="","",J763*$B$15)</f>
        <v>1.119744</v>
      </c>
      <c r="L763" s="16" t="n">
        <f aca="false">IF(D763="","",H763+E763-K763-G763*I763)</f>
        <v>160.725079000107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15.6901771257923</v>
      </c>
      <c r="N763" s="16" t="n">
        <f aca="false">IF(D763="","",(I763+M763)/2)</f>
        <v>15.7365885628962</v>
      </c>
      <c r="O763" s="16" t="n">
        <f aca="false">IF(D763="","",G763*N763)</f>
        <v>3.25432651480693</v>
      </c>
      <c r="P763" s="16" t="n">
        <f aca="false">IF(D763="","",H763+E763-K763-O763)</f>
        <v>160.7346768853</v>
      </c>
      <c r="Q763" s="16" t="n">
        <f aca="false">IF(D763="","",IF(P763&gt;=0,K763,MAX(0,K763+P763)))</f>
        <v>1.119744</v>
      </c>
      <c r="R763" s="16" t="n">
        <f aca="false">IF(D763="","",Q763/$B$15)</f>
        <v>0.432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160.7346768853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99.2189363489505</v>
      </c>
      <c r="Z763" s="18" t="n">
        <f aca="false">IF(D763="","",MAX(0,IF(P763&gt;=0,P763,IF(K763+P763&gt;=0,0,P763+K763))))</f>
        <v>160.7346768853</v>
      </c>
      <c r="AA763" s="18" t="n">
        <f aca="false">IF(D763="","",IF(H763&lt;=$B$16,1,IF(H763&gt;=$B$17,$B$21,MATCH(H763,Aux_CAV!$A$2:$A$121,1))))</f>
        <v>23</v>
      </c>
      <c r="AB763" s="18" t="n">
        <f aca="false">IF(D763="","",IF(L763&lt;=$B$16,1,IF(L763&gt;=$B$17,$B$21,MATCH(L763,Aux_CAV!$A$2:$A$121,1))))</f>
        <v>22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0.699678915484719</v>
      </c>
      <c r="E764" s="16" t="n">
        <f aca="false">IF(D764="","",D764*$B$15)</f>
        <v>1.81356774893639</v>
      </c>
      <c r="F764" s="16" t="n">
        <f aca="false" t="array" ref="F764:F764">IF(D764="","",IFERROR(INDEX(Dados_Evap!$C$2:$N$15,MATCH($B$9,Dados_Evap!$A$2:$A$15,0),C764),0))</f>
        <v>245.9</v>
      </c>
      <c r="G764" s="16" t="n">
        <f aca="false">IF(F764="","",F764/1000)</f>
        <v>0.2459</v>
      </c>
      <c r="H764" s="16" t="n">
        <f aca="false">IF(D764="","",MAX(0,MIN($B$8,IFERROR(LOOKUP(2,1/($U$24:U763&lt;&gt;""),$U$24:U763),$B$11))))</f>
        <v>160.7346768853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15.6908759167684</v>
      </c>
      <c r="J764" s="16" t="n">
        <f aca="false">IF(D764="","",$B$12)</f>
        <v>0.432</v>
      </c>
      <c r="K764" s="16" t="n">
        <f aca="false">IF(J764="","",J764*$B$15)</f>
        <v>1.119744</v>
      </c>
      <c r="L764" s="16" t="n">
        <f aca="false">IF(D764="","",H764+E764-K764-G764*I764)</f>
        <v>157.570114246303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15.4604743469563</v>
      </c>
      <c r="N764" s="16" t="n">
        <f aca="false">IF(D764="","",(I764+M764)/2)</f>
        <v>15.5756751318623</v>
      </c>
      <c r="O764" s="16" t="n">
        <f aca="false">IF(D764="","",G764*N764)</f>
        <v>3.83005851492495</v>
      </c>
      <c r="P764" s="16" t="n">
        <f aca="false">IF(D764="","",H764+E764-K764-O764)</f>
        <v>157.598442119311</v>
      </c>
      <c r="Q764" s="16" t="n">
        <f aca="false">IF(D764="","",IF(P764&gt;=0,K764,MAX(0,K764+P764)))</f>
        <v>1.119744</v>
      </c>
      <c r="R764" s="16" t="n">
        <f aca="false">IF(D764="","",Q764/$B$15)</f>
        <v>0.432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157.598442119311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97.2829889625378</v>
      </c>
      <c r="Z764" s="18" t="n">
        <f aca="false">IF(D764="","",MAX(0,IF(P764&gt;=0,P764,IF(K764+P764&gt;=0,0,P764+K764))))</f>
        <v>157.598442119311</v>
      </c>
      <c r="AA764" s="18" t="n">
        <f aca="false">IF(D764="","",IF(H764&lt;=$B$16,1,IF(H764&gt;=$B$17,$B$21,MATCH(H764,Aux_CAV!$A$2:$A$121,1))))</f>
        <v>22</v>
      </c>
      <c r="AB764" s="18" t="n">
        <f aca="false">IF(D764="","",IF(L764&lt;=$B$16,1,IF(L764&gt;=$B$17,$B$21,MATCH(L764,Aux_CAV!$A$2:$A$121,1))))</f>
        <v>22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1.05826409655011</v>
      </c>
      <c r="E765" s="16" t="n">
        <f aca="false">IF(D765="","",D765*$B$15)</f>
        <v>2.74302053825789</v>
      </c>
      <c r="F765" s="16" t="n">
        <f aca="false" t="array" ref="F765:F765">IF(D765="","",IFERROR(INDEX(Dados_Evap!$C$2:$N$15,MATCH($B$9,Dados_Evap!$A$2:$A$15,0),C765),0))</f>
        <v>282.3</v>
      </c>
      <c r="G765" s="16" t="n">
        <f aca="false">IF(F765="","",F765/1000)</f>
        <v>0.2823</v>
      </c>
      <c r="H765" s="16" t="n">
        <f aca="false">IF(D765="","",MAX(0,MIN($B$8,IFERROR(LOOKUP(2,1/($U$24:U764&lt;&gt;""),$U$24:U764),$B$11))))</f>
        <v>157.598442119311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15.4625368077621</v>
      </c>
      <c r="J765" s="16" t="n">
        <f aca="false">IF(D765="","",$B$12)</f>
        <v>0.432</v>
      </c>
      <c r="K765" s="16" t="n">
        <f aca="false">IF(J765="","",J765*$B$15)</f>
        <v>1.119744</v>
      </c>
      <c r="L765" s="16" t="n">
        <f aca="false">IF(D765="","",H765+E765-K765-G765*I765)</f>
        <v>154.856644516738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15.2629153927977</v>
      </c>
      <c r="N765" s="16" t="n">
        <f aca="false">IF(D765="","",(I765+M765)/2)</f>
        <v>15.3627261002799</v>
      </c>
      <c r="O765" s="16" t="n">
        <f aca="false">IF(D765="","",G765*N765)</f>
        <v>4.33689757810902</v>
      </c>
      <c r="P765" s="16" t="n">
        <f aca="false">IF(D765="","",H765+E765-K765-O765)</f>
        <v>154.88482107946</v>
      </c>
      <c r="Q765" s="16" t="n">
        <f aca="false">IF(D765="","",IF(P765&gt;=0,K765,MAX(0,K765+P765)))</f>
        <v>1.119744</v>
      </c>
      <c r="R765" s="16" t="n">
        <f aca="false">IF(D765="","",Q765/$B$15)</f>
        <v>0.432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154.88482107946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95.6079142465803</v>
      </c>
      <c r="Z765" s="18" t="n">
        <f aca="false">IF(D765="","",MAX(0,IF(P765&gt;=0,P765,IF(K765+P765&gt;=0,0,P765+K765))))</f>
        <v>154.88482107946</v>
      </c>
      <c r="AA765" s="18" t="n">
        <f aca="false">IF(D765="","",IF(H765&lt;=$B$16,1,IF(H765&gt;=$B$17,$B$21,MATCH(H765,Aux_CAV!$A$2:$A$121,1))))</f>
        <v>22</v>
      </c>
      <c r="AB765" s="18" t="n">
        <f aca="false">IF(D765="","",IF(L765&lt;=$B$16,1,IF(L765&gt;=$B$17,$B$21,MATCH(L765,Aux_CAV!$A$2:$A$121,1))))</f>
        <v>22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0.72450994910096</v>
      </c>
      <c r="E766" s="16" t="n">
        <f aca="false">IF(D766="","",D766*$B$15)</f>
        <v>1.87792978806969</v>
      </c>
      <c r="F766" s="16" t="n">
        <f aca="false" t="array" ref="F766:F766">IF(D766="","",IFERROR(INDEX(Dados_Evap!$C$2:$N$15,MATCH($B$9,Dados_Evap!$A$2:$A$15,0),C766),0))</f>
        <v>241.3</v>
      </c>
      <c r="G766" s="16" t="n">
        <f aca="false">IF(F766="","",F766/1000)</f>
        <v>0.2413</v>
      </c>
      <c r="H766" s="16" t="n">
        <f aca="false">IF(D766="","",MAX(0,MIN($B$8,IFERROR(LOOKUP(2,1/($U$24:U765&lt;&gt;""),$U$24:U765),$B$11))))</f>
        <v>154.88482107946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15.264966837191</v>
      </c>
      <c r="J766" s="16" t="n">
        <f aca="false">IF(D766="","",$B$12)</f>
        <v>0.432</v>
      </c>
      <c r="K766" s="16" t="n">
        <f aca="false">IF(J766="","",J766*$B$15)</f>
        <v>1.119744</v>
      </c>
      <c r="L766" s="16" t="n">
        <f aca="false">IF(D766="","",H766+E766-K766-G766*I766)</f>
        <v>151.959570369716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15.0519887948816</v>
      </c>
      <c r="N766" s="16" t="n">
        <f aca="false">IF(D766="","",(I766+M766)/2)</f>
        <v>15.1584778160363</v>
      </c>
      <c r="O766" s="16" t="n">
        <f aca="false">IF(D766="","",G766*N766)</f>
        <v>3.65774069700956</v>
      </c>
      <c r="P766" s="16" t="n">
        <f aca="false">IF(D766="","",H766+E766-K766-O766)</f>
        <v>151.98526617052</v>
      </c>
      <c r="Q766" s="16" t="n">
        <f aca="false">IF(D766="","",IF(P766&gt;=0,K766,MAX(0,K766+P766)))</f>
        <v>1.119744</v>
      </c>
      <c r="R766" s="16" t="n">
        <f aca="false">IF(D766="","",Q766/$B$15)</f>
        <v>0.432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151.98526617052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93.8180655373582</v>
      </c>
      <c r="Z766" s="18" t="n">
        <f aca="false">IF(D766="","",MAX(0,IF(P766&gt;=0,P766,IF(K766+P766&gt;=0,0,P766+K766))))</f>
        <v>151.98526617052</v>
      </c>
      <c r="AA766" s="18" t="n">
        <f aca="false">IF(D766="","",IF(H766&lt;=$B$16,1,IF(H766&gt;=$B$17,$B$21,MATCH(H766,Aux_CAV!$A$2:$A$121,1))))</f>
        <v>22</v>
      </c>
      <c r="AB766" s="18" t="n">
        <f aca="false">IF(D766="","",IF(L766&lt;=$B$16,1,IF(L766&gt;=$B$17,$B$21,MATCH(L766,Aux_CAV!$A$2:$A$121,1))))</f>
        <v>22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0.595528284694408</v>
      </c>
      <c r="E767" s="16" t="n">
        <f aca="false">IF(D767="","",D767*$B$15)</f>
        <v>1.54360931392791</v>
      </c>
      <c r="F767" s="16" t="n">
        <f aca="false" t="array" ref="F767:F767">IF(D767="","",IFERROR(INDEX(Dados_Evap!$C$2:$N$15,MATCH($B$9,Dados_Evap!$A$2:$A$15,0),C767),0))</f>
        <v>241.8</v>
      </c>
      <c r="G767" s="16" t="n">
        <f aca="false">IF(F767="","",F767/1000)</f>
        <v>0.2418</v>
      </c>
      <c r="H767" s="16" t="n">
        <f aca="false">IF(D767="","",MAX(0,MIN($B$8,IFERROR(LOOKUP(2,1/($U$24:U766&lt;&gt;""),$U$24:U766),$B$11))))</f>
        <v>151.98526617052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15.0538596230238</v>
      </c>
      <c r="J767" s="16" t="n">
        <f aca="false">IF(D767="","",$B$12)</f>
        <v>0.432</v>
      </c>
      <c r="K767" s="16" t="n">
        <f aca="false">IF(J767="","",J767*$B$15)</f>
        <v>1.119744</v>
      </c>
      <c r="L767" s="16" t="n">
        <f aca="false">IF(D767="","",H767+E767-K767-G767*I767)</f>
        <v>148.769108227601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14.8197015660207</v>
      </c>
      <c r="N767" s="16" t="n">
        <f aca="false">IF(D767="","",(I767+M767)/2)</f>
        <v>14.9367805945222</v>
      </c>
      <c r="O767" s="16" t="n">
        <f aca="false">IF(D767="","",G767*N767)</f>
        <v>3.61171354775548</v>
      </c>
      <c r="P767" s="16" t="n">
        <f aca="false">IF(D767="","",H767+E767-K767-O767)</f>
        <v>148.797417936693</v>
      </c>
      <c r="Q767" s="16" t="n">
        <f aca="false">IF(D767="","",IF(P767&gt;=0,K767,MAX(0,K767+P767)))</f>
        <v>1.119744</v>
      </c>
      <c r="R767" s="16" t="n">
        <f aca="false">IF(D767="","",Q767/$B$15)</f>
        <v>0.432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148.797417936693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91.8502579856128</v>
      </c>
      <c r="Z767" s="18" t="n">
        <f aca="false">IF(D767="","",MAX(0,IF(P767&gt;=0,P767,IF(K767+P767&gt;=0,0,P767+K767))))</f>
        <v>148.797417936693</v>
      </c>
      <c r="AA767" s="18" t="n">
        <f aca="false">IF(D767="","",IF(H767&lt;=$B$16,1,IF(H767&gt;=$B$17,$B$21,MATCH(H767,Aux_CAV!$A$2:$A$121,1))))</f>
        <v>22</v>
      </c>
      <c r="AB767" s="18" t="n">
        <f aca="false">IF(D767="","",IF(L767&lt;=$B$16,1,IF(L767&gt;=$B$17,$B$21,MATCH(L767,Aux_CAV!$A$2:$A$121,1))))</f>
        <v>22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0.679942287914873</v>
      </c>
      <c r="E768" s="16" t="n">
        <f aca="false">IF(D768="","",D768*$B$15)</f>
        <v>1.76241041027535</v>
      </c>
      <c r="F768" s="16" t="n">
        <f aca="false" t="array" ref="F768:F768">IF(D768="","",IFERROR(INDEX(Dados_Evap!$C$2:$N$15,MATCH($B$9,Dados_Evap!$A$2:$A$15,0),C768),0))</f>
        <v>189</v>
      </c>
      <c r="G768" s="16" t="n">
        <f aca="false">IF(F768="","",F768/1000)</f>
        <v>0.189</v>
      </c>
      <c r="H768" s="16" t="n">
        <f aca="false">IF(D768="","",MAX(0,MIN($B$8,IFERROR(LOOKUP(2,1/($U$24:U767&lt;&gt;""),$U$24:U767),$B$11))))</f>
        <v>148.797417936693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14.8217627043705</v>
      </c>
      <c r="J768" s="16" t="n">
        <f aca="false">IF(D768="","",$B$12)</f>
        <v>0.432</v>
      </c>
      <c r="K768" s="16" t="n">
        <f aca="false">IF(J768="","",J768*$B$15)</f>
        <v>1.119744</v>
      </c>
      <c r="L768" s="16" t="n">
        <f aca="false">IF(D768="","",H768+E768-K768-G768*I768)</f>
        <v>146.638771195842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14.664598617418</v>
      </c>
      <c r="N768" s="16" t="n">
        <f aca="false">IF(D768="","",(I768+M768)/2)</f>
        <v>14.7431806608942</v>
      </c>
      <c r="O768" s="16" t="n">
        <f aca="false">IF(D768="","",G768*N768)</f>
        <v>2.78646114490901</v>
      </c>
      <c r="P768" s="16" t="n">
        <f aca="false">IF(D768="","",H768+E768-K768-O768)</f>
        <v>146.653623202059</v>
      </c>
      <c r="Q768" s="16" t="n">
        <f aca="false">IF(D768="","",IF(P768&gt;=0,K768,MAX(0,K768+P768)))</f>
        <v>1.119744</v>
      </c>
      <c r="R768" s="16" t="n">
        <f aca="false">IF(D768="","",Q768/$B$15)</f>
        <v>0.432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146.653623202059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90.5269279025056</v>
      </c>
      <c r="Z768" s="18" t="n">
        <f aca="false">IF(D768="","",MAX(0,IF(P768&gt;=0,P768,IF(K768+P768&gt;=0,0,P768+K768))))</f>
        <v>146.653623202059</v>
      </c>
      <c r="AA768" s="18" t="n">
        <f aca="false">IF(D768="","",IF(H768&lt;=$B$16,1,IF(H768&gt;=$B$17,$B$21,MATCH(H768,Aux_CAV!$A$2:$A$121,1))))</f>
        <v>22</v>
      </c>
      <c r="AB768" s="18" t="n">
        <f aca="false">IF(D768="","",IF(L768&lt;=$B$16,1,IF(L768&gt;=$B$17,$B$21,MATCH(L768,Aux_CAV!$A$2:$A$121,1))))</f>
        <v>22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1.13363311569845</v>
      </c>
      <c r="E769" s="16" t="n">
        <f aca="false">IF(D769="","",D769*$B$15)</f>
        <v>2.93837703589038</v>
      </c>
      <c r="F769" s="16" t="n">
        <f aca="false" t="array" ref="F769:F769">IF(D769="","",IFERROR(INDEX(Dados_Evap!$C$2:$N$15,MATCH($B$9,Dados_Evap!$A$2:$A$15,0),C769),0))</f>
        <v>136.9</v>
      </c>
      <c r="G769" s="16" t="n">
        <f aca="false">IF(F769="","",F769/1000)</f>
        <v>0.1369</v>
      </c>
      <c r="H769" s="16" t="n">
        <f aca="false">IF(D769="","",MAX(0,MIN($B$8,IFERROR(LOOKUP(2,1/($U$24:U768&lt;&gt;""),$U$24:U768),$B$11))))</f>
        <v>146.653623202059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14.6656799439511</v>
      </c>
      <c r="J769" s="16" t="n">
        <f aca="false">IF(D769="","",$B$12)</f>
        <v>0.432</v>
      </c>
      <c r="K769" s="16" t="n">
        <f aca="false">IF(J769="","",J769*$B$15)</f>
        <v>1.119744</v>
      </c>
      <c r="L769" s="16" t="n">
        <f aca="false">IF(D769="","",H769+E769-K769-G769*I769)</f>
        <v>146.464524653623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14.651912290288</v>
      </c>
      <c r="N769" s="16" t="n">
        <f aca="false">IF(D769="","",(I769+M769)/2)</f>
        <v>14.6587961171196</v>
      </c>
      <c r="O769" s="16" t="n">
        <f aca="false">IF(D769="","",G769*N769)</f>
        <v>2.00678918843367</v>
      </c>
      <c r="P769" s="16" t="n">
        <f aca="false">IF(D769="","",H769+E769-K769-O769)</f>
        <v>146.465467049516</v>
      </c>
      <c r="Q769" s="16" t="n">
        <f aca="false">IF(D769="","",IF(P769&gt;=0,K769,MAX(0,K769+P769)))</f>
        <v>1.119744</v>
      </c>
      <c r="R769" s="16" t="n">
        <f aca="false">IF(D769="","",Q769/$B$15)</f>
        <v>0.432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146.465467049516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90.4107821293307</v>
      </c>
      <c r="Z769" s="18" t="n">
        <f aca="false">IF(D769="","",MAX(0,IF(P769&gt;=0,P769,IF(K769+P769&gt;=0,0,P769+K769))))</f>
        <v>146.465467049516</v>
      </c>
      <c r="AA769" s="18" t="n">
        <f aca="false">IF(D769="","",IF(H769&lt;=$B$16,1,IF(H769&gt;=$B$17,$B$21,MATCH(H769,Aux_CAV!$A$2:$A$121,1))))</f>
        <v>22</v>
      </c>
      <c r="AB769" s="18" t="n">
        <f aca="false">IF(D769="","",IF(L769&lt;=$B$16,1,IF(L769&gt;=$B$17,$B$21,MATCH(L769,Aux_CAV!$A$2:$A$121,1))))</f>
        <v>22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1.91113232717219</v>
      </c>
      <c r="E770" s="16" t="n">
        <f aca="false">IF(D770="","",D770*$B$15)</f>
        <v>4.95365499203032</v>
      </c>
      <c r="F770" s="16" t="n">
        <f aca="false" t="array" ref="F770:F770">IF(D770="","",IFERROR(INDEX(Dados_Evap!$C$2:$N$15,MATCH($B$9,Dados_Evap!$A$2:$A$15,0),C770),0))</f>
        <v>102.9</v>
      </c>
      <c r="G770" s="16" t="n">
        <f aca="false">IF(F770="","",F770/1000)</f>
        <v>0.1029</v>
      </c>
      <c r="H770" s="16" t="n">
        <f aca="false">IF(D770="","",MAX(0,MIN($B$8,IFERROR(LOOKUP(2,1/($U$24:U769&lt;&gt;""),$U$24:U769),$B$11))))</f>
        <v>146.465467049516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14.6519809030848</v>
      </c>
      <c r="J770" s="16" t="n">
        <f aca="false">IF(D770="","",$B$12)</f>
        <v>0.432</v>
      </c>
      <c r="K770" s="16" t="n">
        <f aca="false">IF(J770="","",J770*$B$15)</f>
        <v>1.119744</v>
      </c>
      <c r="L770" s="16" t="n">
        <f aca="false">IF(D770="","",H770+E770-K770-G770*I770)</f>
        <v>148.791689206619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14.8213456140636</v>
      </c>
      <c r="N770" s="16" t="n">
        <f aca="false">IF(D770="","",(I770+M770)/2)</f>
        <v>14.7366632585742</v>
      </c>
      <c r="O770" s="16" t="n">
        <f aca="false">IF(D770="","",G770*N770)</f>
        <v>1.51640264930729</v>
      </c>
      <c r="P770" s="16" t="n">
        <f aca="false">IF(D770="","",H770+E770-K770-O770)</f>
        <v>148.782975392239</v>
      </c>
      <c r="Q770" s="16" t="n">
        <f aca="false">IF(D770="","",IF(P770&gt;=0,K770,MAX(0,K770+P770)))</f>
        <v>1.119744</v>
      </c>
      <c r="R770" s="16" t="n">
        <f aca="false">IF(D770="","",Q770/$B$15)</f>
        <v>0.432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148.782975392239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91.8413428347153</v>
      </c>
      <c r="Z770" s="18" t="n">
        <f aca="false">IF(D770="","",MAX(0,IF(P770&gt;=0,P770,IF(K770+P770&gt;=0,0,P770+K770))))</f>
        <v>148.782975392239</v>
      </c>
      <c r="AA770" s="18" t="n">
        <f aca="false">IF(D770="","",IF(H770&lt;=$B$16,1,IF(H770&gt;=$B$17,$B$21,MATCH(H770,Aux_CAV!$A$2:$A$121,1))))</f>
        <v>22</v>
      </c>
      <c r="AB770" s="18" t="n">
        <f aca="false">IF(D770="","",IF(L770&lt;=$B$16,1,IF(L770&gt;=$B$17,$B$21,MATCH(L770,Aux_CAV!$A$2:$A$121,1))))</f>
        <v>22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2.5789742439707</v>
      </c>
      <c r="E771" s="16" t="n">
        <f aca="false">IF(D771="","",D771*$B$15)</f>
        <v>6.68470124037206</v>
      </c>
      <c r="F771" s="16" t="n">
        <f aca="false" t="array" ref="F771:F771">IF(D771="","",IFERROR(INDEX(Dados_Evap!$C$2:$N$15,MATCH($B$9,Dados_Evap!$A$2:$A$15,0),C771),0))</f>
        <v>81.8</v>
      </c>
      <c r="G771" s="16" t="n">
        <f aca="false">IF(F771="","",F771/1000)</f>
        <v>0.0818</v>
      </c>
      <c r="H771" s="16" t="n">
        <f aca="false">IF(D771="","",MAX(0,MIN($B$8,IFERROR(LOOKUP(2,1/($U$24:U770&lt;&gt;""),$U$24:U770),$B$11))))</f>
        <v>148.782975392239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14.8207111894239</v>
      </c>
      <c r="J771" s="16" t="n">
        <f aca="false">IF(D771="","",$B$12)</f>
        <v>0.432</v>
      </c>
      <c r="K771" s="16" t="n">
        <f aca="false">IF(J771="","",J771*$B$15)</f>
        <v>1.119744</v>
      </c>
      <c r="L771" s="16" t="n">
        <f aca="false">IF(D771="","",H771+E771-K771-G771*I771)</f>
        <v>153.135598457316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15.1376115960192</v>
      </c>
      <c r="N771" s="16" t="n">
        <f aca="false">IF(D771="","",(I771+M771)/2)</f>
        <v>14.9791613927215</v>
      </c>
      <c r="O771" s="16" t="n">
        <f aca="false">IF(D771="","",G771*N771)</f>
        <v>1.22529540192462</v>
      </c>
      <c r="P771" s="16" t="n">
        <f aca="false">IF(D771="","",H771+E771-K771-O771)</f>
        <v>153.122637230686</v>
      </c>
      <c r="Q771" s="16" t="n">
        <f aca="false">IF(D771="","",IF(P771&gt;=0,K771,MAX(0,K771+P771)))</f>
        <v>1.119744</v>
      </c>
      <c r="R771" s="16" t="n">
        <f aca="false">IF(D771="","",Q771/$B$15)</f>
        <v>0.432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153.122637230686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94.5201464386952</v>
      </c>
      <c r="Z771" s="18" t="n">
        <f aca="false">IF(D771="","",MAX(0,IF(P771&gt;=0,P771,IF(K771+P771&gt;=0,0,P771+K771))))</f>
        <v>153.122637230686</v>
      </c>
      <c r="AA771" s="18" t="n">
        <f aca="false">IF(D771="","",IF(H771&lt;=$B$16,1,IF(H771&gt;=$B$17,$B$21,MATCH(H771,Aux_CAV!$A$2:$A$121,1))))</f>
        <v>22</v>
      </c>
      <c r="AB771" s="18" t="n">
        <f aca="false">IF(D771="","",IF(L771&lt;=$B$16,1,IF(L771&gt;=$B$17,$B$21,MATCH(L771,Aux_CAV!$A$2:$A$121,1))))</f>
        <v>22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3.65311525312418</v>
      </c>
      <c r="E772" s="16" t="n">
        <f aca="false">IF(D772="","",D772*$B$15)</f>
        <v>9.46887473609788</v>
      </c>
      <c r="F772" s="16" t="n">
        <f aca="false" t="array" ref="F772:F772">IF(D772="","",IFERROR(INDEX(Dados_Evap!$C$2:$N$15,MATCH($B$9,Dados_Evap!$A$2:$A$15,0),C772),0))</f>
        <v>83.6</v>
      </c>
      <c r="G772" s="16" t="n">
        <f aca="false">IF(F772="","",F772/1000)</f>
        <v>0.0836</v>
      </c>
      <c r="H772" s="16" t="n">
        <f aca="false">IF(D772="","",MAX(0,MIN($B$8,IFERROR(LOOKUP(2,1/($U$24:U771&lt;&gt;""),$U$24:U771),$B$11))))</f>
        <v>153.122637230686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15.136667931032</v>
      </c>
      <c r="J772" s="16" t="n">
        <f aca="false">IF(D772="","",$B$12)</f>
        <v>0.432</v>
      </c>
      <c r="K772" s="16" t="n">
        <f aca="false">IF(J772="","",J772*$B$15)</f>
        <v>1.119744</v>
      </c>
      <c r="L772" s="16" t="n">
        <f aca="false">IF(D772="","",H772+E772-K772-G772*I772)</f>
        <v>160.20634252775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15.6524096011186</v>
      </c>
      <c r="N772" s="16" t="n">
        <f aca="false">IF(D772="","",(I772+M772)/2)</f>
        <v>15.3945387660753</v>
      </c>
      <c r="O772" s="16" t="n">
        <f aca="false">IF(D772="","",G772*N772)</f>
        <v>1.2869834408439</v>
      </c>
      <c r="P772" s="16" t="n">
        <f aca="false">IF(D772="","",H772+E772-K772-O772)</f>
        <v>160.18478452594</v>
      </c>
      <c r="Q772" s="16" t="n">
        <f aca="false">IF(D772="","",IF(P772&gt;=0,K772,MAX(0,K772+P772)))</f>
        <v>1.119744</v>
      </c>
      <c r="R772" s="16" t="n">
        <f aca="false">IF(D772="","",Q772/$B$15)</f>
        <v>0.432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160.18478452594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98.8794966209508</v>
      </c>
      <c r="Z772" s="18" t="n">
        <f aca="false">IF(D772="","",MAX(0,IF(P772&gt;=0,P772,IF(K772+P772&gt;=0,0,P772+K772))))</f>
        <v>160.18478452594</v>
      </c>
      <c r="AA772" s="18" t="n">
        <f aca="false">IF(D772="","",IF(H772&lt;=$B$16,1,IF(H772&gt;=$B$17,$B$21,MATCH(H772,Aux_CAV!$A$2:$A$121,1))))</f>
        <v>22</v>
      </c>
      <c r="AB772" s="18" t="n">
        <f aca="false">IF(D772="","",IF(L772&lt;=$B$16,1,IF(L772&gt;=$B$17,$B$21,MATCH(L772,Aux_CAV!$A$2:$A$121,1))))</f>
        <v>22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2.58023006046108</v>
      </c>
      <c r="E773" s="16" t="n">
        <f aca="false">IF(D773="","",D773*$B$15)</f>
        <v>6.68795631671512</v>
      </c>
      <c r="F773" s="16" t="n">
        <f aca="false" t="array" ref="F773:F773">IF(D773="","",IFERROR(INDEX(Dados_Evap!$C$2:$N$15,MATCH($B$9,Dados_Evap!$A$2:$A$15,0),C773),0))</f>
        <v>108.2</v>
      </c>
      <c r="G773" s="16" t="n">
        <f aca="false">IF(F773="","",F773/1000)</f>
        <v>0.1082</v>
      </c>
      <c r="H773" s="16" t="n">
        <f aca="false">IF(D773="","",MAX(0,MIN($B$8,IFERROR(LOOKUP(2,1/($U$24:U772&lt;&gt;""),$U$24:U772),$B$11))))</f>
        <v>160.18478452594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15.6508400327373</v>
      </c>
      <c r="J773" s="16" t="n">
        <f aca="false">IF(D773="","",$B$12)</f>
        <v>0.432</v>
      </c>
      <c r="K773" s="16" t="n">
        <f aca="false">IF(J773="","",J773*$B$15)</f>
        <v>1.119744</v>
      </c>
      <c r="L773" s="16" t="n">
        <f aca="false">IF(D773="","",H773+E773-K773-G773*I773)</f>
        <v>164.059575951113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15.9061822568856</v>
      </c>
      <c r="N773" s="16" t="n">
        <f aca="false">IF(D773="","",(I773+M773)/2)</f>
        <v>15.7785111448115</v>
      </c>
      <c r="O773" s="16" t="n">
        <f aca="false">IF(D773="","",G773*N773)</f>
        <v>1.7072349058686</v>
      </c>
      <c r="P773" s="16" t="n">
        <f aca="false">IF(D773="","",H773+E773-K773-O773)</f>
        <v>164.045761936787</v>
      </c>
      <c r="Q773" s="16" t="n">
        <f aca="false">IF(D773="","",IF(P773&gt;=0,K773,MAX(0,K773+P773)))</f>
        <v>1.119744</v>
      </c>
      <c r="R773" s="16" t="n">
        <f aca="false">IF(D773="","",Q773/$B$15)</f>
        <v>0.432</v>
      </c>
      <c r="S773" s="16" t="n">
        <f aca="false">IF(D773="","",MAX(0,J773-R773))</f>
        <v>0</v>
      </c>
      <c r="T773" s="16" t="n">
        <f aca="false">IF(D773="","",MAX(0,Z773-$B$8))</f>
        <v>2.04576193678676</v>
      </c>
      <c r="U773" s="16" t="n">
        <f aca="false">IF(D773="","",MAX(0,MIN($B$8,Z773)))</f>
        <v>162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100</v>
      </c>
      <c r="Z773" s="18" t="n">
        <f aca="false">IF(D773="","",MAX(0,IF(P773&gt;=0,P773,IF(K773+P773&gt;=0,0,P773+K773))))</f>
        <v>164.045761936787</v>
      </c>
      <c r="AA773" s="18" t="n">
        <f aca="false">IF(D773="","",IF(H773&lt;=$B$16,1,IF(H773&gt;=$B$17,$B$21,MATCH(H773,Aux_CAV!$A$2:$A$121,1))))</f>
        <v>22</v>
      </c>
      <c r="AB773" s="18" t="n">
        <f aca="false">IF(D773="","",IF(L773&lt;=$B$16,1,IF(L773&gt;=$B$17,$B$21,MATCH(L773,Aux_CAV!$A$2:$A$121,1))))</f>
        <v>23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1.52566538666391</v>
      </c>
      <c r="E774" s="16" t="n">
        <f aca="false">IF(D774="","",D774*$B$15)</f>
        <v>3.95452468223286</v>
      </c>
      <c r="F774" s="16" t="n">
        <f aca="false" t="array" ref="F774:F774">IF(D774="","",IFERROR(INDEX(Dados_Evap!$C$2:$N$15,MATCH($B$9,Dados_Evap!$A$2:$A$15,0),C774),0))</f>
        <v>149</v>
      </c>
      <c r="G774" s="16" t="n">
        <f aca="false">IF(F774="","",F774/1000)</f>
        <v>0.149</v>
      </c>
      <c r="H774" s="16" t="n">
        <f aca="false">IF(D774="","",MAX(0,MIN($B$8,IFERROR(LOOKUP(2,1/($U$24:U773&lt;&gt;""),$U$24:U773),$B$11))))</f>
        <v>162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15.783</v>
      </c>
      <c r="J774" s="16" t="n">
        <f aca="false">IF(D774="","",$B$12)</f>
        <v>0.432</v>
      </c>
      <c r="K774" s="16" t="n">
        <f aca="false">IF(J774="","",J774*$B$15)</f>
        <v>1.119744</v>
      </c>
      <c r="L774" s="16" t="n">
        <f aca="false">IF(D774="","",H774+E774-K774-G774*I774)</f>
        <v>162.483113682233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15.8118947992802</v>
      </c>
      <c r="N774" s="16" t="n">
        <f aca="false">IF(D774="","",(I774+M774)/2)</f>
        <v>15.7974473996401</v>
      </c>
      <c r="O774" s="16" t="n">
        <f aca="false">IF(D774="","",G774*N774)</f>
        <v>2.35381966254638</v>
      </c>
      <c r="P774" s="16" t="n">
        <f aca="false">IF(D774="","",H774+E774-K774-O774)</f>
        <v>162.480961019686</v>
      </c>
      <c r="Q774" s="16" t="n">
        <f aca="false">IF(D774="","",IF(P774&gt;=0,K774,MAX(0,K774+P774)))</f>
        <v>1.119744</v>
      </c>
      <c r="R774" s="16" t="n">
        <f aca="false">IF(D774="","",Q774/$B$15)</f>
        <v>0.432</v>
      </c>
      <c r="S774" s="16" t="n">
        <f aca="false">IF(D774="","",MAX(0,J774-R774))</f>
        <v>0</v>
      </c>
      <c r="T774" s="16" t="n">
        <f aca="false">IF(D774="","",MAX(0,Z774-$B$8))</f>
        <v>0.480961019686475</v>
      </c>
      <c r="U774" s="16" t="n">
        <f aca="false">IF(D774="","",MAX(0,MIN($B$8,Z774)))</f>
        <v>162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100</v>
      </c>
      <c r="Z774" s="18" t="n">
        <f aca="false">IF(D774="","",MAX(0,IF(P774&gt;=0,P774,IF(K774+P774&gt;=0,0,P774+K774))))</f>
        <v>162.480961019686</v>
      </c>
      <c r="AA774" s="18" t="n">
        <f aca="false">IF(D774="","",IF(H774&lt;=$B$16,1,IF(H774&gt;=$B$17,$B$21,MATCH(H774,Aux_CAV!$A$2:$A$121,1))))</f>
        <v>23</v>
      </c>
      <c r="AB774" s="18" t="n">
        <f aca="false">IF(D774="","",IF(L774&lt;=$B$16,1,IF(L774&gt;=$B$17,$B$21,MATCH(L774,Aux_CAV!$A$2:$A$121,1))))</f>
        <v>23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0.84701495110437</v>
      </c>
      <c r="E775" s="16" t="n">
        <f aca="false">IF(D775="","",D775*$B$15)</f>
        <v>2.19546275326253</v>
      </c>
      <c r="F775" s="16" t="n">
        <f aca="false" t="array" ref="F775:F775">IF(D775="","",IFERROR(INDEX(Dados_Evap!$C$2:$N$15,MATCH($B$9,Dados_Evap!$A$2:$A$15,0),C775),0))</f>
        <v>206.8</v>
      </c>
      <c r="G775" s="16" t="n">
        <f aca="false">IF(F775="","",F775/1000)</f>
        <v>0.2068</v>
      </c>
      <c r="H775" s="16" t="n">
        <f aca="false">IF(D775="","",MAX(0,MIN($B$8,IFERROR(LOOKUP(2,1/($U$24:U774&lt;&gt;""),$U$24:U774),$B$11))))</f>
        <v>162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15.783</v>
      </c>
      <c r="J775" s="16" t="n">
        <f aca="false">IF(D775="","",$B$12)</f>
        <v>0.432</v>
      </c>
      <c r="K775" s="16" t="n">
        <f aca="false">IF(J775="","",J775*$B$15)</f>
        <v>1.119744</v>
      </c>
      <c r="L775" s="16" t="n">
        <f aca="false">IF(D775="","",H775+E775-K775-G775*I775)</f>
        <v>159.811794353263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15.6236838247196</v>
      </c>
      <c r="N775" s="16" t="n">
        <f aca="false">IF(D775="","",(I775+M775)/2)</f>
        <v>15.7033419123598</v>
      </c>
      <c r="O775" s="16" t="n">
        <f aca="false">IF(D775="","",G775*N775)</f>
        <v>3.24745110747601</v>
      </c>
      <c r="P775" s="16" t="n">
        <f aca="false">IF(D775="","",H775+E775-K775-O775)</f>
        <v>159.828267645787</v>
      </c>
      <c r="Q775" s="16" t="n">
        <f aca="false">IF(D775="","",IF(P775&gt;=0,K775,MAX(0,K775+P775)))</f>
        <v>1.119744</v>
      </c>
      <c r="R775" s="16" t="n">
        <f aca="false">IF(D775="","",Q775/$B$15)</f>
        <v>0.432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159.828267645787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98.6594244727077</v>
      </c>
      <c r="Z775" s="18" t="n">
        <f aca="false">IF(D775="","",MAX(0,IF(P775&gt;=0,P775,IF(K775+P775&gt;=0,0,P775+K775))))</f>
        <v>159.828267645787</v>
      </c>
      <c r="AA775" s="18" t="n">
        <f aca="false">IF(D775="","",IF(H775&lt;=$B$16,1,IF(H775&gt;=$B$17,$B$21,MATCH(H775,Aux_CAV!$A$2:$A$121,1))))</f>
        <v>23</v>
      </c>
      <c r="AB775" s="18" t="n">
        <f aca="false">IF(D775="","",IF(L775&lt;=$B$16,1,IF(L775&gt;=$B$17,$B$21,MATCH(L775,Aux_CAV!$A$2:$A$121,1))))</f>
        <v>22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0.305994546032656</v>
      </c>
      <c r="E776" s="16" t="n">
        <f aca="false">IF(D776="","",D776*$B$15)</f>
        <v>0.793137863316645</v>
      </c>
      <c r="F776" s="16" t="n">
        <f aca="false" t="array" ref="F776:F776">IF(D776="","",IFERROR(INDEX(Dados_Evap!$C$2:$N$15,MATCH($B$9,Dados_Evap!$A$2:$A$15,0),C776),0))</f>
        <v>245.9</v>
      </c>
      <c r="G776" s="16" t="n">
        <f aca="false">IF(F776="","",F776/1000)</f>
        <v>0.2459</v>
      </c>
      <c r="H776" s="16" t="n">
        <f aca="false">IF(D776="","",MAX(0,MIN($B$8,IFERROR(LOOKUP(2,1/($U$24:U775&lt;&gt;""),$U$24:U775),$B$11))))</f>
        <v>159.828267645787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15.6248831918646</v>
      </c>
      <c r="J776" s="16" t="n">
        <f aca="false">IF(D776="","",$B$12)</f>
        <v>0.432</v>
      </c>
      <c r="K776" s="16" t="n">
        <f aca="false">IF(J776="","",J776*$B$15)</f>
        <v>1.119744</v>
      </c>
      <c r="L776" s="16" t="n">
        <f aca="false">IF(D776="","",H776+E776-K776-G776*I776)</f>
        <v>155.659502732224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15.3213689025829</v>
      </c>
      <c r="N776" s="16" t="n">
        <f aca="false">IF(D776="","",(I776+M776)/2)</f>
        <v>15.4731260472238</v>
      </c>
      <c r="O776" s="16" t="n">
        <f aca="false">IF(D776="","",G776*N776)</f>
        <v>3.80484169501233</v>
      </c>
      <c r="P776" s="16" t="n">
        <f aca="false">IF(D776="","",H776+E776-K776-O776)</f>
        <v>155.696819814091</v>
      </c>
      <c r="Q776" s="16" t="n">
        <f aca="false">IF(D776="","",IF(P776&gt;=0,K776,MAX(0,K776+P776)))</f>
        <v>1.119744</v>
      </c>
      <c r="R776" s="16" t="n">
        <f aca="false">IF(D776="","",Q776/$B$15)</f>
        <v>0.432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155.696819814091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96.1091480333894</v>
      </c>
      <c r="Z776" s="18" t="n">
        <f aca="false">IF(D776="","",MAX(0,IF(P776&gt;=0,P776,IF(K776+P776&gt;=0,0,P776+K776))))</f>
        <v>155.696819814091</v>
      </c>
      <c r="AA776" s="18" t="n">
        <f aca="false">IF(D776="","",IF(H776&lt;=$B$16,1,IF(H776&gt;=$B$17,$B$21,MATCH(H776,Aux_CAV!$A$2:$A$121,1))))</f>
        <v>22</v>
      </c>
      <c r="AB776" s="18" t="n">
        <f aca="false">IF(D776="","",IF(L776&lt;=$B$16,1,IF(L776&gt;=$B$17,$B$21,MATCH(L776,Aux_CAV!$A$2:$A$121,1))))</f>
        <v>22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0.317168461595695</v>
      </c>
      <c r="E777" s="16" t="n">
        <f aca="false">IF(D777="","",D777*$B$15)</f>
        <v>0.822100652456042</v>
      </c>
      <c r="F777" s="16" t="n">
        <f aca="false" t="array" ref="F777:F777">IF(D777="","",IFERROR(INDEX(Dados_Evap!$C$2:$N$15,MATCH($B$9,Dados_Evap!$A$2:$A$15,0),C777),0))</f>
        <v>282.3</v>
      </c>
      <c r="G777" s="16" t="n">
        <f aca="false">IF(F777="","",F777/1000)</f>
        <v>0.2823</v>
      </c>
      <c r="H777" s="16" t="n">
        <f aca="false">IF(D777="","",MAX(0,MIN($B$8,IFERROR(LOOKUP(2,1/($U$24:U776&lt;&gt;""),$U$24:U776),$B$11))))</f>
        <v>155.696819814091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15.3240858386097</v>
      </c>
      <c r="J777" s="16" t="n">
        <f aca="false">IF(D777="","",$B$12)</f>
        <v>0.432</v>
      </c>
      <c r="K777" s="16" t="n">
        <f aca="false">IF(J777="","",J777*$B$15)</f>
        <v>1.119744</v>
      </c>
      <c r="L777" s="16" t="n">
        <f aca="false">IF(D777="","",H777+E777-K777-G777*I777)</f>
        <v>151.073187034307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14.9874540912809</v>
      </c>
      <c r="N777" s="16" t="n">
        <f aca="false">IF(D777="","",(I777+M777)/2)</f>
        <v>15.1557699649453</v>
      </c>
      <c r="O777" s="16" t="n">
        <f aca="false">IF(D777="","",G777*N777)</f>
        <v>4.27847386110406</v>
      </c>
      <c r="P777" s="16" t="n">
        <f aca="false">IF(D777="","",H777+E777-K777-O777)</f>
        <v>151.120702605443</v>
      </c>
      <c r="Q777" s="16" t="n">
        <f aca="false">IF(D777="","",IF(P777&gt;=0,K777,MAX(0,K777+P777)))</f>
        <v>1.119744</v>
      </c>
      <c r="R777" s="16" t="n">
        <f aca="false">IF(D777="","",Q777/$B$15)</f>
        <v>0.432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151.120702605443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93.2843843243474</v>
      </c>
      <c r="Z777" s="18" t="n">
        <f aca="false">IF(D777="","",MAX(0,IF(P777&gt;=0,P777,IF(K777+P777&gt;=0,0,P777+K777))))</f>
        <v>151.120702605443</v>
      </c>
      <c r="AA777" s="18" t="n">
        <f aca="false">IF(D777="","",IF(H777&lt;=$B$16,1,IF(H777&gt;=$B$17,$B$21,MATCH(H777,Aux_CAV!$A$2:$A$121,1))))</f>
        <v>22</v>
      </c>
      <c r="AB777" s="18" t="n">
        <f aca="false">IF(D777="","",IF(L777&lt;=$B$16,1,IF(L777&gt;=$B$17,$B$21,MATCH(L777,Aux_CAV!$A$2:$A$121,1))))</f>
        <v>22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0.283843220675501</v>
      </c>
      <c r="E778" s="16" t="n">
        <f aca="false">IF(D778="","",D778*$B$15)</f>
        <v>0.735721627990899</v>
      </c>
      <c r="F778" s="16" t="n">
        <f aca="false" t="array" ref="F778:F778">IF(D778="","",IFERROR(INDEX(Dados_Evap!$C$2:$N$15,MATCH($B$9,Dados_Evap!$A$2:$A$15,0),C778),0))</f>
        <v>241.3</v>
      </c>
      <c r="G778" s="16" t="n">
        <f aca="false">IF(F778="","",F778/1000)</f>
        <v>0.2413</v>
      </c>
      <c r="H778" s="16" t="n">
        <f aca="false">IF(D778="","",MAX(0,MIN($B$8,IFERROR(LOOKUP(2,1/($U$24:U777&lt;&gt;""),$U$24:U777),$B$11))))</f>
        <v>151.120702605443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14.9909135463238</v>
      </c>
      <c r="J778" s="16" t="n">
        <f aca="false">IF(D778="","",$B$12)</f>
        <v>0.432</v>
      </c>
      <c r="K778" s="16" t="n">
        <f aca="false">IF(J778="","",J778*$B$15)</f>
        <v>1.119744</v>
      </c>
      <c r="L778" s="16" t="n">
        <f aca="false">IF(D778="","",H778+E778-K778-G778*I778)</f>
        <v>147.119372794706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14.6995896653018</v>
      </c>
      <c r="N778" s="16" t="n">
        <f aca="false">IF(D778="","",(I778+M778)/2)</f>
        <v>14.8452516058128</v>
      </c>
      <c r="O778" s="16" t="n">
        <f aca="false">IF(D778="","",G778*N778)</f>
        <v>3.58215921248263</v>
      </c>
      <c r="P778" s="16" t="n">
        <f aca="false">IF(D778="","",H778+E778-K778-O778)</f>
        <v>147.154521020951</v>
      </c>
      <c r="Q778" s="16" t="n">
        <f aca="false">IF(D778="","",IF(P778&gt;=0,K778,MAX(0,K778+P778)))</f>
        <v>1.119744</v>
      </c>
      <c r="R778" s="16" t="n">
        <f aca="false">IF(D778="","",Q778/$B$15)</f>
        <v>0.432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147.154521020951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90.8361240870068</v>
      </c>
      <c r="Z778" s="18" t="n">
        <f aca="false">IF(D778="","",MAX(0,IF(P778&gt;=0,P778,IF(K778+P778&gt;=0,0,P778+K778))))</f>
        <v>147.154521020951</v>
      </c>
      <c r="AA778" s="18" t="n">
        <f aca="false">IF(D778="","",IF(H778&lt;=$B$16,1,IF(H778&gt;=$B$17,$B$21,MATCH(H778,Aux_CAV!$A$2:$A$121,1))))</f>
        <v>22</v>
      </c>
      <c r="AB778" s="18" t="n">
        <f aca="false">IF(D778="","",IF(L778&lt;=$B$16,1,IF(L778&gt;=$B$17,$B$21,MATCH(L778,Aux_CAV!$A$2:$A$121,1))))</f>
        <v>22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0.465260339587331</v>
      </c>
      <c r="E779" s="16" t="n">
        <f aca="false">IF(D779="","",D779*$B$15)</f>
        <v>1.20595480021036</v>
      </c>
      <c r="F779" s="16" t="n">
        <f aca="false" t="array" ref="F779:F779">IF(D779="","",IFERROR(INDEX(Dados_Evap!$C$2:$N$15,MATCH($B$9,Dados_Evap!$A$2:$A$15,0),C779),0))</f>
        <v>241.8</v>
      </c>
      <c r="G779" s="16" t="n">
        <f aca="false">IF(F779="","",F779/1000)</f>
        <v>0.2418</v>
      </c>
      <c r="H779" s="16" t="n">
        <f aca="false">IF(D779="","",MAX(0,MIN($B$8,IFERROR(LOOKUP(2,1/($U$24:U778&lt;&gt;""),$U$24:U778),$B$11))))</f>
        <v>147.154521020951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14.7021486939661</v>
      </c>
      <c r="J779" s="16" t="n">
        <f aca="false">IF(D779="","",$B$12)</f>
        <v>0.432</v>
      </c>
      <c r="K779" s="16" t="n">
        <f aca="false">IF(J779="","",J779*$B$15)</f>
        <v>1.119744</v>
      </c>
      <c r="L779" s="16" t="n">
        <f aca="false">IF(D779="","",H779+E779-K779-G779*I779)</f>
        <v>143.68575226696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14.4495988608908</v>
      </c>
      <c r="N779" s="16" t="n">
        <f aca="false">IF(D779="","",(I779+M779)/2)</f>
        <v>14.5758737774285</v>
      </c>
      <c r="O779" s="16" t="n">
        <f aca="false">IF(D779="","",G779*N779)</f>
        <v>3.5244462793822</v>
      </c>
      <c r="P779" s="16" t="n">
        <f aca="false">IF(D779="","",H779+E779-K779-O779)</f>
        <v>143.716285541779</v>
      </c>
      <c r="Q779" s="16" t="n">
        <f aca="false">IF(D779="","",IF(P779&gt;=0,K779,MAX(0,K779+P779)))</f>
        <v>1.119744</v>
      </c>
      <c r="R779" s="16" t="n">
        <f aca="false">IF(D779="","",Q779/$B$15)</f>
        <v>0.432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143.716285541779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88.7137565072711</v>
      </c>
      <c r="Z779" s="18" t="n">
        <f aca="false">IF(D779="","",MAX(0,IF(P779&gt;=0,P779,IF(K779+P779&gt;=0,0,P779+K779))))</f>
        <v>143.716285541779</v>
      </c>
      <c r="AA779" s="18" t="n">
        <f aca="false">IF(D779="","",IF(H779&lt;=$B$16,1,IF(H779&gt;=$B$17,$B$21,MATCH(H779,Aux_CAV!$A$2:$A$121,1))))</f>
        <v>22</v>
      </c>
      <c r="AB779" s="18" t="n">
        <f aca="false">IF(D779="","",IF(L779&lt;=$B$16,1,IF(L779&gt;=$B$17,$B$21,MATCH(L779,Aux_CAV!$A$2:$A$121,1))))</f>
        <v>22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0.702207602633365</v>
      </c>
      <c r="E780" s="16" t="n">
        <f aca="false">IF(D780="","",D780*$B$15)</f>
        <v>1.82012210602568</v>
      </c>
      <c r="F780" s="16" t="n">
        <f aca="false" t="array" ref="F780:F780">IF(D780="","",IFERROR(INDEX(Dados_Evap!$C$2:$N$15,MATCH($B$9,Dados_Evap!$A$2:$A$15,0),C780),0))</f>
        <v>189</v>
      </c>
      <c r="G780" s="16" t="n">
        <f aca="false">IF(F780="","",F780/1000)</f>
        <v>0.189</v>
      </c>
      <c r="H780" s="16" t="n">
        <f aca="false">IF(D780="","",MAX(0,MIN($B$8,IFERROR(LOOKUP(2,1/($U$24:U779&lt;&gt;""),$U$24:U779),$B$11))))</f>
        <v>143.716285541779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14.451821889869</v>
      </c>
      <c r="J780" s="16" t="n">
        <f aca="false">IF(D780="","",$B$12)</f>
        <v>0.432</v>
      </c>
      <c r="K780" s="16" t="n">
        <f aca="false">IF(J780="","",J780*$B$15)</f>
        <v>1.119744</v>
      </c>
      <c r="L780" s="16" t="n">
        <f aca="false">IF(D780="","",H780+E780-K780-G780*I780)</f>
        <v>141.68526931062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14.3039501675</v>
      </c>
      <c r="N780" s="16" t="n">
        <f aca="false">IF(D780="","",(I780+M780)/2)</f>
        <v>14.3778860286845</v>
      </c>
      <c r="O780" s="16" t="n">
        <f aca="false">IF(D780="","",G780*N780)</f>
        <v>2.71742045942137</v>
      </c>
      <c r="P780" s="16" t="n">
        <f aca="false">IF(D780="","",H780+E780-K780-O780)</f>
        <v>141.699243188384</v>
      </c>
      <c r="Q780" s="16" t="n">
        <f aca="false">IF(D780="","",IF(P780&gt;=0,K780,MAX(0,K780+P780)))</f>
        <v>1.119744</v>
      </c>
      <c r="R780" s="16" t="n">
        <f aca="false">IF(D780="","",Q780/$B$15)</f>
        <v>0.432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141.699243188384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87.4686686348047</v>
      </c>
      <c r="Z780" s="18" t="n">
        <f aca="false">IF(D780="","",MAX(0,IF(P780&gt;=0,P780,IF(K780+P780&gt;=0,0,P780+K780))))</f>
        <v>141.699243188384</v>
      </c>
      <c r="AA780" s="18" t="n">
        <f aca="false">IF(D780="","",IF(H780&lt;=$B$16,1,IF(H780&gt;=$B$17,$B$21,MATCH(H780,Aux_CAV!$A$2:$A$121,1))))</f>
        <v>22</v>
      </c>
      <c r="AB780" s="18" t="n">
        <f aca="false">IF(D780="","",IF(L780&lt;=$B$16,1,IF(L780&gt;=$B$17,$B$21,MATCH(L780,Aux_CAV!$A$2:$A$121,1))))</f>
        <v>22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1.25743248454441</v>
      </c>
      <c r="E781" s="16" t="n">
        <f aca="false">IF(D781="","",D781*$B$15)</f>
        <v>3.25926499993911</v>
      </c>
      <c r="F781" s="16" t="n">
        <f aca="false" t="array" ref="F781:F781">IF(D781="","",IFERROR(INDEX(Dados_Evap!$C$2:$N$15,MATCH($B$9,Dados_Evap!$A$2:$A$15,0),C781),0))</f>
        <v>136.9</v>
      </c>
      <c r="G781" s="16" t="n">
        <f aca="false">IF(F781="","",F781/1000)</f>
        <v>0.1369</v>
      </c>
      <c r="H781" s="16" t="n">
        <f aca="false">IF(D781="","",MAX(0,MIN($B$8,IFERROR(LOOKUP(2,1/($U$24:U780&lt;&gt;""),$U$24:U780),$B$11))))</f>
        <v>141.699243188384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14.3049675603408</v>
      </c>
      <c r="J781" s="16" t="n">
        <f aca="false">IF(D781="","",$B$12)</f>
        <v>0.432</v>
      </c>
      <c r="K781" s="16" t="n">
        <f aca="false">IF(J781="","",J781*$B$15)</f>
        <v>1.119744</v>
      </c>
      <c r="L781" s="16" t="n">
        <f aca="false">IF(D781="","",H781+E781-K781-G781*I781)</f>
        <v>141.880414129312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14.3181580305435</v>
      </c>
      <c r="N781" s="16" t="n">
        <f aca="false">IF(D781="","",(I781+M781)/2)</f>
        <v>14.3115627954422</v>
      </c>
      <c r="O781" s="16" t="n">
        <f aca="false">IF(D781="","",G781*N781)</f>
        <v>1.95925294669603</v>
      </c>
      <c r="P781" s="16" t="n">
        <f aca="false">IF(D781="","",H781+E781-K781-O781)</f>
        <v>141.879511241627</v>
      </c>
      <c r="Q781" s="16" t="n">
        <f aca="false">IF(D781="","",IF(P781&gt;=0,K781,MAX(0,K781+P781)))</f>
        <v>1.119744</v>
      </c>
      <c r="R781" s="16" t="n">
        <f aca="false">IF(D781="","",Q781/$B$15)</f>
        <v>0.432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141.879511241627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87.5799452108806</v>
      </c>
      <c r="Z781" s="18" t="n">
        <f aca="false">IF(D781="","",MAX(0,IF(P781&gt;=0,P781,IF(K781+P781&gt;=0,0,P781+K781))))</f>
        <v>141.879511241627</v>
      </c>
      <c r="AA781" s="18" t="n">
        <f aca="false">IF(D781="","",IF(H781&lt;=$B$16,1,IF(H781&gt;=$B$17,$B$21,MATCH(H781,Aux_CAV!$A$2:$A$121,1))))</f>
        <v>22</v>
      </c>
      <c r="AB781" s="18" t="n">
        <f aca="false">IF(D781="","",IF(L781&lt;=$B$16,1,IF(L781&gt;=$B$17,$B$21,MATCH(L781,Aux_CAV!$A$2:$A$121,1))))</f>
        <v>22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2.43850432297446</v>
      </c>
      <c r="E782" s="16" t="n">
        <f aca="false">IF(D782="","",D782*$B$15)</f>
        <v>6.3206032051498</v>
      </c>
      <c r="F782" s="16" t="n">
        <f aca="false" t="array" ref="F782:F782">IF(D782="","",IFERROR(INDEX(Dados_Evap!$C$2:$N$15,MATCH($B$9,Dados_Evap!$A$2:$A$15,0),C782),0))</f>
        <v>102.9</v>
      </c>
      <c r="G782" s="16" t="n">
        <f aca="false">IF(F782="","",F782/1000)</f>
        <v>0.1029</v>
      </c>
      <c r="H782" s="16" t="n">
        <f aca="false">IF(D782="","",MAX(0,MIN($B$8,IFERROR(LOOKUP(2,1/($U$24:U781&lt;&gt;""),$U$24:U781),$B$11))))</f>
        <v>141.879511241627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14.3180922942116</v>
      </c>
      <c r="J782" s="16" t="n">
        <f aca="false">IF(D782="","",$B$12)</f>
        <v>0.432</v>
      </c>
      <c r="K782" s="16" t="n">
        <f aca="false">IF(J782="","",J782*$B$15)</f>
        <v>1.119744</v>
      </c>
      <c r="L782" s="16" t="n">
        <f aca="false">IF(D782="","",H782+E782-K782-G782*I782)</f>
        <v>145.607038749702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14.5894815152038</v>
      </c>
      <c r="N782" s="16" t="n">
        <f aca="false">IF(D782="","",(I782+M782)/2)</f>
        <v>14.4537869047077</v>
      </c>
      <c r="O782" s="16" t="n">
        <f aca="false">IF(D782="","",G782*N782)</f>
        <v>1.48729467249442</v>
      </c>
      <c r="P782" s="16" t="n">
        <f aca="false">IF(D782="","",H782+E782-K782-O782)</f>
        <v>145.593075774282</v>
      </c>
      <c r="Q782" s="16" t="n">
        <f aca="false">IF(D782="","",IF(P782&gt;=0,K782,MAX(0,K782+P782)))</f>
        <v>1.119744</v>
      </c>
      <c r="R782" s="16" t="n">
        <f aca="false">IF(D782="","",Q782/$B$15)</f>
        <v>0.432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145.593075774282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89.8722689964704</v>
      </c>
      <c r="Z782" s="18" t="n">
        <f aca="false">IF(D782="","",MAX(0,IF(P782&gt;=0,P782,IF(K782+P782&gt;=0,0,P782+K782))))</f>
        <v>145.593075774282</v>
      </c>
      <c r="AA782" s="18" t="n">
        <f aca="false">IF(D782="","",IF(H782&lt;=$B$16,1,IF(H782&gt;=$B$17,$B$21,MATCH(H782,Aux_CAV!$A$2:$A$121,1))))</f>
        <v>22</v>
      </c>
      <c r="AB782" s="18" t="n">
        <f aca="false">IF(D782="","",IF(L782&lt;=$B$16,1,IF(L782&gt;=$B$17,$B$21,MATCH(L782,Aux_CAV!$A$2:$A$121,1))))</f>
        <v>22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6.45008888629507</v>
      </c>
      <c r="E783" s="16" t="n">
        <f aca="false">IF(D783="","",D783*$B$15)</f>
        <v>16.7186303932768</v>
      </c>
      <c r="F783" s="16" t="n">
        <f aca="false" t="array" ref="F783:F783">IF(D783="","",IFERROR(INDEX(Dados_Evap!$C$2:$N$15,MATCH($B$9,Dados_Evap!$A$2:$A$15,0),C783),0))</f>
        <v>81.8</v>
      </c>
      <c r="G783" s="16" t="n">
        <f aca="false">IF(F783="","",F783/1000)</f>
        <v>0.0818</v>
      </c>
      <c r="H783" s="16" t="n">
        <f aca="false">IF(D783="","",MAX(0,MIN($B$8,IFERROR(LOOKUP(2,1/($U$24:U782&lt;&gt;""),$U$24:U782),$B$11))))</f>
        <v>145.593075774282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14.5884649161274</v>
      </c>
      <c r="J783" s="16" t="n">
        <f aca="false">IF(D783="","",$B$12)</f>
        <v>0.432</v>
      </c>
      <c r="K783" s="16" t="n">
        <f aca="false">IF(J783="","",J783*$B$15)</f>
        <v>1.119744</v>
      </c>
      <c r="L783" s="16" t="n">
        <f aca="false">IF(D783="","",H783+E783-K783-G783*I783)</f>
        <v>159.99862573742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15.6372864134848</v>
      </c>
      <c r="N783" s="16" t="n">
        <f aca="false">IF(D783="","",(I783+M783)/2)</f>
        <v>15.1128756648061</v>
      </c>
      <c r="O783" s="16" t="n">
        <f aca="false">IF(D783="","",G783*N783)</f>
        <v>1.23623322938114</v>
      </c>
      <c r="P783" s="16" t="n">
        <f aca="false">IF(D783="","",H783+E783-K783-O783)</f>
        <v>159.955728938178</v>
      </c>
      <c r="Q783" s="16" t="n">
        <f aca="false">IF(D783="","",IF(P783&gt;=0,K783,MAX(0,K783+P783)))</f>
        <v>1.119744</v>
      </c>
      <c r="R783" s="16" t="n">
        <f aca="false">IF(D783="","",Q783/$B$15)</f>
        <v>0.432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159.955728938178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98.7381042828257</v>
      </c>
      <c r="Z783" s="18" t="n">
        <f aca="false">IF(D783="","",MAX(0,IF(P783&gt;=0,P783,IF(K783+P783&gt;=0,0,P783+K783))))</f>
        <v>159.955728938178</v>
      </c>
      <c r="AA783" s="18" t="n">
        <f aca="false">IF(D783="","",IF(H783&lt;=$B$16,1,IF(H783&gt;=$B$17,$B$21,MATCH(H783,Aux_CAV!$A$2:$A$121,1))))</f>
        <v>22</v>
      </c>
      <c r="AB783" s="18" t="n">
        <f aca="false">IF(D783="","",IF(L783&lt;=$B$16,1,IF(L783&gt;=$B$17,$B$21,MATCH(L783,Aux_CAV!$A$2:$A$121,1))))</f>
        <v>22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10.6571261108396</v>
      </c>
      <c r="E784" s="16" t="n">
        <f aca="false">IF(D784="","",D784*$B$15)</f>
        <v>27.6232708792962</v>
      </c>
      <c r="F784" s="16" t="n">
        <f aca="false" t="array" ref="F784:F784">IF(D784="","",IFERROR(INDEX(Dados_Evap!$C$2:$N$15,MATCH($B$9,Dados_Evap!$A$2:$A$15,0),C784),0))</f>
        <v>83.6</v>
      </c>
      <c r="G784" s="16" t="n">
        <f aca="false">IF(F784="","",F784/1000)</f>
        <v>0.0836</v>
      </c>
      <c r="H784" s="16" t="n">
        <f aca="false">IF(D784="","",MAX(0,MIN($B$8,IFERROR(LOOKUP(2,1/($U$24:U783&lt;&gt;""),$U$24:U783),$B$11))))</f>
        <v>159.955728938178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15.6341632362838</v>
      </c>
      <c r="J784" s="16" t="n">
        <f aca="false">IF(D784="","",$B$12)</f>
        <v>0.432</v>
      </c>
      <c r="K784" s="16" t="n">
        <f aca="false">IF(J784="","",J784*$B$15)</f>
        <v>1.119744</v>
      </c>
      <c r="L784" s="16" t="n">
        <f aca="false">IF(D784="","",H784+E784-K784-G784*I784)</f>
        <v>185.152239770921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17.1677244358227</v>
      </c>
      <c r="N784" s="16" t="n">
        <f aca="false">IF(D784="","",(I784+M784)/2)</f>
        <v>16.4009438360533</v>
      </c>
      <c r="O784" s="16" t="n">
        <f aca="false">IF(D784="","",G784*N784)</f>
        <v>1.37111890469405</v>
      </c>
      <c r="P784" s="16" t="n">
        <f aca="false">IF(D784="","",H784+E784-K784-O784)</f>
        <v>185.08813691278</v>
      </c>
      <c r="Q784" s="16" t="n">
        <f aca="false">IF(D784="","",IF(P784&gt;=0,K784,MAX(0,K784+P784)))</f>
        <v>1.119744</v>
      </c>
      <c r="R784" s="16" t="n">
        <f aca="false">IF(D784="","",Q784/$B$15)</f>
        <v>0.432</v>
      </c>
      <c r="S784" s="16" t="n">
        <f aca="false">IF(D784="","",MAX(0,J784-R784))</f>
        <v>0</v>
      </c>
      <c r="T784" s="16" t="n">
        <f aca="false">IF(D784="","",MAX(0,Z784-$B$8))</f>
        <v>23.0881369127799</v>
      </c>
      <c r="U784" s="16" t="n">
        <f aca="false">IF(D784="","",MAX(0,MIN($B$8,Z784)))</f>
        <v>162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185.08813691278</v>
      </c>
      <c r="AA784" s="18" t="n">
        <f aca="false">IF(D784="","",IF(H784&lt;=$B$16,1,IF(H784&gt;=$B$17,$B$21,MATCH(H784,Aux_CAV!$A$2:$A$121,1))))</f>
        <v>22</v>
      </c>
      <c r="AB784" s="18" t="n">
        <f aca="false">IF(D784="","",IF(L784&lt;=$B$16,1,IF(L784&gt;=$B$17,$B$21,MATCH(L784,Aux_CAV!$A$2:$A$121,1))))</f>
        <v>23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8.9079685285312</v>
      </c>
      <c r="E785" s="16" t="n">
        <f aca="false">IF(D785="","",D785*$B$15)</f>
        <v>23.0894544259529</v>
      </c>
      <c r="F785" s="16" t="n">
        <f aca="false" t="array" ref="F785:F785">IF(D785="","",IFERROR(INDEX(Dados_Evap!$C$2:$N$15,MATCH($B$9,Dados_Evap!$A$2:$A$15,0),C785),0))</f>
        <v>108.2</v>
      </c>
      <c r="G785" s="16" t="n">
        <f aca="false">IF(F785="","",F785/1000)</f>
        <v>0.1082</v>
      </c>
      <c r="H785" s="16" t="n">
        <f aca="false">IF(D785="","",MAX(0,MIN($B$8,IFERROR(LOOKUP(2,1/($U$24:U784&lt;&gt;""),$U$24:U784),$B$11))))</f>
        <v>162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15.783</v>
      </c>
      <c r="J785" s="16" t="n">
        <f aca="false">IF(D785="","",$B$12)</f>
        <v>0.432</v>
      </c>
      <c r="K785" s="16" t="n">
        <f aca="false">IF(J785="","",J785*$B$15)</f>
        <v>1.119744</v>
      </c>
      <c r="L785" s="16" t="n">
        <f aca="false">IF(D785="","",H785+E785-K785-G785*I785)</f>
        <v>182.261989825953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16.9948599629237</v>
      </c>
      <c r="N785" s="16" t="n">
        <f aca="false">IF(D785="","",(I785+M785)/2)</f>
        <v>16.3889299814618</v>
      </c>
      <c r="O785" s="16" t="n">
        <f aca="false">IF(D785="","",G785*N785)</f>
        <v>1.77328222399417</v>
      </c>
      <c r="P785" s="16" t="n">
        <f aca="false">IF(D785="","",H785+E785-K785-O785)</f>
        <v>182.196428201959</v>
      </c>
      <c r="Q785" s="16" t="n">
        <f aca="false">IF(D785="","",IF(P785&gt;=0,K785,MAX(0,K785+P785)))</f>
        <v>1.119744</v>
      </c>
      <c r="R785" s="16" t="n">
        <f aca="false">IF(D785="","",Q785/$B$15)</f>
        <v>0.432</v>
      </c>
      <c r="S785" s="16" t="n">
        <f aca="false">IF(D785="","",MAX(0,J785-R785))</f>
        <v>0</v>
      </c>
      <c r="T785" s="16" t="n">
        <f aca="false">IF(D785="","",MAX(0,Z785-$B$8))</f>
        <v>20.1964282019587</v>
      </c>
      <c r="U785" s="16" t="n">
        <f aca="false">IF(D785="","",MAX(0,MIN($B$8,Z785)))</f>
        <v>162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182.196428201959</v>
      </c>
      <c r="AA785" s="18" t="n">
        <f aca="false">IF(D785="","",IF(H785&lt;=$B$16,1,IF(H785&gt;=$B$17,$B$21,MATCH(H785,Aux_CAV!$A$2:$A$121,1))))</f>
        <v>23</v>
      </c>
      <c r="AB785" s="18" t="n">
        <f aca="false">IF(D785="","",IF(L785&lt;=$B$16,1,IF(L785&gt;=$B$17,$B$21,MATCH(L785,Aux_CAV!$A$2:$A$121,1))))</f>
        <v>23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4.47229288888084</v>
      </c>
      <c r="E786" s="16" t="n">
        <f aca="false">IF(D786="","",D786*$B$15)</f>
        <v>11.5921831679791</v>
      </c>
      <c r="F786" s="16" t="n">
        <f aca="false" t="array" ref="F786:F786">IF(D786="","",IFERROR(INDEX(Dados_Evap!$C$2:$N$15,MATCH($B$9,Dados_Evap!$A$2:$A$15,0),C786),0))</f>
        <v>149</v>
      </c>
      <c r="G786" s="16" t="n">
        <f aca="false">IF(F786="","",F786/1000)</f>
        <v>0.149</v>
      </c>
      <c r="H786" s="16" t="n">
        <f aca="false">IF(D786="","",MAX(0,MIN($B$8,IFERROR(LOOKUP(2,1/($U$24:U785&lt;&gt;""),$U$24:U785),$B$11))))</f>
        <v>162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15.783</v>
      </c>
      <c r="J786" s="16" t="n">
        <f aca="false">IF(D786="","",$B$12)</f>
        <v>0.432</v>
      </c>
      <c r="K786" s="16" t="n">
        <f aca="false">IF(J786="","",J786*$B$15)</f>
        <v>1.119744</v>
      </c>
      <c r="L786" s="16" t="n">
        <f aca="false">IF(D786="","",H786+E786-K786-G786*I786)</f>
        <v>170.120772167979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16.2686995163325</v>
      </c>
      <c r="N786" s="16" t="n">
        <f aca="false">IF(D786="","",(I786+M786)/2)</f>
        <v>16.0258497581662</v>
      </c>
      <c r="O786" s="16" t="n">
        <f aca="false">IF(D786="","",G786*N786)</f>
        <v>2.38785161396677</v>
      </c>
      <c r="P786" s="16" t="n">
        <f aca="false">IF(D786="","",H786+E786-K786-O786)</f>
        <v>170.084587554012</v>
      </c>
      <c r="Q786" s="16" t="n">
        <f aca="false">IF(D786="","",IF(P786&gt;=0,K786,MAX(0,K786+P786)))</f>
        <v>1.119744</v>
      </c>
      <c r="R786" s="16" t="n">
        <f aca="false">IF(D786="","",Q786/$B$15)</f>
        <v>0.432</v>
      </c>
      <c r="S786" s="16" t="n">
        <f aca="false">IF(D786="","",MAX(0,J786-R786))</f>
        <v>0</v>
      </c>
      <c r="T786" s="16" t="n">
        <f aca="false">IF(D786="","",MAX(0,Z786-$B$8))</f>
        <v>8.08458755401236</v>
      </c>
      <c r="U786" s="16" t="n">
        <f aca="false">IF(D786="","",MAX(0,MIN($B$8,Z786)))</f>
        <v>162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170.084587554012</v>
      </c>
      <c r="AA786" s="18" t="n">
        <f aca="false">IF(D786="","",IF(H786&lt;=$B$16,1,IF(H786&gt;=$B$17,$B$21,MATCH(H786,Aux_CAV!$A$2:$A$121,1))))</f>
        <v>23</v>
      </c>
      <c r="AB786" s="18" t="n">
        <f aca="false">IF(D786="","",IF(L786&lt;=$B$16,1,IF(L786&gt;=$B$17,$B$21,MATCH(L786,Aux_CAV!$A$2:$A$121,1))))</f>
        <v>23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1.0567600173727</v>
      </c>
      <c r="E787" s="16" t="n">
        <f aca="false">IF(D787="","",D787*$B$15)</f>
        <v>2.73912196503004</v>
      </c>
      <c r="F787" s="16" t="n">
        <f aca="false" t="array" ref="F787:F787">IF(D787="","",IFERROR(INDEX(Dados_Evap!$C$2:$N$15,MATCH($B$9,Dados_Evap!$A$2:$A$15,0),C787),0))</f>
        <v>206.8</v>
      </c>
      <c r="G787" s="16" t="n">
        <f aca="false">IF(F787="","",F787/1000)</f>
        <v>0.2068</v>
      </c>
      <c r="H787" s="16" t="n">
        <f aca="false">IF(D787="","",MAX(0,MIN($B$8,IFERROR(LOOKUP(2,1/($U$24:U786&lt;&gt;""),$U$24:U786),$B$11))))</f>
        <v>162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15.783</v>
      </c>
      <c r="J787" s="16" t="n">
        <f aca="false">IF(D787="","",$B$12)</f>
        <v>0.432</v>
      </c>
      <c r="K787" s="16" t="n">
        <f aca="false">IF(J787="","",J787*$B$15)</f>
        <v>1.119744</v>
      </c>
      <c r="L787" s="16" t="n">
        <f aca="false">IF(D787="","",H787+E787-K787-G787*I787)</f>
        <v>160.35545356503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15.663265893436</v>
      </c>
      <c r="N787" s="16" t="n">
        <f aca="false">IF(D787="","",(I787+M787)/2)</f>
        <v>15.723132946718</v>
      </c>
      <c r="O787" s="16" t="n">
        <f aca="false">IF(D787="","",G787*N787)</f>
        <v>3.25154389338129</v>
      </c>
      <c r="P787" s="16" t="n">
        <f aca="false">IF(D787="","",H787+E787-K787-O787)</f>
        <v>160.367834071649</v>
      </c>
      <c r="Q787" s="16" t="n">
        <f aca="false">IF(D787="","",IF(P787&gt;=0,K787,MAX(0,K787+P787)))</f>
        <v>1.119744</v>
      </c>
      <c r="R787" s="16" t="n">
        <f aca="false">IF(D787="","",Q787/$B$15)</f>
        <v>0.432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160.367834071649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98.9924901676844</v>
      </c>
      <c r="Z787" s="18" t="n">
        <f aca="false">IF(D787="","",MAX(0,IF(P787&gt;=0,P787,IF(K787+P787&gt;=0,0,P787+K787))))</f>
        <v>160.367834071649</v>
      </c>
      <c r="AA787" s="18" t="n">
        <f aca="false">IF(D787="","",IF(H787&lt;=$B$16,1,IF(H787&gt;=$B$17,$B$21,MATCH(H787,Aux_CAV!$A$2:$A$121,1))))</f>
        <v>23</v>
      </c>
      <c r="AB787" s="18" t="n">
        <f aca="false">IF(D787="","",IF(L787&lt;=$B$16,1,IF(L787&gt;=$B$17,$B$21,MATCH(L787,Aux_CAV!$A$2:$A$121,1))))</f>
        <v>22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0.944796110287287</v>
      </c>
      <c r="E788" s="16" t="n">
        <f aca="false">IF(D788="","",D788*$B$15)</f>
        <v>2.44891151786465</v>
      </c>
      <c r="F788" s="16" t="n">
        <f aca="false" t="array" ref="F788:F788">IF(D788="","",IFERROR(INDEX(Dados_Evap!$C$2:$N$15,MATCH($B$9,Dados_Evap!$A$2:$A$15,0),C788),0))</f>
        <v>245.9</v>
      </c>
      <c r="G788" s="16" t="n">
        <f aca="false">IF(F788="","",F788/1000)</f>
        <v>0.2459</v>
      </c>
      <c r="H788" s="16" t="n">
        <f aca="false">IF(D788="","",MAX(0,MIN($B$8,IFERROR(LOOKUP(2,1/($U$24:U787&lt;&gt;""),$U$24:U787),$B$11))))</f>
        <v>160.367834071649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15.6641672780776</v>
      </c>
      <c r="J788" s="16" t="n">
        <f aca="false">IF(D788="","",$B$12)</f>
        <v>0.432</v>
      </c>
      <c r="K788" s="16" t="n">
        <f aca="false">IF(J788="","",J788*$B$15)</f>
        <v>1.119744</v>
      </c>
      <c r="L788" s="16" t="n">
        <f aca="false">IF(D788="","",H788+E788-K788-G788*I788)</f>
        <v>157.845182855834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15.4805012026933</v>
      </c>
      <c r="N788" s="16" t="n">
        <f aca="false">IF(D788="","",(I788+M788)/2)</f>
        <v>15.5723342403854</v>
      </c>
      <c r="O788" s="16" t="n">
        <f aca="false">IF(D788="","",G788*N788)</f>
        <v>3.82923698971078</v>
      </c>
      <c r="P788" s="16" t="n">
        <f aca="false">IF(D788="","",H788+E788-K788-O788)</f>
        <v>157.867764599803</v>
      </c>
      <c r="Q788" s="16" t="n">
        <f aca="false">IF(D788="","",IF(P788&gt;=0,K788,MAX(0,K788+P788)))</f>
        <v>1.119744</v>
      </c>
      <c r="R788" s="16" t="n">
        <f aca="false">IF(D788="","",Q788/$B$15)</f>
        <v>0.432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157.867764599803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97.4492374072856</v>
      </c>
      <c r="Z788" s="18" t="n">
        <f aca="false">IF(D788="","",MAX(0,IF(P788&gt;=0,P788,IF(K788+P788&gt;=0,0,P788+K788))))</f>
        <v>157.867764599803</v>
      </c>
      <c r="AA788" s="18" t="n">
        <f aca="false">IF(D788="","",IF(H788&lt;=$B$16,1,IF(H788&gt;=$B$17,$B$21,MATCH(H788,Aux_CAV!$A$2:$A$121,1))))</f>
        <v>22</v>
      </c>
      <c r="AB788" s="18" t="n">
        <f aca="false">IF(D788="","",IF(L788&lt;=$B$16,1,IF(L788&gt;=$B$17,$B$21,MATCH(L788,Aux_CAV!$A$2:$A$121,1))))</f>
        <v>22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0.658222465977741</v>
      </c>
      <c r="E789" s="16" t="n">
        <f aca="false">IF(D789="","",D789*$B$15)</f>
        <v>1.7061126318143</v>
      </c>
      <c r="F789" s="16" t="n">
        <f aca="false" t="array" ref="F789:F789">IF(D789="","",IFERROR(INDEX(Dados_Evap!$C$2:$N$15,MATCH($B$9,Dados_Evap!$A$2:$A$15,0),C789),0))</f>
        <v>282.3</v>
      </c>
      <c r="G789" s="16" t="n">
        <f aca="false">IF(F789="","",F789/1000)</f>
        <v>0.2823</v>
      </c>
      <c r="H789" s="16" t="n">
        <f aca="false">IF(D789="","",MAX(0,MIN($B$8,IFERROR(LOOKUP(2,1/($U$24:U788&lt;&gt;""),$U$24:U788),$B$11))))</f>
        <v>157.867764599803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15.4821453064299</v>
      </c>
      <c r="J789" s="16" t="n">
        <f aca="false">IF(D789="","",$B$12)</f>
        <v>0.432</v>
      </c>
      <c r="K789" s="16" t="n">
        <f aca="false">IF(J789="","",J789*$B$15)</f>
        <v>1.119744</v>
      </c>
      <c r="L789" s="16" t="n">
        <f aca="false">IF(D789="","",H789+E789-K789-G789*I789)</f>
        <v>154.083523611612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15.206626960393</v>
      </c>
      <c r="N789" s="16" t="n">
        <f aca="false">IF(D789="","",(I789+M789)/2)</f>
        <v>15.3443861334115</v>
      </c>
      <c r="O789" s="16" t="n">
        <f aca="false">IF(D789="","",G789*N789)</f>
        <v>4.33172020546205</v>
      </c>
      <c r="P789" s="16" t="n">
        <f aca="false">IF(D789="","",H789+E789-K789-O789)</f>
        <v>154.122413026155</v>
      </c>
      <c r="Q789" s="16" t="n">
        <f aca="false">IF(D789="","",IF(P789&gt;=0,K789,MAX(0,K789+P789)))</f>
        <v>1.119744</v>
      </c>
      <c r="R789" s="16" t="n">
        <f aca="false">IF(D789="","",Q789/$B$15)</f>
        <v>0.432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154.122413026155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95.1372919914536</v>
      </c>
      <c r="Z789" s="18" t="n">
        <f aca="false">IF(D789="","",MAX(0,IF(P789&gt;=0,P789,IF(K789+P789&gt;=0,0,P789+K789))))</f>
        <v>154.122413026155</v>
      </c>
      <c r="AA789" s="18" t="n">
        <f aca="false">IF(D789="","",IF(H789&lt;=$B$16,1,IF(H789&gt;=$B$17,$B$21,MATCH(H789,Aux_CAV!$A$2:$A$121,1))))</f>
        <v>22</v>
      </c>
      <c r="AB789" s="18" t="n">
        <f aca="false">IF(D789="","",IF(L789&lt;=$B$16,1,IF(L789&gt;=$B$17,$B$21,MATCH(L789,Aux_CAV!$A$2:$A$121,1))))</f>
        <v>22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0.566692261784403</v>
      </c>
      <c r="E790" s="16" t="n">
        <f aca="false">IF(D790="","",D790*$B$15)</f>
        <v>1.46886634254517</v>
      </c>
      <c r="F790" s="16" t="n">
        <f aca="false" t="array" ref="F790:F790">IF(D790="","",IFERROR(INDEX(Dados_Evap!$C$2:$N$15,MATCH($B$9,Dados_Evap!$A$2:$A$15,0),C790),0))</f>
        <v>241.3</v>
      </c>
      <c r="G790" s="16" t="n">
        <f aca="false">IF(F790="","",F790/1000)</f>
        <v>0.2413</v>
      </c>
      <c r="H790" s="16" t="n">
        <f aca="false">IF(D790="","",MAX(0,MIN($B$8,IFERROR(LOOKUP(2,1/($U$24:U789&lt;&gt;""),$U$24:U789),$B$11))))</f>
        <v>154.122413026155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15.2094583728762</v>
      </c>
      <c r="J790" s="16" t="n">
        <f aca="false">IF(D790="","",$B$12)</f>
        <v>0.432</v>
      </c>
      <c r="K790" s="16" t="n">
        <f aca="false">IF(J790="","",J790*$B$15)</f>
        <v>1.119744</v>
      </c>
      <c r="L790" s="16" t="n">
        <f aca="false">IF(D790="","",H790+E790-K790-G790*I790)</f>
        <v>150.801493063325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14.9676729320612</v>
      </c>
      <c r="N790" s="16" t="n">
        <f aca="false">IF(D790="","",(I790+M790)/2)</f>
        <v>15.0885656524687</v>
      </c>
      <c r="O790" s="16" t="n">
        <f aca="false">IF(D790="","",G790*N790)</f>
        <v>3.64087089194069</v>
      </c>
      <c r="P790" s="16" t="n">
        <f aca="false">IF(D790="","",H790+E790-K790-O790)</f>
        <v>150.830664476759</v>
      </c>
      <c r="Q790" s="16" t="n">
        <f aca="false">IF(D790="","",IF(P790&gt;=0,K790,MAX(0,K790+P790)))</f>
        <v>1.119744</v>
      </c>
      <c r="R790" s="16" t="n">
        <f aca="false">IF(D790="","",Q790/$B$15)</f>
        <v>0.432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150.830664476759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93.105348442444</v>
      </c>
      <c r="Z790" s="18" t="n">
        <f aca="false">IF(D790="","",MAX(0,IF(P790&gt;=0,P790,IF(K790+P790&gt;=0,0,P790+K790))))</f>
        <v>150.830664476759</v>
      </c>
      <c r="AA790" s="18" t="n">
        <f aca="false">IF(D790="","",IF(H790&lt;=$B$16,1,IF(H790&gt;=$B$17,$B$21,MATCH(H790,Aux_CAV!$A$2:$A$121,1))))</f>
        <v>22</v>
      </c>
      <c r="AB790" s="18" t="n">
        <f aca="false">IF(D790="","",IF(L790&lt;=$B$16,1,IF(L790&gt;=$B$17,$B$21,MATCH(L790,Aux_CAV!$A$2:$A$121,1))))</f>
        <v>22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0.844000312550288</v>
      </c>
      <c r="E791" s="16" t="n">
        <f aca="false">IF(D791="","",D791*$B$15)</f>
        <v>2.18764881013035</v>
      </c>
      <c r="F791" s="16" t="n">
        <f aca="false" t="array" ref="F791:F791">IF(D791="","",IFERROR(INDEX(Dados_Evap!$C$2:$N$15,MATCH($B$9,Dados_Evap!$A$2:$A$15,0),C791),0))</f>
        <v>241.8</v>
      </c>
      <c r="G791" s="16" t="n">
        <f aca="false">IF(F791="","",F791/1000)</f>
        <v>0.2418</v>
      </c>
      <c r="H791" s="16" t="n">
        <f aca="false">IF(D791="","",MAX(0,MIN($B$8,IFERROR(LOOKUP(2,1/($U$24:U790&lt;&gt;""),$U$24:U790),$B$11))))</f>
        <v>150.830664476759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14.969796808317</v>
      </c>
      <c r="J791" s="16" t="n">
        <f aca="false">IF(D791="","",$B$12)</f>
        <v>0.432</v>
      </c>
      <c r="K791" s="16" t="n">
        <f aca="false">IF(J791="","",J791*$B$15)</f>
        <v>1.119744</v>
      </c>
      <c r="L791" s="16" t="n">
        <f aca="false">IF(D791="","",H791+E791-K791-G791*I791)</f>
        <v>148.278872418639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14.7840090824619</v>
      </c>
      <c r="N791" s="16" t="n">
        <f aca="false">IF(D791="","",(I791+M791)/2)</f>
        <v>14.8769029453894</v>
      </c>
      <c r="O791" s="16" t="n">
        <f aca="false">IF(D791="","",G791*N791)</f>
        <v>3.59723513219517</v>
      </c>
      <c r="P791" s="16" t="n">
        <f aca="false">IF(D791="","",H791+E791-K791-O791)</f>
        <v>148.301334154695</v>
      </c>
      <c r="Q791" s="16" t="n">
        <f aca="false">IF(D791="","",IF(P791&gt;=0,K791,MAX(0,K791+P791)))</f>
        <v>1.119744</v>
      </c>
      <c r="R791" s="16" t="n">
        <f aca="false">IF(D791="","",Q791/$B$15)</f>
        <v>0.432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148.301334154695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91.5440334288238</v>
      </c>
      <c r="Z791" s="18" t="n">
        <f aca="false">IF(D791="","",MAX(0,IF(P791&gt;=0,P791,IF(K791+P791&gt;=0,0,P791+K791))))</f>
        <v>148.301334154695</v>
      </c>
      <c r="AA791" s="18" t="n">
        <f aca="false">IF(D791="","",IF(H791&lt;=$B$16,1,IF(H791&gt;=$B$17,$B$21,MATCH(H791,Aux_CAV!$A$2:$A$121,1))))</f>
        <v>22</v>
      </c>
      <c r="AB791" s="18" t="n">
        <f aca="false">IF(D791="","",IF(L791&lt;=$B$16,1,IF(L791&gt;=$B$17,$B$21,MATCH(L791,Aux_CAV!$A$2:$A$121,1))))</f>
        <v>22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5.25902461485157</v>
      </c>
      <c r="E792" s="16" t="n">
        <f aca="false">IF(D792="","",D792*$B$15)</f>
        <v>13.6313918016953</v>
      </c>
      <c r="F792" s="16" t="n">
        <f aca="false" t="array" ref="F792:F792">IF(D792="","",IFERROR(INDEX(Dados_Evap!$C$2:$N$15,MATCH($B$9,Dados_Evap!$A$2:$A$15,0),C792),0))</f>
        <v>189</v>
      </c>
      <c r="G792" s="16" t="n">
        <f aca="false">IF(F792="","",F792/1000)</f>
        <v>0.189</v>
      </c>
      <c r="H792" s="16" t="n">
        <f aca="false">IF(D792="","",MAX(0,MIN($B$8,IFERROR(LOOKUP(2,1/($U$24:U791&lt;&gt;""),$U$24:U791),$B$11))))</f>
        <v>148.301334154695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14.7856444488105</v>
      </c>
      <c r="J792" s="16" t="n">
        <f aca="false">IF(D792="","",$B$12)</f>
        <v>0.432</v>
      </c>
      <c r="K792" s="16" t="n">
        <f aca="false">IF(J792="","",J792*$B$15)</f>
        <v>1.119744</v>
      </c>
      <c r="L792" s="16" t="n">
        <f aca="false">IF(D792="","",H792+E792-K792-G792*I792)</f>
        <v>158.018495155565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15.4931195106496</v>
      </c>
      <c r="N792" s="16" t="n">
        <f aca="false">IF(D792="","",(I792+M792)/2)</f>
        <v>15.13938197973</v>
      </c>
      <c r="O792" s="16" t="n">
        <f aca="false">IF(D792="","",G792*N792)</f>
        <v>2.86134319416898</v>
      </c>
      <c r="P792" s="16" t="n">
        <f aca="false">IF(D792="","",H792+E792-K792-O792)</f>
        <v>157.951638762221</v>
      </c>
      <c r="Q792" s="16" t="n">
        <f aca="false">IF(D792="","",IF(P792&gt;=0,K792,MAX(0,K792+P792)))</f>
        <v>1.119744</v>
      </c>
      <c r="R792" s="16" t="n">
        <f aca="false">IF(D792="","",Q792/$B$15)</f>
        <v>0.432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157.951638762221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97.5010115816178</v>
      </c>
      <c r="Z792" s="18" t="n">
        <f aca="false">IF(D792="","",MAX(0,IF(P792&gt;=0,P792,IF(K792+P792&gt;=0,0,P792+K792))))</f>
        <v>157.951638762221</v>
      </c>
      <c r="AA792" s="18" t="n">
        <f aca="false">IF(D792="","",IF(H792&lt;=$B$16,1,IF(H792&gt;=$B$17,$B$21,MATCH(H792,Aux_CAV!$A$2:$A$121,1))))</f>
        <v>22</v>
      </c>
      <c r="AB792" s="18" t="n">
        <f aca="false">IF(D792="","",IF(L792&lt;=$B$16,1,IF(L792&gt;=$B$17,$B$21,MATCH(L792,Aux_CAV!$A$2:$A$121,1))))</f>
        <v>22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5.91355401027485</v>
      </c>
      <c r="E793" s="16" t="n">
        <f aca="false">IF(D793="","",D793*$B$15)</f>
        <v>15.3279319946324</v>
      </c>
      <c r="F793" s="16" t="n">
        <f aca="false" t="array" ref="F793:F793">IF(D793="","",IFERROR(INDEX(Dados_Evap!$C$2:$N$15,MATCH($B$9,Dados_Evap!$A$2:$A$15,0),C793),0))</f>
        <v>136.9</v>
      </c>
      <c r="G793" s="16" t="n">
        <f aca="false">IF(F793="","",F793/1000)</f>
        <v>0.1369</v>
      </c>
      <c r="H793" s="16" t="n">
        <f aca="false">IF(D793="","",MAX(0,MIN($B$8,IFERROR(LOOKUP(2,1/($U$24:U792&lt;&gt;""),$U$24:U792),$B$11))))</f>
        <v>157.951638762221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15.4882519129005</v>
      </c>
      <c r="J793" s="16" t="n">
        <f aca="false">IF(D793="","",$B$12)</f>
        <v>0.432</v>
      </c>
      <c r="K793" s="16" t="n">
        <f aca="false">IF(J793="","",J793*$B$15)</f>
        <v>1.119744</v>
      </c>
      <c r="L793" s="16" t="n">
        <f aca="false">IF(D793="","",H793+E793-K793-G793*I793)</f>
        <v>170.039485069977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16.2638377737091</v>
      </c>
      <c r="N793" s="16" t="n">
        <f aca="false">IF(D793="","",(I793+M793)/2)</f>
        <v>15.8760448433048</v>
      </c>
      <c r="O793" s="16" t="n">
        <f aca="false">IF(D793="","",G793*N793)</f>
        <v>2.17343053904843</v>
      </c>
      <c r="P793" s="16" t="n">
        <f aca="false">IF(D793="","",H793+E793-K793-O793)</f>
        <v>169.986396217805</v>
      </c>
      <c r="Q793" s="16" t="n">
        <f aca="false">IF(D793="","",IF(P793&gt;=0,K793,MAX(0,K793+P793)))</f>
        <v>1.119744</v>
      </c>
      <c r="R793" s="16" t="n">
        <f aca="false">IF(D793="","",Q793/$B$15)</f>
        <v>0.432</v>
      </c>
      <c r="S793" s="16" t="n">
        <f aca="false">IF(D793="","",MAX(0,J793-R793))</f>
        <v>0</v>
      </c>
      <c r="T793" s="16" t="n">
        <f aca="false">IF(D793="","",MAX(0,Z793-$B$8))</f>
        <v>7.98639621780484</v>
      </c>
      <c r="U793" s="16" t="n">
        <f aca="false">IF(D793="","",MAX(0,MIN($B$8,Z793)))</f>
        <v>162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100</v>
      </c>
      <c r="Z793" s="18" t="n">
        <f aca="false">IF(D793="","",MAX(0,IF(P793&gt;=0,P793,IF(K793+P793&gt;=0,0,P793+K793))))</f>
        <v>169.986396217805</v>
      </c>
      <c r="AA793" s="18" t="n">
        <f aca="false">IF(D793="","",IF(H793&lt;=$B$16,1,IF(H793&gt;=$B$17,$B$21,MATCH(H793,Aux_CAV!$A$2:$A$121,1))))</f>
        <v>22</v>
      </c>
      <c r="AB793" s="18" t="n">
        <f aca="false">IF(D793="","",IF(L793&lt;=$B$16,1,IF(L793&gt;=$B$17,$B$21,MATCH(L793,Aux_CAV!$A$2:$A$121,1))))</f>
        <v>23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16.9973485993079</v>
      </c>
      <c r="E794" s="16" t="n">
        <f aca="false">IF(D794="","",D794*$B$15)</f>
        <v>44.0571275694061</v>
      </c>
      <c r="F794" s="16" t="n">
        <f aca="false" t="array" ref="F794:F794">IF(D794="","",IFERROR(INDEX(Dados_Evap!$C$2:$N$15,MATCH($B$9,Dados_Evap!$A$2:$A$15,0),C794),0))</f>
        <v>102.9</v>
      </c>
      <c r="G794" s="16" t="n">
        <f aca="false">IF(F794="","",F794/1000)</f>
        <v>0.1029</v>
      </c>
      <c r="H794" s="16" t="n">
        <f aca="false">IF(D794="","",MAX(0,MIN($B$8,IFERROR(LOOKUP(2,1/($U$24:U793&lt;&gt;""),$U$24:U793),$B$11))))</f>
        <v>162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15.783</v>
      </c>
      <c r="J794" s="16" t="n">
        <f aca="false">IF(D794="","",$B$12)</f>
        <v>0.432</v>
      </c>
      <c r="K794" s="16" t="n">
        <f aca="false">IF(J794="","",J794*$B$15)</f>
        <v>1.119744</v>
      </c>
      <c r="L794" s="16" t="n">
        <f aca="false">IF(D794="","",H794+E794-K794-G794*I794)</f>
        <v>203.313312869406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18.253929569713</v>
      </c>
      <c r="N794" s="16" t="n">
        <f aca="false">IF(D794="","",(I794+M794)/2)</f>
        <v>17.0184647848565</v>
      </c>
      <c r="O794" s="16" t="n">
        <f aca="false">IF(D794="","",G794*N794)</f>
        <v>1.75120002636174</v>
      </c>
      <c r="P794" s="16" t="n">
        <f aca="false">IF(D794="","",H794+E794-K794-O794)</f>
        <v>203.186183543044</v>
      </c>
      <c r="Q794" s="16" t="n">
        <f aca="false">IF(D794="","",IF(P794&gt;=0,K794,MAX(0,K794+P794)))</f>
        <v>1.119744</v>
      </c>
      <c r="R794" s="16" t="n">
        <f aca="false">IF(D794="","",Q794/$B$15)</f>
        <v>0.432</v>
      </c>
      <c r="S794" s="16" t="n">
        <f aca="false">IF(D794="","",MAX(0,J794-R794))</f>
        <v>0</v>
      </c>
      <c r="T794" s="16" t="n">
        <f aca="false">IF(D794="","",MAX(0,Z794-$B$8))</f>
        <v>41.1861835430443</v>
      </c>
      <c r="U794" s="16" t="n">
        <f aca="false">IF(D794="","",MAX(0,MIN($B$8,Z794)))</f>
        <v>162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203.186183543044</v>
      </c>
      <c r="AA794" s="18" t="n">
        <f aca="false">IF(D794="","",IF(H794&lt;=$B$16,1,IF(H794&gt;=$B$17,$B$21,MATCH(H794,Aux_CAV!$A$2:$A$121,1))))</f>
        <v>23</v>
      </c>
      <c r="AB794" s="18" t="n">
        <f aca="false">IF(D794="","",IF(L794&lt;=$B$16,1,IF(L794&gt;=$B$17,$B$21,MATCH(L794,Aux_CAV!$A$2:$A$121,1))))</f>
        <v>23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35.4745830533982</v>
      </c>
      <c r="E795" s="16" t="n">
        <f aca="false">IF(D795="","",D795*$B$15)</f>
        <v>91.9501192744081</v>
      </c>
      <c r="F795" s="16" t="n">
        <f aca="false" t="array" ref="F795:F795">IF(D795="","",IFERROR(INDEX(Dados_Evap!$C$2:$N$15,MATCH($B$9,Dados_Evap!$A$2:$A$15,0),C795),0))</f>
        <v>81.8</v>
      </c>
      <c r="G795" s="16" t="n">
        <f aca="false">IF(F795="","",F795/1000)</f>
        <v>0.0818</v>
      </c>
      <c r="H795" s="16" t="n">
        <f aca="false">IF(D795="","",MAX(0,MIN($B$8,IFERROR(LOOKUP(2,1/($U$24:U794&lt;&gt;""),$U$24:U794),$B$11))))</f>
        <v>162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15.783</v>
      </c>
      <c r="J795" s="16" t="n">
        <f aca="false">IF(D795="","",$B$12)</f>
        <v>0.432</v>
      </c>
      <c r="K795" s="16" t="n">
        <f aca="false">IF(J795="","",J795*$B$15)</f>
        <v>1.119744</v>
      </c>
      <c r="L795" s="16" t="n">
        <f aca="false">IF(D795="","",H795+E795-K795-G795*I795)</f>
        <v>251.539325874408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21.1383044427741</v>
      </c>
      <c r="N795" s="16" t="n">
        <f aca="false">IF(D795="","",(I795+M795)/2)</f>
        <v>18.4606522213871</v>
      </c>
      <c r="O795" s="16" t="n">
        <f aca="false">IF(D795="","",G795*N795)</f>
        <v>1.51008135170946</v>
      </c>
      <c r="P795" s="16" t="n">
        <f aca="false">IF(D795="","",H795+E795-K795-O795)</f>
        <v>251.320293922699</v>
      </c>
      <c r="Q795" s="16" t="n">
        <f aca="false">IF(D795="","",IF(P795&gt;=0,K795,MAX(0,K795+P795)))</f>
        <v>1.119744</v>
      </c>
      <c r="R795" s="16" t="n">
        <f aca="false">IF(D795="","",Q795/$B$15)</f>
        <v>0.432</v>
      </c>
      <c r="S795" s="16" t="n">
        <f aca="false">IF(D795="","",MAX(0,J795-R795))</f>
        <v>0</v>
      </c>
      <c r="T795" s="16" t="n">
        <f aca="false">IF(D795="","",MAX(0,Z795-$B$8))</f>
        <v>89.3202939226987</v>
      </c>
      <c r="U795" s="16" t="n">
        <f aca="false">IF(D795="","",MAX(0,MIN($B$8,Z795)))</f>
        <v>162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251.320293922699</v>
      </c>
      <c r="AA795" s="18" t="n">
        <f aca="false">IF(D795="","",IF(H795&lt;=$B$16,1,IF(H795&gt;=$B$17,$B$21,MATCH(H795,Aux_CAV!$A$2:$A$121,1))))</f>
        <v>23</v>
      </c>
      <c r="AB795" s="18" t="n">
        <f aca="false">IF(D795="","",IF(L795&lt;=$B$16,1,IF(L795&gt;=$B$17,$B$21,MATCH(L795,Aux_CAV!$A$2:$A$121,1))))</f>
        <v>23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32.1310140570244</v>
      </c>
      <c r="E796" s="16" t="n">
        <f aca="false">IF(D796="","",D796*$B$15)</f>
        <v>83.2835884358073</v>
      </c>
      <c r="F796" s="16" t="n">
        <f aca="false" t="array" ref="F796:F796">IF(D796="","",IFERROR(INDEX(Dados_Evap!$C$2:$N$15,MATCH($B$9,Dados_Evap!$A$2:$A$15,0),C796),0))</f>
        <v>83.6</v>
      </c>
      <c r="G796" s="16" t="n">
        <f aca="false">IF(F796="","",F796/1000)</f>
        <v>0.0836</v>
      </c>
      <c r="H796" s="16" t="n">
        <f aca="false">IF(D796="","",MAX(0,MIN($B$8,IFERROR(LOOKUP(2,1/($U$24:U795&lt;&gt;""),$U$24:U795),$B$11))))</f>
        <v>162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15.783</v>
      </c>
      <c r="J796" s="16" t="n">
        <f aca="false">IF(D796="","",$B$12)</f>
        <v>0.432</v>
      </c>
      <c r="K796" s="16" t="n">
        <f aca="false">IF(J796="","",J796*$B$15)</f>
        <v>1.119744</v>
      </c>
      <c r="L796" s="16" t="n">
        <f aca="false">IF(D796="","",H796+E796-K796-G796*I796)</f>
        <v>242.844385635807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20.6182642075511</v>
      </c>
      <c r="N796" s="16" t="n">
        <f aca="false">IF(D796="","",(I796+M796)/2)</f>
        <v>18.2006321037756</v>
      </c>
      <c r="O796" s="16" t="n">
        <f aca="false">IF(D796="","",G796*N796)</f>
        <v>1.52157284387564</v>
      </c>
      <c r="P796" s="16" t="n">
        <f aca="false">IF(D796="","",H796+E796-K796-O796)</f>
        <v>242.642271591932</v>
      </c>
      <c r="Q796" s="16" t="n">
        <f aca="false">IF(D796="","",IF(P796&gt;=0,K796,MAX(0,K796+P796)))</f>
        <v>1.119744</v>
      </c>
      <c r="R796" s="16" t="n">
        <f aca="false">IF(D796="","",Q796/$B$15)</f>
        <v>0.432</v>
      </c>
      <c r="S796" s="16" t="n">
        <f aca="false">IF(D796="","",MAX(0,J796-R796))</f>
        <v>0</v>
      </c>
      <c r="T796" s="16" t="n">
        <f aca="false">IF(D796="","",MAX(0,Z796-$B$8))</f>
        <v>80.6422715919316</v>
      </c>
      <c r="U796" s="16" t="n">
        <f aca="false">IF(D796="","",MAX(0,MIN($B$8,Z796)))</f>
        <v>162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242.642271591932</v>
      </c>
      <c r="AA796" s="18" t="n">
        <f aca="false">IF(D796="","",IF(H796&lt;=$B$16,1,IF(H796&gt;=$B$17,$B$21,MATCH(H796,Aux_CAV!$A$2:$A$121,1))))</f>
        <v>23</v>
      </c>
      <c r="AB796" s="18" t="n">
        <f aca="false">IF(D796="","",IF(L796&lt;=$B$16,1,IF(L796&gt;=$B$17,$B$21,MATCH(L796,Aux_CAV!$A$2:$A$121,1))))</f>
        <v>23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15.8849280573977</v>
      </c>
      <c r="E797" s="16" t="n">
        <f aca="false">IF(D797="","",D797*$B$15)</f>
        <v>41.1737335247748</v>
      </c>
      <c r="F797" s="16" t="n">
        <f aca="false" t="array" ref="F797:F797">IF(D797="","",IFERROR(INDEX(Dados_Evap!$C$2:$N$15,MATCH($B$9,Dados_Evap!$A$2:$A$15,0),C797),0))</f>
        <v>108.2</v>
      </c>
      <c r="G797" s="16" t="n">
        <f aca="false">IF(F797="","",F797/1000)</f>
        <v>0.1082</v>
      </c>
      <c r="H797" s="16" t="n">
        <f aca="false">IF(D797="","",MAX(0,MIN($B$8,IFERROR(LOOKUP(2,1/($U$24:U796&lt;&gt;""),$U$24:U796),$B$11))))</f>
        <v>162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15.783</v>
      </c>
      <c r="J797" s="16" t="n">
        <f aca="false">IF(D797="","",$B$12)</f>
        <v>0.432</v>
      </c>
      <c r="K797" s="16" t="n">
        <f aca="false">IF(J797="","",J797*$B$15)</f>
        <v>1.119744</v>
      </c>
      <c r="L797" s="16" t="n">
        <f aca="false">IF(D797="","",H797+E797-K797-G797*I797)</f>
        <v>200.346268924775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18.0764720842627</v>
      </c>
      <c r="N797" s="16" t="n">
        <f aca="false">IF(D797="","",(I797+M797)/2)</f>
        <v>16.9297360421314</v>
      </c>
      <c r="O797" s="16" t="n">
        <f aca="false">IF(D797="","",G797*N797)</f>
        <v>1.83179743975861</v>
      </c>
      <c r="P797" s="16" t="n">
        <f aca="false">IF(D797="","",H797+E797-K797-O797)</f>
        <v>200.222192085016</v>
      </c>
      <c r="Q797" s="16" t="n">
        <f aca="false">IF(D797="","",IF(P797&gt;=0,K797,MAX(0,K797+P797)))</f>
        <v>1.119744</v>
      </c>
      <c r="R797" s="16" t="n">
        <f aca="false">IF(D797="","",Q797/$B$15)</f>
        <v>0.432</v>
      </c>
      <c r="S797" s="16" t="n">
        <f aca="false">IF(D797="","",MAX(0,J797-R797))</f>
        <v>0</v>
      </c>
      <c r="T797" s="16" t="n">
        <f aca="false">IF(D797="","",MAX(0,Z797-$B$8))</f>
        <v>38.2221920850162</v>
      </c>
      <c r="U797" s="16" t="n">
        <f aca="false">IF(D797="","",MAX(0,MIN($B$8,Z797)))</f>
        <v>162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200.222192085016</v>
      </c>
      <c r="AA797" s="18" t="n">
        <f aca="false">IF(D797="","",IF(H797&lt;=$B$16,1,IF(H797&gt;=$B$17,$B$21,MATCH(H797,Aux_CAV!$A$2:$A$121,1))))</f>
        <v>23</v>
      </c>
      <c r="AB797" s="18" t="n">
        <f aca="false">IF(D797="","",IF(L797&lt;=$B$16,1,IF(L797&gt;=$B$17,$B$21,MATCH(L797,Aux_CAV!$A$2:$A$121,1))))</f>
        <v>23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5.54609349102561</v>
      </c>
      <c r="E798" s="16" t="n">
        <f aca="false">IF(D798="","",D798*$B$15)</f>
        <v>14.3754743287384</v>
      </c>
      <c r="F798" s="16" t="n">
        <f aca="false" t="array" ref="F798:F798">IF(D798="","",IFERROR(INDEX(Dados_Evap!$C$2:$N$15,MATCH($B$9,Dados_Evap!$A$2:$A$15,0),C798),0))</f>
        <v>149</v>
      </c>
      <c r="G798" s="16" t="n">
        <f aca="false">IF(F798="","",F798/1000)</f>
        <v>0.149</v>
      </c>
      <c r="H798" s="16" t="n">
        <f aca="false">IF(D798="","",MAX(0,MIN($B$8,IFERROR(LOOKUP(2,1/($U$24:U797&lt;&gt;""),$U$24:U797),$B$11))))</f>
        <v>162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15.783</v>
      </c>
      <c r="J798" s="16" t="n">
        <f aca="false">IF(D798="","",$B$12)</f>
        <v>0.432</v>
      </c>
      <c r="K798" s="16" t="n">
        <f aca="false">IF(J798="","",J798*$B$15)</f>
        <v>1.119744</v>
      </c>
      <c r="L798" s="16" t="n">
        <f aca="false">IF(D798="","",H798+E798-K798-G798*I798)</f>
        <v>172.904063328738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16.4351668352807</v>
      </c>
      <c r="N798" s="16" t="n">
        <f aca="false">IF(D798="","",(I798+M798)/2)</f>
        <v>16.1090834176404</v>
      </c>
      <c r="O798" s="16" t="n">
        <f aca="false">IF(D798="","",G798*N798)</f>
        <v>2.40025342922841</v>
      </c>
      <c r="P798" s="16" t="n">
        <f aca="false">IF(D798="","",H798+E798-K798-O798)</f>
        <v>172.85547689951</v>
      </c>
      <c r="Q798" s="16" t="n">
        <f aca="false">IF(D798="","",IF(P798&gt;=0,K798,MAX(0,K798+P798)))</f>
        <v>1.119744</v>
      </c>
      <c r="R798" s="16" t="n">
        <f aca="false">IF(D798="","",Q798/$B$15)</f>
        <v>0.432</v>
      </c>
      <c r="S798" s="16" t="n">
        <f aca="false">IF(D798="","",MAX(0,J798-R798))</f>
        <v>0</v>
      </c>
      <c r="T798" s="16" t="n">
        <f aca="false">IF(D798="","",MAX(0,Z798-$B$8))</f>
        <v>10.85547689951</v>
      </c>
      <c r="U798" s="16" t="n">
        <f aca="false">IF(D798="","",MAX(0,MIN($B$8,Z798)))</f>
        <v>162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172.85547689951</v>
      </c>
      <c r="AA798" s="18" t="n">
        <f aca="false">IF(D798="","",IF(H798&lt;=$B$16,1,IF(H798&gt;=$B$17,$B$21,MATCH(H798,Aux_CAV!$A$2:$A$121,1))))</f>
        <v>23</v>
      </c>
      <c r="AB798" s="18" t="n">
        <f aca="false">IF(D798="","",IF(L798&lt;=$B$16,1,IF(L798&gt;=$B$17,$B$21,MATCH(L798,Aux_CAV!$A$2:$A$121,1))))</f>
        <v>23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1.81767772281213</v>
      </c>
      <c r="E799" s="16" t="n">
        <f aca="false">IF(D799="","",D799*$B$15)</f>
        <v>4.71142065752904</v>
      </c>
      <c r="F799" s="16" t="n">
        <f aca="false" t="array" ref="F799:F799">IF(D799="","",IFERROR(INDEX(Dados_Evap!$C$2:$N$15,MATCH($B$9,Dados_Evap!$A$2:$A$15,0),C799),0))</f>
        <v>206.8</v>
      </c>
      <c r="G799" s="16" t="n">
        <f aca="false">IF(F799="","",F799/1000)</f>
        <v>0.2068</v>
      </c>
      <c r="H799" s="16" t="n">
        <f aca="false">IF(D799="","",MAX(0,MIN($B$8,IFERROR(LOOKUP(2,1/($U$24:U798&lt;&gt;""),$U$24:U798),$B$11))))</f>
        <v>162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15.783</v>
      </c>
      <c r="J799" s="16" t="n">
        <f aca="false">IF(D799="","",$B$12)</f>
        <v>0.432</v>
      </c>
      <c r="K799" s="16" t="n">
        <f aca="false">IF(J799="","",J799*$B$15)</f>
        <v>1.119744</v>
      </c>
      <c r="L799" s="16" t="n">
        <f aca="false">IF(D799="","",H799+E799-K799-G799*I799)</f>
        <v>162.327752257529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15.8026027064503</v>
      </c>
      <c r="N799" s="16" t="n">
        <f aca="false">IF(D799="","",(I799+M799)/2)</f>
        <v>15.7928013532252</v>
      </c>
      <c r="O799" s="16" t="n">
        <f aca="false">IF(D799="","",G799*N799)</f>
        <v>3.26595131984696</v>
      </c>
      <c r="P799" s="16" t="n">
        <f aca="false">IF(D799="","",H799+E799-K799-O799)</f>
        <v>162.325725337682</v>
      </c>
      <c r="Q799" s="16" t="n">
        <f aca="false">IF(D799="","",IF(P799&gt;=0,K799,MAX(0,K799+P799)))</f>
        <v>1.119744</v>
      </c>
      <c r="R799" s="16" t="n">
        <f aca="false">IF(D799="","",Q799/$B$15)</f>
        <v>0.432</v>
      </c>
      <c r="S799" s="16" t="n">
        <f aca="false">IF(D799="","",MAX(0,J799-R799))</f>
        <v>0</v>
      </c>
      <c r="T799" s="16" t="n">
        <f aca="false">IF(D799="","",MAX(0,Z799-$B$8))</f>
        <v>0.325725337682087</v>
      </c>
      <c r="U799" s="16" t="n">
        <f aca="false">IF(D799="","",MAX(0,MIN($B$8,Z799)))</f>
        <v>162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100</v>
      </c>
      <c r="Z799" s="18" t="n">
        <f aca="false">IF(D799="","",MAX(0,IF(P799&gt;=0,P799,IF(K799+P799&gt;=0,0,P799+K799))))</f>
        <v>162.325725337682</v>
      </c>
      <c r="AA799" s="18" t="n">
        <f aca="false">IF(D799="","",IF(H799&lt;=$B$16,1,IF(H799&gt;=$B$17,$B$21,MATCH(H799,Aux_CAV!$A$2:$A$121,1))))</f>
        <v>23</v>
      </c>
      <c r="AB799" s="18" t="n">
        <f aca="false">IF(D799="","",IF(L799&lt;=$B$16,1,IF(L799&gt;=$B$17,$B$21,MATCH(L799,Aux_CAV!$A$2:$A$121,1))))</f>
        <v>23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2.41515078406617</v>
      </c>
      <c r="E800" s="16" t="n">
        <f aca="false">IF(D800="","",D800*$B$15)</f>
        <v>6.26007083229951</v>
      </c>
      <c r="F800" s="16" t="n">
        <f aca="false" t="array" ref="F800:F800">IF(D800="","",IFERROR(INDEX(Dados_Evap!$C$2:$N$15,MATCH($B$9,Dados_Evap!$A$2:$A$15,0),C800),0))</f>
        <v>245.9</v>
      </c>
      <c r="G800" s="16" t="n">
        <f aca="false">IF(F800="","",F800/1000)</f>
        <v>0.2459</v>
      </c>
      <c r="H800" s="16" t="n">
        <f aca="false">IF(D800="","",MAX(0,MIN($B$8,IFERROR(LOOKUP(2,1/($U$24:U799&lt;&gt;""),$U$24:U799),$B$11))))</f>
        <v>162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15.783</v>
      </c>
      <c r="J800" s="16" t="n">
        <f aca="false">IF(D800="","",$B$12)</f>
        <v>0.432</v>
      </c>
      <c r="K800" s="16" t="n">
        <f aca="false">IF(J800="","",J800*$B$15)</f>
        <v>1.119744</v>
      </c>
      <c r="L800" s="16" t="n">
        <f aca="false">IF(D800="","",H800+E800-K800-G800*I800)</f>
        <v>163.2592871323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15.8583173637223</v>
      </c>
      <c r="N800" s="16" t="n">
        <f aca="false">IF(D800="","",(I800+M800)/2)</f>
        <v>15.8206586818611</v>
      </c>
      <c r="O800" s="16" t="n">
        <f aca="false">IF(D800="","",G800*N800)</f>
        <v>3.89029996986966</v>
      </c>
      <c r="P800" s="16" t="n">
        <f aca="false">IF(D800="","",H800+E800-K800-O800)</f>
        <v>163.25002686243</v>
      </c>
      <c r="Q800" s="16" t="n">
        <f aca="false">IF(D800="","",IF(P800&gt;=0,K800,MAX(0,K800+P800)))</f>
        <v>1.119744</v>
      </c>
      <c r="R800" s="16" t="n">
        <f aca="false">IF(D800="","",Q800/$B$15)</f>
        <v>0.432</v>
      </c>
      <c r="S800" s="16" t="n">
        <f aca="false">IF(D800="","",MAX(0,J800-R800))</f>
        <v>0</v>
      </c>
      <c r="T800" s="16" t="n">
        <f aca="false">IF(D800="","",MAX(0,Z800-$B$8))</f>
        <v>1.25002686242985</v>
      </c>
      <c r="U800" s="16" t="n">
        <f aca="false">IF(D800="","",MAX(0,MIN($B$8,Z800)))</f>
        <v>162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100</v>
      </c>
      <c r="Z800" s="18" t="n">
        <f aca="false">IF(D800="","",MAX(0,IF(P800&gt;=0,P800,IF(K800+P800&gt;=0,0,P800+K800))))</f>
        <v>163.25002686243</v>
      </c>
      <c r="AA800" s="18" t="n">
        <f aca="false">IF(D800="","",IF(H800&lt;=$B$16,1,IF(H800&gt;=$B$17,$B$21,MATCH(H800,Aux_CAV!$A$2:$A$121,1))))</f>
        <v>23</v>
      </c>
      <c r="AB800" s="18" t="n">
        <f aca="false">IF(D800="","",IF(L800&lt;=$B$16,1,IF(L800&gt;=$B$17,$B$21,MATCH(L800,Aux_CAV!$A$2:$A$121,1))))</f>
        <v>23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1.24957503954547</v>
      </c>
      <c r="E801" s="16" t="n">
        <f aca="false">IF(D801="","",D801*$B$15)</f>
        <v>3.23889850250186</v>
      </c>
      <c r="F801" s="16" t="n">
        <f aca="false" t="array" ref="F801:F801">IF(D801="","",IFERROR(INDEX(Dados_Evap!$C$2:$N$15,MATCH($B$9,Dados_Evap!$A$2:$A$15,0),C801),0))</f>
        <v>282.3</v>
      </c>
      <c r="G801" s="16" t="n">
        <f aca="false">IF(F801="","",F801/1000)</f>
        <v>0.2823</v>
      </c>
      <c r="H801" s="16" t="n">
        <f aca="false">IF(D801="","",MAX(0,MIN($B$8,IFERROR(LOOKUP(2,1/($U$24:U800&lt;&gt;""),$U$24:U800),$B$11))))</f>
        <v>162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15.783</v>
      </c>
      <c r="J801" s="16" t="n">
        <f aca="false">IF(D801="","",$B$12)</f>
        <v>0.432</v>
      </c>
      <c r="K801" s="16" t="n">
        <f aca="false">IF(J801="","",J801*$B$15)</f>
        <v>1.119744</v>
      </c>
      <c r="L801" s="16" t="n">
        <f aca="false">IF(D801="","",H801+E801-K801-G801*I801)</f>
        <v>159.663613602502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15.6128952635547</v>
      </c>
      <c r="N801" s="16" t="n">
        <f aca="false">IF(D801="","",(I801+M801)/2)</f>
        <v>15.6979476317773</v>
      </c>
      <c r="O801" s="16" t="n">
        <f aca="false">IF(D801="","",G801*N801)</f>
        <v>4.43153061645074</v>
      </c>
      <c r="P801" s="16" t="n">
        <f aca="false">IF(D801="","",H801+E801-K801-O801)</f>
        <v>159.687623886051</v>
      </c>
      <c r="Q801" s="16" t="n">
        <f aca="false">IF(D801="","",IF(P801&gt;=0,K801,MAX(0,K801+P801)))</f>
        <v>1.119744</v>
      </c>
      <c r="R801" s="16" t="n">
        <f aca="false">IF(D801="","",Q801/$B$15)</f>
        <v>0.432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159.687623886051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98.5726073370686</v>
      </c>
      <c r="Z801" s="18" t="n">
        <f aca="false">IF(D801="","",MAX(0,IF(P801&gt;=0,P801,IF(K801+P801&gt;=0,0,P801+K801))))</f>
        <v>159.687623886051</v>
      </c>
      <c r="AA801" s="18" t="n">
        <f aca="false">IF(D801="","",IF(H801&lt;=$B$16,1,IF(H801&gt;=$B$17,$B$21,MATCH(H801,Aux_CAV!$A$2:$A$121,1))))</f>
        <v>23</v>
      </c>
      <c r="AB801" s="18" t="n">
        <f aca="false">IF(D801="","",IF(L801&lt;=$B$16,1,IF(L801&gt;=$B$17,$B$21,MATCH(L801,Aux_CAV!$A$2:$A$121,1))))</f>
        <v>22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0.972789871219338</v>
      </c>
      <c r="E802" s="16" t="n">
        <f aca="false">IF(D802="","",D802*$B$15)</f>
        <v>2.52147134620052</v>
      </c>
      <c r="F802" s="16" t="n">
        <f aca="false" t="array" ref="F802:F802">IF(D802="","",IFERROR(INDEX(Dados_Evap!$C$2:$N$15,MATCH($B$9,Dados_Evap!$A$2:$A$15,0),C802),0))</f>
        <v>241.3</v>
      </c>
      <c r="G802" s="16" t="n">
        <f aca="false">IF(F802="","",F802/1000)</f>
        <v>0.2413</v>
      </c>
      <c r="H802" s="16" t="n">
        <f aca="false">IF(D802="","",MAX(0,MIN($B$8,IFERROR(LOOKUP(2,1/($U$24:U801&lt;&gt;""),$U$24:U801),$B$11))))</f>
        <v>159.687623886051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15.6146433746375</v>
      </c>
      <c r="J802" s="16" t="n">
        <f aca="false">IF(D802="","",$B$12)</f>
        <v>0.432</v>
      </c>
      <c r="K802" s="16" t="n">
        <f aca="false">IF(J802="","",J802*$B$15)</f>
        <v>1.119744</v>
      </c>
      <c r="L802" s="16" t="n">
        <f aca="false">IF(D802="","",H802+E802-K802-G802*I802)</f>
        <v>157.321537785952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15.4423762989109</v>
      </c>
      <c r="N802" s="16" t="n">
        <f aca="false">IF(D802="","",(I802+M802)/2)</f>
        <v>15.5285098367742</v>
      </c>
      <c r="O802" s="16" t="n">
        <f aca="false">IF(D802="","",G802*N802)</f>
        <v>3.7470294236136</v>
      </c>
      <c r="P802" s="16" t="n">
        <f aca="false">IF(D802="","",H802+E802-K802-O802)</f>
        <v>157.342321808638</v>
      </c>
      <c r="Q802" s="16" t="n">
        <f aca="false">IF(D802="","",IF(P802&gt;=0,K802,MAX(0,K802+P802)))</f>
        <v>1.119744</v>
      </c>
      <c r="R802" s="16" t="n">
        <f aca="false">IF(D802="","",Q802/$B$15)</f>
        <v>0.432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157.342321808638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97.1248900053321</v>
      </c>
      <c r="Z802" s="18" t="n">
        <f aca="false">IF(D802="","",MAX(0,IF(P802&gt;=0,P802,IF(K802+P802&gt;=0,0,P802+K802))))</f>
        <v>157.342321808638</v>
      </c>
      <c r="AA802" s="18" t="n">
        <f aca="false">IF(D802="","",IF(H802&lt;=$B$16,1,IF(H802&gt;=$B$17,$B$21,MATCH(H802,Aux_CAV!$A$2:$A$121,1))))</f>
        <v>22</v>
      </c>
      <c r="AB802" s="18" t="n">
        <f aca="false">IF(D802="","",IF(L802&lt;=$B$16,1,IF(L802&gt;=$B$17,$B$21,MATCH(L802,Aux_CAV!$A$2:$A$121,1))))</f>
        <v>22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1.7743626403341</v>
      </c>
      <c r="E803" s="16" t="n">
        <f aca="false">IF(D803="","",D803*$B$15)</f>
        <v>4.59914796374599</v>
      </c>
      <c r="F803" s="16" t="n">
        <f aca="false" t="array" ref="F803:F803">IF(D803="","",IFERROR(INDEX(Dados_Evap!$C$2:$N$15,MATCH($B$9,Dados_Evap!$A$2:$A$15,0),C803),0))</f>
        <v>241.8</v>
      </c>
      <c r="G803" s="16" t="n">
        <f aca="false">IF(F803="","",F803/1000)</f>
        <v>0.2418</v>
      </c>
      <c r="H803" s="16" t="n">
        <f aca="false">IF(D803="","",MAX(0,MIN($B$8,IFERROR(LOOKUP(2,1/($U$24:U802&lt;&gt;""),$U$24:U802),$B$11))))</f>
        <v>157.342321808638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15.4438895163757</v>
      </c>
      <c r="J803" s="16" t="n">
        <f aca="false">IF(D803="","",$B$12)</f>
        <v>0.432</v>
      </c>
      <c r="K803" s="16" t="n">
        <f aca="false">IF(J803="","",J803*$B$15)</f>
        <v>1.119744</v>
      </c>
      <c r="L803" s="16" t="n">
        <f aca="false">IF(D803="","",H803+E803-K803-G803*I803)</f>
        <v>157.087393287324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15.4253289953177</v>
      </c>
      <c r="N803" s="16" t="n">
        <f aca="false">IF(D803="","",(I803+M803)/2)</f>
        <v>15.4346092558467</v>
      </c>
      <c r="O803" s="16" t="n">
        <f aca="false">IF(D803="","",G803*N803)</f>
        <v>3.73208851806373</v>
      </c>
      <c r="P803" s="16" t="n">
        <f aca="false">IF(D803="","",H803+E803-K803-O803)</f>
        <v>157.08963725432</v>
      </c>
      <c r="Q803" s="16" t="n">
        <f aca="false">IF(D803="","",IF(P803&gt;=0,K803,MAX(0,K803+P803)))</f>
        <v>1.119744</v>
      </c>
      <c r="R803" s="16" t="n">
        <f aca="false">IF(D803="","",Q803/$B$15)</f>
        <v>0.432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157.08963725432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96.9689118853829</v>
      </c>
      <c r="Z803" s="18" t="n">
        <f aca="false">IF(D803="","",MAX(0,IF(P803&gt;=0,P803,IF(K803+P803&gt;=0,0,P803+K803))))</f>
        <v>157.08963725432</v>
      </c>
      <c r="AA803" s="18" t="n">
        <f aca="false">IF(D803="","",IF(H803&lt;=$B$16,1,IF(H803&gt;=$B$17,$B$21,MATCH(H803,Aux_CAV!$A$2:$A$121,1))))</f>
        <v>22</v>
      </c>
      <c r="AB803" s="18" t="n">
        <f aca="false">IF(D803="","",IF(L803&lt;=$B$16,1,IF(L803&gt;=$B$17,$B$21,MATCH(L803,Aux_CAV!$A$2:$A$121,1))))</f>
        <v>22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1.5438878777195</v>
      </c>
      <c r="E804" s="16" t="n">
        <f aca="false">IF(D804="","",D804*$B$15)</f>
        <v>4.00175737904894</v>
      </c>
      <c r="F804" s="16" t="n">
        <f aca="false" t="array" ref="F804:F804">IF(D804="","",IFERROR(INDEX(Dados_Evap!$C$2:$N$15,MATCH($B$9,Dados_Evap!$A$2:$A$15,0),C804),0))</f>
        <v>189</v>
      </c>
      <c r="G804" s="16" t="n">
        <f aca="false">IF(F804="","",F804/1000)</f>
        <v>0.189</v>
      </c>
      <c r="H804" s="16" t="n">
        <f aca="false">IF(D804="","",MAX(0,MIN($B$8,IFERROR(LOOKUP(2,1/($U$24:U803&lt;&gt;""),$U$24:U803),$B$11))))</f>
        <v>157.08963725432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15.4254923712964</v>
      </c>
      <c r="J804" s="16" t="n">
        <f aca="false">IF(D804="","",$B$12)</f>
        <v>0.432</v>
      </c>
      <c r="K804" s="16" t="n">
        <f aca="false">IF(J804="","",J804*$B$15)</f>
        <v>1.119744</v>
      </c>
      <c r="L804" s="16" t="n">
        <f aca="false">IF(D804="","",H804+E804-K804-G804*I804)</f>
        <v>157.056232575194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15.4230602846583</v>
      </c>
      <c r="N804" s="16" t="n">
        <f aca="false">IF(D804="","",(I804+M804)/2)</f>
        <v>15.4242763279774</v>
      </c>
      <c r="O804" s="16" t="n">
        <f aca="false">IF(D804="","",G804*N804)</f>
        <v>2.91518822598773</v>
      </c>
      <c r="P804" s="16" t="n">
        <f aca="false">IF(D804="","",H804+E804-K804-O804)</f>
        <v>157.056462407382</v>
      </c>
      <c r="Q804" s="16" t="n">
        <f aca="false">IF(D804="","",IF(P804&gt;=0,K804,MAX(0,K804+P804)))</f>
        <v>1.119744</v>
      </c>
      <c r="R804" s="16" t="n">
        <f aca="false">IF(D804="","",Q804/$B$15)</f>
        <v>0.432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157.056462407382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96.9484335848034</v>
      </c>
      <c r="Z804" s="18" t="n">
        <f aca="false">IF(D804="","",MAX(0,IF(P804&gt;=0,P804,IF(K804+P804&gt;=0,0,P804+K804))))</f>
        <v>157.056462407382</v>
      </c>
      <c r="AA804" s="18" t="n">
        <f aca="false">IF(D804="","",IF(H804&lt;=$B$16,1,IF(H804&gt;=$B$17,$B$21,MATCH(H804,Aux_CAV!$A$2:$A$121,1))))</f>
        <v>22</v>
      </c>
      <c r="AB804" s="18" t="n">
        <f aca="false">IF(D804="","",IF(L804&lt;=$B$16,1,IF(L804&gt;=$B$17,$B$21,MATCH(L804,Aux_CAV!$A$2:$A$121,1))))</f>
        <v>22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3.03496818977751</v>
      </c>
      <c r="E805" s="16" t="n">
        <f aca="false">IF(D805="","",D805*$B$15)</f>
        <v>7.86663754790331</v>
      </c>
      <c r="F805" s="16" t="n">
        <f aca="false" t="array" ref="F805:F805">IF(D805="","",IFERROR(INDEX(Dados_Evap!$C$2:$N$15,MATCH($B$9,Dados_Evap!$A$2:$A$15,0),C805),0))</f>
        <v>136.9</v>
      </c>
      <c r="G805" s="16" t="n">
        <f aca="false">IF(F805="","",F805/1000)</f>
        <v>0.1369</v>
      </c>
      <c r="H805" s="16" t="n">
        <f aca="false">IF(D805="","",MAX(0,MIN($B$8,IFERROR(LOOKUP(2,1/($U$24:U804&lt;&gt;""),$U$24:U804),$B$11))))</f>
        <v>157.056462407382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15.4230770179965</v>
      </c>
      <c r="J805" s="16" t="n">
        <f aca="false">IF(D805="","",$B$12)</f>
        <v>0.432</v>
      </c>
      <c r="K805" s="16" t="n">
        <f aca="false">IF(J805="","",J805*$B$15)</f>
        <v>1.119744</v>
      </c>
      <c r="L805" s="16" t="n">
        <f aca="false">IF(D805="","",H805+E805-K805-G805*I805)</f>
        <v>161.691936711521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15.7605709084117</v>
      </c>
      <c r="N805" s="16" t="n">
        <f aca="false">IF(D805="","",(I805+M805)/2)</f>
        <v>15.5918239632041</v>
      </c>
      <c r="O805" s="16" t="n">
        <f aca="false">IF(D805="","",G805*N805)</f>
        <v>2.13452070056264</v>
      </c>
      <c r="P805" s="16" t="n">
        <f aca="false">IF(D805="","",H805+E805-K805-O805)</f>
        <v>161.668835254722</v>
      </c>
      <c r="Q805" s="16" t="n">
        <f aca="false">IF(D805="","",IF(P805&gt;=0,K805,MAX(0,K805+P805)))</f>
        <v>1.119744</v>
      </c>
      <c r="R805" s="16" t="n">
        <f aca="false">IF(D805="","",Q805/$B$15)</f>
        <v>0.432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161.668835254722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99.7955773177297</v>
      </c>
      <c r="Z805" s="18" t="n">
        <f aca="false">IF(D805="","",MAX(0,IF(P805&gt;=0,P805,IF(K805+P805&gt;=0,0,P805+K805))))</f>
        <v>161.668835254722</v>
      </c>
      <c r="AA805" s="18" t="n">
        <f aca="false">IF(D805="","",IF(H805&lt;=$B$16,1,IF(H805&gt;=$B$17,$B$21,MATCH(H805,Aux_CAV!$A$2:$A$121,1))))</f>
        <v>22</v>
      </c>
      <c r="AB805" s="18" t="n">
        <f aca="false">IF(D805="","",IF(L805&lt;=$B$16,1,IF(L805&gt;=$B$17,$B$21,MATCH(L805,Aux_CAV!$A$2:$A$121,1))))</f>
        <v>22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7.80422788891739</v>
      </c>
      <c r="E806" s="16" t="n">
        <f aca="false">IF(D806="","",D806*$B$15)</f>
        <v>20.2285586880739</v>
      </c>
      <c r="F806" s="16" t="n">
        <f aca="false" t="array" ref="F806:F806">IF(D806="","",IFERROR(INDEX(Dados_Evap!$C$2:$N$15,MATCH($B$9,Dados_Evap!$A$2:$A$15,0),C806),0))</f>
        <v>102.9</v>
      </c>
      <c r="G806" s="16" t="n">
        <f aca="false">IF(F806="","",F806/1000)</f>
        <v>0.1029</v>
      </c>
      <c r="H806" s="16" t="n">
        <f aca="false">IF(D806="","",MAX(0,MIN($B$8,IFERROR(LOOKUP(2,1/($U$24:U805&lt;&gt;""),$U$24:U805),$B$11))))</f>
        <v>161.668835254722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15.758888966065</v>
      </c>
      <c r="J806" s="16" t="n">
        <f aca="false">IF(D806="","",$B$12)</f>
        <v>0.432</v>
      </c>
      <c r="K806" s="16" t="n">
        <f aca="false">IF(J806="","",J806*$B$15)</f>
        <v>1.119744</v>
      </c>
      <c r="L806" s="16" t="n">
        <f aca="false">IF(D806="","",H806+E806-K806-G806*I806)</f>
        <v>179.156060268188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16.8090957950878</v>
      </c>
      <c r="N806" s="16" t="n">
        <f aca="false">IF(D806="","",(I806+M806)/2)</f>
        <v>16.2839923805764</v>
      </c>
      <c r="O806" s="16" t="n">
        <f aca="false">IF(D806="","",G806*N806)</f>
        <v>1.67562281596131</v>
      </c>
      <c r="P806" s="16" t="n">
        <f aca="false">IF(D806="","",H806+E806-K806-O806)</f>
        <v>179.102027126835</v>
      </c>
      <c r="Q806" s="16" t="n">
        <f aca="false">IF(D806="","",IF(P806&gt;=0,K806,MAX(0,K806+P806)))</f>
        <v>1.119744</v>
      </c>
      <c r="R806" s="16" t="n">
        <f aca="false">IF(D806="","",Q806/$B$15)</f>
        <v>0.432</v>
      </c>
      <c r="S806" s="16" t="n">
        <f aca="false">IF(D806="","",MAX(0,J806-R806))</f>
        <v>0</v>
      </c>
      <c r="T806" s="16" t="n">
        <f aca="false">IF(D806="","",MAX(0,Z806-$B$8))</f>
        <v>17.1020271268347</v>
      </c>
      <c r="U806" s="16" t="n">
        <f aca="false">IF(D806="","",MAX(0,MIN($B$8,Z806)))</f>
        <v>162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179.102027126835</v>
      </c>
      <c r="AA806" s="18" t="n">
        <f aca="false">IF(D806="","",IF(H806&lt;=$B$16,1,IF(H806&gt;=$B$17,$B$21,MATCH(H806,Aux_CAV!$A$2:$A$121,1))))</f>
        <v>22</v>
      </c>
      <c r="AB806" s="18" t="n">
        <f aca="false">IF(D806="","",IF(L806&lt;=$B$16,1,IF(L806&gt;=$B$17,$B$21,MATCH(L806,Aux_CAV!$A$2:$A$121,1))))</f>
        <v>23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8.07702285419524</v>
      </c>
      <c r="E807" s="16" t="n">
        <f aca="false">IF(D807="","",D807*$B$15)</f>
        <v>20.9356432380741</v>
      </c>
      <c r="F807" s="16" t="n">
        <f aca="false" t="array" ref="F807:F807">IF(D807="","",IFERROR(INDEX(Dados_Evap!$C$2:$N$15,MATCH($B$9,Dados_Evap!$A$2:$A$15,0),C807),0))</f>
        <v>81.8</v>
      </c>
      <c r="G807" s="16" t="n">
        <f aca="false">IF(F807="","",F807/1000)</f>
        <v>0.0818</v>
      </c>
      <c r="H807" s="16" t="n">
        <f aca="false">IF(D807="","",MAX(0,MIN($B$8,IFERROR(LOOKUP(2,1/($U$24:U806&lt;&gt;""),$U$24:U806),$B$11))))</f>
        <v>162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15.783</v>
      </c>
      <c r="J807" s="16" t="n">
        <f aca="false">IF(D807="","",$B$12)</f>
        <v>0.432</v>
      </c>
      <c r="K807" s="16" t="n">
        <f aca="false">IF(J807="","",J807*$B$15)</f>
        <v>1.119744</v>
      </c>
      <c r="L807" s="16" t="n">
        <f aca="false">IF(D807="","",H807+E807-K807-G807*I807)</f>
        <v>180.524849838074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16.8909624474581</v>
      </c>
      <c r="N807" s="16" t="n">
        <f aca="false">IF(D807="","",(I807+M807)/2)</f>
        <v>16.3369812237291</v>
      </c>
      <c r="O807" s="16" t="n">
        <f aca="false">IF(D807="","",G807*N807)</f>
        <v>1.33636506410104</v>
      </c>
      <c r="P807" s="16" t="n">
        <f aca="false">IF(D807="","",H807+E807-K807-O807)</f>
        <v>180.479534173973</v>
      </c>
      <c r="Q807" s="16" t="n">
        <f aca="false">IF(D807="","",IF(P807&gt;=0,K807,MAX(0,K807+P807)))</f>
        <v>1.119744</v>
      </c>
      <c r="R807" s="16" t="n">
        <f aca="false">IF(D807="","",Q807/$B$15)</f>
        <v>0.432</v>
      </c>
      <c r="S807" s="16" t="n">
        <f aca="false">IF(D807="","",MAX(0,J807-R807))</f>
        <v>0</v>
      </c>
      <c r="T807" s="16" t="n">
        <f aca="false">IF(D807="","",MAX(0,Z807-$B$8))</f>
        <v>18.479534173973</v>
      </c>
      <c r="U807" s="16" t="n">
        <f aca="false">IF(D807="","",MAX(0,MIN($B$8,Z807)))</f>
        <v>162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180.479534173973</v>
      </c>
      <c r="AA807" s="18" t="n">
        <f aca="false">IF(D807="","",IF(H807&lt;=$B$16,1,IF(H807&gt;=$B$17,$B$21,MATCH(H807,Aux_CAV!$A$2:$A$121,1))))</f>
        <v>23</v>
      </c>
      <c r="AB807" s="18" t="n">
        <f aca="false">IF(D807="","",IF(L807&lt;=$B$16,1,IF(L807&gt;=$B$17,$B$21,MATCH(L807,Aux_CAV!$A$2:$A$121,1))))</f>
        <v>23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13.9105192820761</v>
      </c>
      <c r="E808" s="16" t="n">
        <f aca="false">IF(D808="","",D808*$B$15)</f>
        <v>36.0560659791413</v>
      </c>
      <c r="F808" s="16" t="n">
        <f aca="false" t="array" ref="F808:F808">IF(D808="","",IFERROR(INDEX(Dados_Evap!$C$2:$N$15,MATCH($B$9,Dados_Evap!$A$2:$A$15,0),C808),0))</f>
        <v>83.6</v>
      </c>
      <c r="G808" s="16" t="n">
        <f aca="false">IF(F808="","",F808/1000)</f>
        <v>0.0836</v>
      </c>
      <c r="H808" s="16" t="n">
        <f aca="false">IF(D808="","",MAX(0,MIN($B$8,IFERROR(LOOKUP(2,1/($U$24:U807&lt;&gt;""),$U$24:U807),$B$11))))</f>
        <v>162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15.783</v>
      </c>
      <c r="J808" s="16" t="n">
        <f aca="false">IF(D808="","",$B$12)</f>
        <v>0.432</v>
      </c>
      <c r="K808" s="16" t="n">
        <f aca="false">IF(J808="","",J808*$B$15)</f>
        <v>1.119744</v>
      </c>
      <c r="L808" s="16" t="n">
        <f aca="false">IF(D808="","",H808+E808-K808-G808*I808)</f>
        <v>195.616863179141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17.7936085787144</v>
      </c>
      <c r="N808" s="16" t="n">
        <f aca="false">IF(D808="","",(I808+M808)/2)</f>
        <v>16.7883042893572</v>
      </c>
      <c r="O808" s="16" t="n">
        <f aca="false">IF(D808="","",G808*N808)</f>
        <v>1.40350223859026</v>
      </c>
      <c r="P808" s="16" t="n">
        <f aca="false">IF(D808="","",H808+E808-K808-O808)</f>
        <v>195.532819740551</v>
      </c>
      <c r="Q808" s="16" t="n">
        <f aca="false">IF(D808="","",IF(P808&gt;=0,K808,MAX(0,K808+P808)))</f>
        <v>1.119744</v>
      </c>
      <c r="R808" s="16" t="n">
        <f aca="false">IF(D808="","",Q808/$B$15)</f>
        <v>0.432</v>
      </c>
      <c r="S808" s="16" t="n">
        <f aca="false">IF(D808="","",MAX(0,J808-R808))</f>
        <v>0</v>
      </c>
      <c r="T808" s="16" t="n">
        <f aca="false">IF(D808="","",MAX(0,Z808-$B$8))</f>
        <v>33.532819740551</v>
      </c>
      <c r="U808" s="16" t="n">
        <f aca="false">IF(D808="","",MAX(0,MIN($B$8,Z808)))</f>
        <v>162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195.532819740551</v>
      </c>
      <c r="AA808" s="18" t="n">
        <f aca="false">IF(D808="","",IF(H808&lt;=$B$16,1,IF(H808&gt;=$B$17,$B$21,MATCH(H808,Aux_CAV!$A$2:$A$121,1))))</f>
        <v>23</v>
      </c>
      <c r="AB808" s="18" t="n">
        <f aca="false">IF(D808="","",IF(L808&lt;=$B$16,1,IF(L808&gt;=$B$17,$B$21,MATCH(L808,Aux_CAV!$A$2:$A$121,1))))</f>
        <v>23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9.33793527126275</v>
      </c>
      <c r="E809" s="16" t="n">
        <f aca="false">IF(D809="","",D809*$B$15)</f>
        <v>24.2039282231131</v>
      </c>
      <c r="F809" s="16" t="n">
        <f aca="false" t="array" ref="F809:F809">IF(D809="","",IFERROR(INDEX(Dados_Evap!$C$2:$N$15,MATCH($B$9,Dados_Evap!$A$2:$A$15,0),C809),0))</f>
        <v>108.2</v>
      </c>
      <c r="G809" s="16" t="n">
        <f aca="false">IF(F809="","",F809/1000)</f>
        <v>0.1082</v>
      </c>
      <c r="H809" s="16" t="n">
        <f aca="false">IF(D809="","",MAX(0,MIN($B$8,IFERROR(LOOKUP(2,1/($U$24:U808&lt;&gt;""),$U$24:U808),$B$11))))</f>
        <v>162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15.783</v>
      </c>
      <c r="J809" s="16" t="n">
        <f aca="false">IF(D809="","",$B$12)</f>
        <v>0.432</v>
      </c>
      <c r="K809" s="16" t="n">
        <f aca="false">IF(J809="","",J809*$B$15)</f>
        <v>1.119744</v>
      </c>
      <c r="L809" s="16" t="n">
        <f aca="false">IF(D809="","",H809+E809-K809-G809*I809)</f>
        <v>183.376463623113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17.06151611003</v>
      </c>
      <c r="N809" s="16" t="n">
        <f aca="false">IF(D809="","",(I809+M809)/2)</f>
        <v>16.422258055015</v>
      </c>
      <c r="O809" s="16" t="n">
        <f aca="false">IF(D809="","",G809*N809)</f>
        <v>1.77688832155262</v>
      </c>
      <c r="P809" s="16" t="n">
        <f aca="false">IF(D809="","",H809+E809-K809-O809)</f>
        <v>183.30729590156</v>
      </c>
      <c r="Q809" s="16" t="n">
        <f aca="false">IF(D809="","",IF(P809&gt;=0,K809,MAX(0,K809+P809)))</f>
        <v>1.119744</v>
      </c>
      <c r="R809" s="16" t="n">
        <f aca="false">IF(D809="","",Q809/$B$15)</f>
        <v>0.432</v>
      </c>
      <c r="S809" s="16" t="n">
        <f aca="false">IF(D809="","",MAX(0,J809-R809))</f>
        <v>0</v>
      </c>
      <c r="T809" s="16" t="n">
        <f aca="false">IF(D809="","",MAX(0,Z809-$B$8))</f>
        <v>21.3072959015604</v>
      </c>
      <c r="U809" s="16" t="n">
        <f aca="false">IF(D809="","",MAX(0,MIN($B$8,Z809)))</f>
        <v>162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183.30729590156</v>
      </c>
      <c r="AA809" s="18" t="n">
        <f aca="false">IF(D809="","",IF(H809&lt;=$B$16,1,IF(H809&gt;=$B$17,$B$21,MATCH(H809,Aux_CAV!$A$2:$A$121,1))))</f>
        <v>23</v>
      </c>
      <c r="AB809" s="18" t="n">
        <f aca="false">IF(D809="","",IF(L809&lt;=$B$16,1,IF(L809&gt;=$B$17,$B$21,MATCH(L809,Aux_CAV!$A$2:$A$121,1))))</f>
        <v>23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6.55636006192691</v>
      </c>
      <c r="E810" s="16" t="n">
        <f aca="false">IF(D810="","",D810*$B$15)</f>
        <v>16.9940852805146</v>
      </c>
      <c r="F810" s="16" t="n">
        <f aca="false" t="array" ref="F810:F810">IF(D810="","",IFERROR(INDEX(Dados_Evap!$C$2:$N$15,MATCH($B$9,Dados_Evap!$A$2:$A$15,0),C810),0))</f>
        <v>149</v>
      </c>
      <c r="G810" s="16" t="n">
        <f aca="false">IF(F810="","",F810/1000)</f>
        <v>0.149</v>
      </c>
      <c r="H810" s="16" t="n">
        <f aca="false">IF(D810="","",MAX(0,MIN($B$8,IFERROR(LOOKUP(2,1/($U$24:U809&lt;&gt;""),$U$24:U809),$B$11))))</f>
        <v>162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15.783</v>
      </c>
      <c r="J810" s="16" t="n">
        <f aca="false">IF(D810="","",$B$12)</f>
        <v>0.432</v>
      </c>
      <c r="K810" s="16" t="n">
        <f aca="false">IF(J810="","",J810*$B$15)</f>
        <v>1.119744</v>
      </c>
      <c r="L810" s="16" t="n">
        <f aca="false">IF(D810="","",H810+E810-K810-G810*I810)</f>
        <v>175.522674280515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16.5917847093489</v>
      </c>
      <c r="N810" s="16" t="n">
        <f aca="false">IF(D810="","",(I810+M810)/2)</f>
        <v>16.1873923546744</v>
      </c>
      <c r="O810" s="16" t="n">
        <f aca="false">IF(D810="","",G810*N810)</f>
        <v>2.41192146084649</v>
      </c>
      <c r="P810" s="16" t="n">
        <f aca="false">IF(D810="","",H810+E810-K810-O810)</f>
        <v>175.462419819668</v>
      </c>
      <c r="Q810" s="16" t="n">
        <f aca="false">IF(D810="","",IF(P810&gt;=0,K810,MAX(0,K810+P810)))</f>
        <v>1.119744</v>
      </c>
      <c r="R810" s="16" t="n">
        <f aca="false">IF(D810="","",Q810/$B$15)</f>
        <v>0.432</v>
      </c>
      <c r="S810" s="16" t="n">
        <f aca="false">IF(D810="","",MAX(0,J810-R810))</f>
        <v>0</v>
      </c>
      <c r="T810" s="16" t="n">
        <f aca="false">IF(D810="","",MAX(0,Z810-$B$8))</f>
        <v>13.4624198196681</v>
      </c>
      <c r="U810" s="16" t="n">
        <f aca="false">IF(D810="","",MAX(0,MIN($B$8,Z810)))</f>
        <v>162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175.462419819668</v>
      </c>
      <c r="AA810" s="18" t="n">
        <f aca="false">IF(D810="","",IF(H810&lt;=$B$16,1,IF(H810&gt;=$B$17,$B$21,MATCH(H810,Aux_CAV!$A$2:$A$121,1))))</f>
        <v>23</v>
      </c>
      <c r="AB810" s="18" t="n">
        <f aca="false">IF(D810="","",IF(L810&lt;=$B$16,1,IF(L810&gt;=$B$17,$B$21,MATCH(L810,Aux_CAV!$A$2:$A$121,1))))</f>
        <v>23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1.37812604886672</v>
      </c>
      <c r="E811" s="16" t="n">
        <f aca="false">IF(D811="","",D811*$B$15)</f>
        <v>3.57210271866254</v>
      </c>
      <c r="F811" s="16" t="n">
        <f aca="false" t="array" ref="F811:F811">IF(D811="","",IFERROR(INDEX(Dados_Evap!$C$2:$N$15,MATCH($B$9,Dados_Evap!$A$2:$A$15,0),C811),0))</f>
        <v>206.8</v>
      </c>
      <c r="G811" s="16" t="n">
        <f aca="false">IF(F811="","",F811/1000)</f>
        <v>0.2068</v>
      </c>
      <c r="H811" s="16" t="n">
        <f aca="false">IF(D811="","",MAX(0,MIN($B$8,IFERROR(LOOKUP(2,1/($U$24:U810&lt;&gt;""),$U$24:U810),$B$11))))</f>
        <v>162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15.783</v>
      </c>
      <c r="J811" s="16" t="n">
        <f aca="false">IF(D811="","",$B$12)</f>
        <v>0.432</v>
      </c>
      <c r="K811" s="16" t="n">
        <f aca="false">IF(J811="","",J811*$B$15)</f>
        <v>1.119744</v>
      </c>
      <c r="L811" s="16" t="n">
        <f aca="false">IF(D811="","",H811+E811-K811-G811*I811)</f>
        <v>161.188434318663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15.7239125277909</v>
      </c>
      <c r="N811" s="16" t="n">
        <f aca="false">IF(D811="","",(I811+M811)/2)</f>
        <v>15.7534562638954</v>
      </c>
      <c r="O811" s="16" t="n">
        <f aca="false">IF(D811="","",G811*N811)</f>
        <v>3.25781475537358</v>
      </c>
      <c r="P811" s="16" t="n">
        <f aca="false">IF(D811="","",H811+E811-K811-O811)</f>
        <v>161.194543963289</v>
      </c>
      <c r="Q811" s="16" t="n">
        <f aca="false">IF(D811="","",IF(P811&gt;=0,K811,MAX(0,K811+P811)))</f>
        <v>1.119744</v>
      </c>
      <c r="R811" s="16" t="n">
        <f aca="false">IF(D811="","",Q811/$B$15)</f>
        <v>0.432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161.194543963289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99.5028049156105</v>
      </c>
      <c r="Z811" s="18" t="n">
        <f aca="false">IF(D811="","",MAX(0,IF(P811&gt;=0,P811,IF(K811+P811&gt;=0,0,P811+K811))))</f>
        <v>161.194543963289</v>
      </c>
      <c r="AA811" s="18" t="n">
        <f aca="false">IF(D811="","",IF(H811&lt;=$B$16,1,IF(H811&gt;=$B$17,$B$21,MATCH(H811,Aux_CAV!$A$2:$A$121,1))))</f>
        <v>23</v>
      </c>
      <c r="AB811" s="18" t="n">
        <f aca="false">IF(D811="","",IF(L811&lt;=$B$16,1,IF(L811&gt;=$B$17,$B$21,MATCH(L811,Aux_CAV!$A$2:$A$121,1))))</f>
        <v>22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1.52668344094954</v>
      </c>
      <c r="E812" s="16" t="n">
        <f aca="false">IF(D812="","",D812*$B$15)</f>
        <v>3.95716347894121</v>
      </c>
      <c r="F812" s="16" t="n">
        <f aca="false" t="array" ref="F812:F812">IF(D812="","",IFERROR(INDEX(Dados_Evap!$C$2:$N$15,MATCH($B$9,Dados_Evap!$A$2:$A$15,0),C812),0))</f>
        <v>245.9</v>
      </c>
      <c r="G812" s="16" t="n">
        <f aca="false">IF(F812="","",F812/1000)</f>
        <v>0.2459</v>
      </c>
      <c r="H812" s="16" t="n">
        <f aca="false">IF(D812="","",MAX(0,MIN($B$8,IFERROR(LOOKUP(2,1/($U$24:U811&lt;&gt;""),$U$24:U811),$B$11))))</f>
        <v>161.194543963289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15.7243573512542</v>
      </c>
      <c r="J812" s="16" t="n">
        <f aca="false">IF(D812="","",$B$12)</f>
        <v>0.432</v>
      </c>
      <c r="K812" s="16" t="n">
        <f aca="false">IF(J812="","",J812*$B$15)</f>
        <v>1.119744</v>
      </c>
      <c r="L812" s="16" t="n">
        <f aca="false">IF(D812="","",H812+E812-K812-G812*I812)</f>
        <v>160.165343969557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15.6494246287084</v>
      </c>
      <c r="N812" s="16" t="n">
        <f aca="false">IF(D812="","",(I812+M812)/2)</f>
        <v>15.6868909899813</v>
      </c>
      <c r="O812" s="16" t="n">
        <f aca="false">IF(D812="","",G812*N812)</f>
        <v>3.8574064944364</v>
      </c>
      <c r="P812" s="16" t="n">
        <f aca="false">IF(D812="","",H812+E812-K812-O812)</f>
        <v>160.174556947794</v>
      </c>
      <c r="Q812" s="16" t="n">
        <f aca="false">IF(D812="","",IF(P812&gt;=0,K812,MAX(0,K812+P812)))</f>
        <v>1.119744</v>
      </c>
      <c r="R812" s="16" t="n">
        <f aca="false">IF(D812="","",Q812/$B$15)</f>
        <v>0.432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160.174556947794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98.8731833011073</v>
      </c>
      <c r="Z812" s="18" t="n">
        <f aca="false">IF(D812="","",MAX(0,IF(P812&gt;=0,P812,IF(K812+P812&gt;=0,0,P812+K812))))</f>
        <v>160.174556947794</v>
      </c>
      <c r="AA812" s="18" t="n">
        <f aca="false">IF(D812="","",IF(H812&lt;=$B$16,1,IF(H812&gt;=$B$17,$B$21,MATCH(H812,Aux_CAV!$A$2:$A$121,1))))</f>
        <v>22</v>
      </c>
      <c r="AB812" s="18" t="n">
        <f aca="false">IF(D812="","",IF(L812&lt;=$B$16,1,IF(L812&gt;=$B$17,$B$21,MATCH(L812,Aux_CAV!$A$2:$A$121,1))))</f>
        <v>22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0.839625785903184</v>
      </c>
      <c r="E813" s="16" t="n">
        <f aca="false">IF(D813="","",D813*$B$15)</f>
        <v>2.17631003706105</v>
      </c>
      <c r="F813" s="16" t="n">
        <f aca="false" t="array" ref="F813:F813">IF(D813="","",IFERROR(INDEX(Dados_Evap!$C$2:$N$15,MATCH($B$9,Dados_Evap!$A$2:$A$15,0),C813),0))</f>
        <v>282.3</v>
      </c>
      <c r="G813" s="16" t="n">
        <f aca="false">IF(F813="","",F813/1000)</f>
        <v>0.2823</v>
      </c>
      <c r="H813" s="16" t="n">
        <f aca="false">IF(D813="","",MAX(0,MIN($B$8,IFERROR(LOOKUP(2,1/($U$24:U812&lt;&gt;""),$U$24:U812),$B$11))))</f>
        <v>160.174556947794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15.650095395854</v>
      </c>
      <c r="J813" s="16" t="n">
        <f aca="false">IF(D813="","",$B$12)</f>
        <v>0.432</v>
      </c>
      <c r="K813" s="16" t="n">
        <f aca="false">IF(J813="","",J813*$B$15)</f>
        <v>1.119744</v>
      </c>
      <c r="L813" s="16" t="n">
        <f aca="false">IF(D813="","",H813+E813-K813-G813*I813)</f>
        <v>156.813101054605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15.4053586650651</v>
      </c>
      <c r="N813" s="16" t="n">
        <f aca="false">IF(D813="","",(I813+M813)/2)</f>
        <v>15.5277270304596</v>
      </c>
      <c r="O813" s="16" t="n">
        <f aca="false">IF(D813="","",G813*N813)</f>
        <v>4.38347734069874</v>
      </c>
      <c r="P813" s="16" t="n">
        <f aca="false">IF(D813="","",H813+E813-K813-O813)</f>
        <v>156.847645644156</v>
      </c>
      <c r="Q813" s="16" t="n">
        <f aca="false">IF(D813="","",IF(P813&gt;=0,K813,MAX(0,K813+P813)))</f>
        <v>1.119744</v>
      </c>
      <c r="R813" s="16" t="n">
        <f aca="false">IF(D813="","",Q813/$B$15)</f>
        <v>0.432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156.847645644156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96.8195343482445</v>
      </c>
      <c r="Z813" s="18" t="n">
        <f aca="false">IF(D813="","",MAX(0,IF(P813&gt;=0,P813,IF(K813+P813&gt;=0,0,P813+K813))))</f>
        <v>156.847645644156</v>
      </c>
      <c r="AA813" s="18" t="n">
        <f aca="false">IF(D813="","",IF(H813&lt;=$B$16,1,IF(H813&gt;=$B$17,$B$21,MATCH(H813,Aux_CAV!$A$2:$A$121,1))))</f>
        <v>22</v>
      </c>
      <c r="AB813" s="18" t="n">
        <f aca="false">IF(D813="","",IF(L813&lt;=$B$16,1,IF(L813&gt;=$B$17,$B$21,MATCH(L813,Aux_CAV!$A$2:$A$121,1))))</f>
        <v>22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0.728452490591977</v>
      </c>
      <c r="E814" s="16" t="n">
        <f aca="false">IF(D814="","",D814*$B$15)</f>
        <v>1.8881488556144</v>
      </c>
      <c r="F814" s="16" t="n">
        <f aca="false" t="array" ref="F814:F814">IF(D814="","",IFERROR(INDEX(Dados_Evap!$C$2:$N$15,MATCH($B$9,Dados_Evap!$A$2:$A$15,0),C814),0))</f>
        <v>241.3</v>
      </c>
      <c r="G814" s="16" t="n">
        <f aca="false">IF(F814="","",F814/1000)</f>
        <v>0.2413</v>
      </c>
      <c r="H814" s="16" t="n">
        <f aca="false">IF(D814="","",MAX(0,MIN($B$8,IFERROR(LOOKUP(2,1/($U$24:U813&lt;&gt;""),$U$24:U813),$B$11))))</f>
        <v>156.847645644156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15.4078737448941</v>
      </c>
      <c r="J814" s="16" t="n">
        <f aca="false">IF(D814="","",$B$12)</f>
        <v>0.432</v>
      </c>
      <c r="K814" s="16" t="n">
        <f aca="false">IF(J814="","",J814*$B$15)</f>
        <v>1.119744</v>
      </c>
      <c r="L814" s="16" t="n">
        <f aca="false">IF(D814="","",H814+E814-K814-G814*I814)</f>
        <v>153.898130565128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15.1931290923414</v>
      </c>
      <c r="N814" s="16" t="n">
        <f aca="false">IF(D814="","",(I814+M814)/2)</f>
        <v>15.3005014186178</v>
      </c>
      <c r="O814" s="16" t="n">
        <f aca="false">IF(D814="","",G814*N814)</f>
        <v>3.69201099231247</v>
      </c>
      <c r="P814" s="16" t="n">
        <f aca="false">IF(D814="","",H814+E814-K814-O814)</f>
        <v>153.924039507458</v>
      </c>
      <c r="Q814" s="16" t="n">
        <f aca="false">IF(D814="","",IF(P814&gt;=0,K814,MAX(0,K814+P814)))</f>
        <v>1.119744</v>
      </c>
      <c r="R814" s="16" t="n">
        <f aca="false">IF(D814="","",Q814/$B$15)</f>
        <v>0.432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153.924039507458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95.0148392021346</v>
      </c>
      <c r="Z814" s="18" t="n">
        <f aca="false">IF(D814="","",MAX(0,IF(P814&gt;=0,P814,IF(K814+P814&gt;=0,0,P814+K814))))</f>
        <v>153.924039507458</v>
      </c>
      <c r="AA814" s="18" t="n">
        <f aca="false">IF(D814="","",IF(H814&lt;=$B$16,1,IF(H814&gt;=$B$17,$B$21,MATCH(H814,Aux_CAV!$A$2:$A$121,1))))</f>
        <v>22</v>
      </c>
      <c r="AB814" s="18" t="n">
        <f aca="false">IF(D814="","",IF(L814&lt;=$B$16,1,IF(L814&gt;=$B$17,$B$21,MATCH(L814,Aux_CAV!$A$2:$A$121,1))))</f>
        <v>22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1.45007642631427</v>
      </c>
      <c r="E815" s="16" t="n">
        <f aca="false">IF(D815="","",D815*$B$15)</f>
        <v>3.75859809700659</v>
      </c>
      <c r="F815" s="16" t="n">
        <f aca="false" t="array" ref="F815:F815">IF(D815="","",IFERROR(INDEX(Dados_Evap!$C$2:$N$15,MATCH($B$9,Dados_Evap!$A$2:$A$15,0),C815),0))</f>
        <v>241.8</v>
      </c>
      <c r="G815" s="16" t="n">
        <f aca="false">IF(F815="","",F815/1000)</f>
        <v>0.2418</v>
      </c>
      <c r="H815" s="16" t="n">
        <f aca="false">IF(D815="","",MAX(0,MIN($B$8,IFERROR(LOOKUP(2,1/($U$24:U814&lt;&gt;""),$U$24:U814),$B$11))))</f>
        <v>153.924039507458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15.1950154386287</v>
      </c>
      <c r="J815" s="16" t="n">
        <f aca="false">IF(D815="","",$B$12)</f>
        <v>0.432</v>
      </c>
      <c r="K815" s="16" t="n">
        <f aca="false">IF(J815="","",J815*$B$15)</f>
        <v>1.119744</v>
      </c>
      <c r="L815" s="16" t="n">
        <f aca="false">IF(D815="","",H815+E815-K815-G815*I815)</f>
        <v>152.888738871404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15.1196385480484</v>
      </c>
      <c r="N815" s="16" t="n">
        <f aca="false">IF(D815="","",(I815+M815)/2)</f>
        <v>15.1573269933386</v>
      </c>
      <c r="O815" s="16" t="n">
        <f aca="false">IF(D815="","",G815*N815)</f>
        <v>3.66504166698926</v>
      </c>
      <c r="P815" s="16" t="n">
        <f aca="false">IF(D815="","",H815+E815-K815-O815)</f>
        <v>152.897851937475</v>
      </c>
      <c r="Q815" s="16" t="n">
        <f aca="false">IF(D815="","",IF(P815&gt;=0,K815,MAX(0,K815+P815)))</f>
        <v>1.119744</v>
      </c>
      <c r="R815" s="16" t="n">
        <f aca="false">IF(D815="","",Q815/$B$15)</f>
        <v>0.432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152.897851937475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94.3813900848614</v>
      </c>
      <c r="Z815" s="18" t="n">
        <f aca="false">IF(D815="","",MAX(0,IF(P815&gt;=0,P815,IF(K815+P815&gt;=0,0,P815+K815))))</f>
        <v>152.897851937475</v>
      </c>
      <c r="AA815" s="18" t="n">
        <f aca="false">IF(D815="","",IF(H815&lt;=$B$16,1,IF(H815&gt;=$B$17,$B$21,MATCH(H815,Aux_CAV!$A$2:$A$121,1))))</f>
        <v>22</v>
      </c>
      <c r="AB815" s="18" t="n">
        <f aca="false">IF(D815="","",IF(L815&lt;=$B$16,1,IF(L815&gt;=$B$17,$B$21,MATCH(L815,Aux_CAV!$A$2:$A$121,1))))</f>
        <v>22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1.14913564941489</v>
      </c>
      <c r="E816" s="16" t="n">
        <f aca="false">IF(D816="","",D816*$B$15)</f>
        <v>2.9785596032834</v>
      </c>
      <c r="F816" s="16" t="n">
        <f aca="false" t="array" ref="F816:F816">IF(D816="","",IFERROR(INDEX(Dados_Evap!$C$2:$N$15,MATCH($B$9,Dados_Evap!$A$2:$A$15,0),C816),0))</f>
        <v>189</v>
      </c>
      <c r="G816" s="16" t="n">
        <f aca="false">IF(F816="","",F816/1000)</f>
        <v>0.189</v>
      </c>
      <c r="H816" s="16" t="n">
        <f aca="false">IF(D816="","",MAX(0,MIN($B$8,IFERROR(LOOKUP(2,1/($U$24:U815&lt;&gt;""),$U$24:U815),$B$11))))</f>
        <v>152.897851937475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15.1203020409124</v>
      </c>
      <c r="J816" s="16" t="n">
        <f aca="false">IF(D816="","",$B$12)</f>
        <v>0.432</v>
      </c>
      <c r="K816" s="16" t="n">
        <f aca="false">IF(J816="","",J816*$B$15)</f>
        <v>1.119744</v>
      </c>
      <c r="L816" s="16" t="n">
        <f aca="false">IF(D816="","",H816+E816-K816-G816*I816)</f>
        <v>151.898930455026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15.0475737988358</v>
      </c>
      <c r="N816" s="16" t="n">
        <f aca="false">IF(D816="","",(I816+M816)/2)</f>
        <v>15.0839379198741</v>
      </c>
      <c r="O816" s="16" t="n">
        <f aca="false">IF(D816="","",G816*N816)</f>
        <v>2.85086426685621</v>
      </c>
      <c r="P816" s="16" t="n">
        <f aca="false">IF(D816="","",H816+E816-K816-O816)</f>
        <v>151.905803273903</v>
      </c>
      <c r="Q816" s="16" t="n">
        <f aca="false">IF(D816="","",IF(P816&gt;=0,K816,MAX(0,K816+P816)))</f>
        <v>1.119744</v>
      </c>
      <c r="R816" s="16" t="n">
        <f aca="false">IF(D816="","",Q816/$B$15)</f>
        <v>0.432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151.905803273903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93.7690143666065</v>
      </c>
      <c r="Z816" s="18" t="n">
        <f aca="false">IF(D816="","",MAX(0,IF(P816&gt;=0,P816,IF(K816+P816&gt;=0,0,P816+K816))))</f>
        <v>151.905803273903</v>
      </c>
      <c r="AA816" s="18" t="n">
        <f aca="false">IF(D816="","",IF(H816&lt;=$B$16,1,IF(H816&gt;=$B$17,$B$21,MATCH(H816,Aux_CAV!$A$2:$A$121,1))))</f>
        <v>22</v>
      </c>
      <c r="AB816" s="18" t="n">
        <f aca="false">IF(D816="","",IF(L816&lt;=$B$16,1,IF(L816&gt;=$B$17,$B$21,MATCH(L816,Aux_CAV!$A$2:$A$121,1))))</f>
        <v>22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3.32822176456627</v>
      </c>
      <c r="E817" s="16" t="n">
        <f aca="false">IF(D817="","",D817*$B$15)</f>
        <v>8.62675081375577</v>
      </c>
      <c r="F817" s="16" t="n">
        <f aca="false" t="array" ref="F817:F817">IF(D817="","",IFERROR(INDEX(Dados_Evap!$C$2:$N$15,MATCH($B$9,Dados_Evap!$A$2:$A$15,0),C817),0))</f>
        <v>136.9</v>
      </c>
      <c r="G817" s="16" t="n">
        <f aca="false">IF(F817="","",F817/1000)</f>
        <v>0.1369</v>
      </c>
      <c r="H817" s="16" t="n">
        <f aca="false">IF(D817="","",MAX(0,MIN($B$8,IFERROR(LOOKUP(2,1/($U$24:U816&lt;&gt;""),$U$24:U816),$B$11))))</f>
        <v>151.905803273903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15.0480741865477</v>
      </c>
      <c r="J817" s="16" t="n">
        <f aca="false">IF(D817="","",$B$12)</f>
        <v>0.432</v>
      </c>
      <c r="K817" s="16" t="n">
        <f aca="false">IF(J817="","",J817*$B$15)</f>
        <v>1.119744</v>
      </c>
      <c r="L817" s="16" t="n">
        <f aca="false">IF(D817="","",H817+E817-K817-G817*I817)</f>
        <v>157.35272873152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15.444647210769</v>
      </c>
      <c r="N817" s="16" t="n">
        <f aca="false">IF(D817="","",(I817+M817)/2)</f>
        <v>15.2463606986584</v>
      </c>
      <c r="O817" s="16" t="n">
        <f aca="false">IF(D817="","",G817*N817)</f>
        <v>2.08722677964633</v>
      </c>
      <c r="P817" s="16" t="n">
        <f aca="false">IF(D817="","",H817+E817-K817-O817)</f>
        <v>157.325583308012</v>
      </c>
      <c r="Q817" s="16" t="n">
        <f aca="false">IF(D817="","",IF(P817&gt;=0,K817,MAX(0,K817+P817)))</f>
        <v>1.119744</v>
      </c>
      <c r="R817" s="16" t="n">
        <f aca="false">IF(D817="","",Q817/$B$15)</f>
        <v>0.432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157.325583308012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97.1145575975383</v>
      </c>
      <c r="Z817" s="18" t="n">
        <f aca="false">IF(D817="","",MAX(0,IF(P817&gt;=0,P817,IF(K817+P817&gt;=0,0,P817+K817))))</f>
        <v>157.325583308012</v>
      </c>
      <c r="AA817" s="18" t="n">
        <f aca="false">IF(D817="","",IF(H817&lt;=$B$16,1,IF(H817&gt;=$B$17,$B$21,MATCH(H817,Aux_CAV!$A$2:$A$121,1))))</f>
        <v>22</v>
      </c>
      <c r="AB817" s="18" t="n">
        <f aca="false">IF(D817="","",IF(L817&lt;=$B$16,1,IF(L817&gt;=$B$17,$B$21,MATCH(L817,Aux_CAV!$A$2:$A$121,1))))</f>
        <v>22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6.36801276769786</v>
      </c>
      <c r="E818" s="16" t="n">
        <f aca="false">IF(D818="","",D818*$B$15)</f>
        <v>16.5058890938729</v>
      </c>
      <c r="F818" s="16" t="n">
        <f aca="false" t="array" ref="F818:F818">IF(D818="","",IFERROR(INDEX(Dados_Evap!$C$2:$N$15,MATCH($B$9,Dados_Evap!$A$2:$A$15,0),C818),0))</f>
        <v>102.9</v>
      </c>
      <c r="G818" s="16" t="n">
        <f aca="false">IF(F818="","",F818/1000)</f>
        <v>0.1029</v>
      </c>
      <c r="H818" s="16" t="n">
        <f aca="false">IF(D818="","",MAX(0,MIN($B$8,IFERROR(LOOKUP(2,1/($U$24:U817&lt;&gt;""),$U$24:U817),$B$11))))</f>
        <v>157.325583308012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15.4426708402866</v>
      </c>
      <c r="J818" s="16" t="n">
        <f aca="false">IF(D818="","",$B$12)</f>
        <v>0.432</v>
      </c>
      <c r="K818" s="16" t="n">
        <f aca="false">IF(J818="","",J818*$B$15)</f>
        <v>1.119744</v>
      </c>
      <c r="L818" s="16" t="n">
        <f aca="false">IF(D818="","",H818+E818-K818-G818*I818)</f>
        <v>171.122677572419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16.3286230014742</v>
      </c>
      <c r="N818" s="16" t="n">
        <f aca="false">IF(D818="","",(I818+M818)/2)</f>
        <v>15.8856469208804</v>
      </c>
      <c r="O818" s="16" t="n">
        <f aca="false">IF(D818="","",G818*N818)</f>
        <v>1.6346330681586</v>
      </c>
      <c r="P818" s="16" t="n">
        <f aca="false">IF(D818="","",H818+E818-K818-O818)</f>
        <v>171.077095333726</v>
      </c>
      <c r="Q818" s="16" t="n">
        <f aca="false">IF(D818="","",IF(P818&gt;=0,K818,MAX(0,K818+P818)))</f>
        <v>1.119744</v>
      </c>
      <c r="R818" s="16" t="n">
        <f aca="false">IF(D818="","",Q818/$B$15)</f>
        <v>0.432</v>
      </c>
      <c r="S818" s="16" t="n">
        <f aca="false">IF(D818="","",MAX(0,J818-R818))</f>
        <v>0</v>
      </c>
      <c r="T818" s="16" t="n">
        <f aca="false">IF(D818="","",MAX(0,Z818-$B$8))</f>
        <v>9.07709533372628</v>
      </c>
      <c r="U818" s="16" t="n">
        <f aca="false">IF(D818="","",MAX(0,MIN($B$8,Z818)))</f>
        <v>162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100</v>
      </c>
      <c r="Z818" s="18" t="n">
        <f aca="false">IF(D818="","",MAX(0,IF(P818&gt;=0,P818,IF(K818+P818&gt;=0,0,P818+K818))))</f>
        <v>171.077095333726</v>
      </c>
      <c r="AA818" s="18" t="n">
        <f aca="false">IF(D818="","",IF(H818&lt;=$B$16,1,IF(H818&gt;=$B$17,$B$21,MATCH(H818,Aux_CAV!$A$2:$A$121,1))))</f>
        <v>22</v>
      </c>
      <c r="AB818" s="18" t="n">
        <f aca="false">IF(D818="","",IF(L818&lt;=$B$16,1,IF(L818&gt;=$B$17,$B$21,MATCH(L818,Aux_CAV!$A$2:$A$121,1))))</f>
        <v>23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7.89974917541572</v>
      </c>
      <c r="E819" s="16" t="n">
        <f aca="false">IF(D819="","",D819*$B$15)</f>
        <v>20.4761498626776</v>
      </c>
      <c r="F819" s="16" t="n">
        <f aca="false" t="array" ref="F819:F819">IF(D819="","",IFERROR(INDEX(Dados_Evap!$C$2:$N$15,MATCH($B$9,Dados_Evap!$A$2:$A$15,0),C819),0))</f>
        <v>81.8</v>
      </c>
      <c r="G819" s="16" t="n">
        <f aca="false">IF(F819="","",F819/1000)</f>
        <v>0.0818</v>
      </c>
      <c r="H819" s="16" t="n">
        <f aca="false">IF(D819="","",MAX(0,MIN($B$8,IFERROR(LOOKUP(2,1/($U$24:U818&lt;&gt;""),$U$24:U818),$B$11))))</f>
        <v>162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15.783</v>
      </c>
      <c r="J819" s="16" t="n">
        <f aca="false">IF(D819="","",$B$12)</f>
        <v>0.432</v>
      </c>
      <c r="K819" s="16" t="n">
        <f aca="false">IF(J819="","",J819*$B$15)</f>
        <v>1.119744</v>
      </c>
      <c r="L819" s="16" t="n">
        <f aca="false">IF(D819="","",H819+E819-K819-G819*I819)</f>
        <v>180.065356462678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16.863480367482</v>
      </c>
      <c r="N819" s="16" t="n">
        <f aca="false">IF(D819="","",(I819+M819)/2)</f>
        <v>16.323240183741</v>
      </c>
      <c r="O819" s="16" t="n">
        <f aca="false">IF(D819="","",G819*N819)</f>
        <v>1.33524104703002</v>
      </c>
      <c r="P819" s="16" t="n">
        <f aca="false">IF(D819="","",H819+E819-K819-O819)</f>
        <v>180.021164815648</v>
      </c>
      <c r="Q819" s="16" t="n">
        <f aca="false">IF(D819="","",IF(P819&gt;=0,K819,MAX(0,K819+P819)))</f>
        <v>1.119744</v>
      </c>
      <c r="R819" s="16" t="n">
        <f aca="false">IF(D819="","",Q819/$B$15)</f>
        <v>0.432</v>
      </c>
      <c r="S819" s="16" t="n">
        <f aca="false">IF(D819="","",MAX(0,J819-R819))</f>
        <v>0</v>
      </c>
      <c r="T819" s="16" t="n">
        <f aca="false">IF(D819="","",MAX(0,Z819-$B$8))</f>
        <v>18.0211648156475</v>
      </c>
      <c r="U819" s="16" t="n">
        <f aca="false">IF(D819="","",MAX(0,MIN($B$8,Z819)))</f>
        <v>162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180.021164815648</v>
      </c>
      <c r="AA819" s="18" t="n">
        <f aca="false">IF(D819="","",IF(H819&lt;=$B$16,1,IF(H819&gt;=$B$17,$B$21,MATCH(H819,Aux_CAV!$A$2:$A$121,1))))</f>
        <v>23</v>
      </c>
      <c r="AB819" s="18" t="n">
        <f aca="false">IF(D819="","",IF(L819&lt;=$B$16,1,IF(L819&gt;=$B$17,$B$21,MATCH(L819,Aux_CAV!$A$2:$A$121,1))))</f>
        <v>23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1.98549523287859</v>
      </c>
      <c r="E820" s="16" t="n">
        <f aca="false">IF(D820="","",D820*$B$15)</f>
        <v>5.14640364362131</v>
      </c>
      <c r="F820" s="16" t="n">
        <f aca="false" t="array" ref="F820:F820">IF(D820="","",IFERROR(INDEX(Dados_Evap!$C$2:$N$15,MATCH($B$9,Dados_Evap!$A$2:$A$15,0),C820),0))</f>
        <v>83.6</v>
      </c>
      <c r="G820" s="16" t="n">
        <f aca="false">IF(F820="","",F820/1000)</f>
        <v>0.0836</v>
      </c>
      <c r="H820" s="16" t="n">
        <f aca="false">IF(D820="","",MAX(0,MIN($B$8,IFERROR(LOOKUP(2,1/($U$24:U819&lt;&gt;""),$U$24:U819),$B$11))))</f>
        <v>162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15.783</v>
      </c>
      <c r="J820" s="16" t="n">
        <f aca="false">IF(D820="","",$B$12)</f>
        <v>0.432</v>
      </c>
      <c r="K820" s="16" t="n">
        <f aca="false">IF(J820="","",J820*$B$15)</f>
        <v>1.119744</v>
      </c>
      <c r="L820" s="16" t="n">
        <f aca="false">IF(D820="","",H820+E820-K820-G820*I820)</f>
        <v>164.707200843621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15.9449163933137</v>
      </c>
      <c r="N820" s="16" t="n">
        <f aca="false">IF(D820="","",(I820+M820)/2)</f>
        <v>15.8639581966569</v>
      </c>
      <c r="O820" s="16" t="n">
        <f aca="false">IF(D820="","",G820*N820)</f>
        <v>1.32622690524051</v>
      </c>
      <c r="P820" s="16" t="n">
        <f aca="false">IF(D820="","",H820+E820-K820-O820)</f>
        <v>164.700432738381</v>
      </c>
      <c r="Q820" s="16" t="n">
        <f aca="false">IF(D820="","",IF(P820&gt;=0,K820,MAX(0,K820+P820)))</f>
        <v>1.119744</v>
      </c>
      <c r="R820" s="16" t="n">
        <f aca="false">IF(D820="","",Q820/$B$15)</f>
        <v>0.432</v>
      </c>
      <c r="S820" s="16" t="n">
        <f aca="false">IF(D820="","",MAX(0,J820-R820))</f>
        <v>0</v>
      </c>
      <c r="T820" s="16" t="n">
        <f aca="false">IF(D820="","",MAX(0,Z820-$B$8))</f>
        <v>2.70043273838081</v>
      </c>
      <c r="U820" s="16" t="n">
        <f aca="false">IF(D820="","",MAX(0,MIN($B$8,Z820)))</f>
        <v>162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100</v>
      </c>
      <c r="Z820" s="18" t="n">
        <f aca="false">IF(D820="","",MAX(0,IF(P820&gt;=0,P820,IF(K820+P820&gt;=0,0,P820+K820))))</f>
        <v>164.700432738381</v>
      </c>
      <c r="AA820" s="18" t="n">
        <f aca="false">IF(D820="","",IF(H820&lt;=$B$16,1,IF(H820&gt;=$B$17,$B$21,MATCH(H820,Aux_CAV!$A$2:$A$121,1))))</f>
        <v>23</v>
      </c>
      <c r="AB820" s="18" t="n">
        <f aca="false">IF(D820="","",IF(L820&lt;=$B$16,1,IF(L820&gt;=$B$17,$B$21,MATCH(L820,Aux_CAV!$A$2:$A$121,1))))</f>
        <v>23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1.55661296462351</v>
      </c>
      <c r="E821" s="16" t="n">
        <f aca="false">IF(D821="","",D821*$B$15)</f>
        <v>4.03474080430414</v>
      </c>
      <c r="F821" s="16" t="n">
        <f aca="false" t="array" ref="F821:F821">IF(D821="","",IFERROR(INDEX(Dados_Evap!$C$2:$N$15,MATCH($B$9,Dados_Evap!$A$2:$A$15,0),C821),0))</f>
        <v>108.2</v>
      </c>
      <c r="G821" s="16" t="n">
        <f aca="false">IF(F821="","",F821/1000)</f>
        <v>0.1082</v>
      </c>
      <c r="H821" s="16" t="n">
        <f aca="false">IF(D821="","",MAX(0,MIN($B$8,IFERROR(LOOKUP(2,1/($U$24:U820&lt;&gt;""),$U$24:U820),$B$11))))</f>
        <v>162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15.783</v>
      </c>
      <c r="J821" s="16" t="n">
        <f aca="false">IF(D821="","",$B$12)</f>
        <v>0.432</v>
      </c>
      <c r="K821" s="16" t="n">
        <f aca="false">IF(J821="","",J821*$B$15)</f>
        <v>1.119744</v>
      </c>
      <c r="L821" s="16" t="n">
        <f aca="false">IF(D821="","",H821+E821-K821-G821*I821)</f>
        <v>163.207276204304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15.855206614886</v>
      </c>
      <c r="N821" s="16" t="n">
        <f aca="false">IF(D821="","",(I821+M821)/2)</f>
        <v>15.819103307443</v>
      </c>
      <c r="O821" s="16" t="n">
        <f aca="false">IF(D821="","",G821*N821)</f>
        <v>1.71162697786533</v>
      </c>
      <c r="P821" s="16" t="n">
        <f aca="false">IF(D821="","",H821+E821-K821-O821)</f>
        <v>163.203369826439</v>
      </c>
      <c r="Q821" s="16" t="n">
        <f aca="false">IF(D821="","",IF(P821&gt;=0,K821,MAX(0,K821+P821)))</f>
        <v>1.119744</v>
      </c>
      <c r="R821" s="16" t="n">
        <f aca="false">IF(D821="","",Q821/$B$15)</f>
        <v>0.432</v>
      </c>
      <c r="S821" s="16" t="n">
        <f aca="false">IF(D821="","",MAX(0,J821-R821))</f>
        <v>0</v>
      </c>
      <c r="T821" s="16" t="n">
        <f aca="false">IF(D821="","",MAX(0,Z821-$B$8))</f>
        <v>1.2033698264388</v>
      </c>
      <c r="U821" s="16" t="n">
        <f aca="false">IF(D821="","",MAX(0,MIN($B$8,Z821)))</f>
        <v>162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100</v>
      </c>
      <c r="Z821" s="18" t="n">
        <f aca="false">IF(D821="","",MAX(0,IF(P821&gt;=0,P821,IF(K821+P821&gt;=0,0,P821+K821))))</f>
        <v>163.203369826439</v>
      </c>
      <c r="AA821" s="18" t="n">
        <f aca="false">IF(D821="","",IF(H821&lt;=$B$16,1,IF(H821&gt;=$B$17,$B$21,MATCH(H821,Aux_CAV!$A$2:$A$121,1))))</f>
        <v>23</v>
      </c>
      <c r="AB821" s="18" t="n">
        <f aca="false">IF(D821="","",IF(L821&lt;=$B$16,1,IF(L821&gt;=$B$17,$B$21,MATCH(L821,Aux_CAV!$A$2:$A$121,1))))</f>
        <v>23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0.853489385567674</v>
      </c>
      <c r="E822" s="16" t="n">
        <f aca="false">IF(D822="","",D822*$B$15)</f>
        <v>2.21224448739141</v>
      </c>
      <c r="F822" s="16" t="n">
        <f aca="false" t="array" ref="F822:F822">IF(D822="","",IFERROR(INDEX(Dados_Evap!$C$2:$N$15,MATCH($B$9,Dados_Evap!$A$2:$A$15,0),C822),0))</f>
        <v>149</v>
      </c>
      <c r="G822" s="16" t="n">
        <f aca="false">IF(F822="","",F822/1000)</f>
        <v>0.149</v>
      </c>
      <c r="H822" s="16" t="n">
        <f aca="false">IF(D822="","",MAX(0,MIN($B$8,IFERROR(LOOKUP(2,1/($U$24:U821&lt;&gt;""),$U$24:U821),$B$11))))</f>
        <v>162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15.783</v>
      </c>
      <c r="J822" s="16" t="n">
        <f aca="false">IF(D822="","",$B$12)</f>
        <v>0.432</v>
      </c>
      <c r="K822" s="16" t="n">
        <f aca="false">IF(J822="","",J822*$B$15)</f>
        <v>1.119744</v>
      </c>
      <c r="L822" s="16" t="n">
        <f aca="false">IF(D822="","",H822+E822-K822-G822*I822)</f>
        <v>160.740833487391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15.6913241590529</v>
      </c>
      <c r="N822" s="16" t="n">
        <f aca="false">IF(D822="","",(I822+M822)/2)</f>
        <v>15.7371620795264</v>
      </c>
      <c r="O822" s="16" t="n">
        <f aca="false">IF(D822="","",G822*N822)</f>
        <v>2.34483714984944</v>
      </c>
      <c r="P822" s="16" t="n">
        <f aca="false">IF(D822="","",H822+E822-K822-O822)</f>
        <v>160.747663337542</v>
      </c>
      <c r="Q822" s="16" t="n">
        <f aca="false">IF(D822="","",IF(P822&gt;=0,K822,MAX(0,K822+P822)))</f>
        <v>1.119744</v>
      </c>
      <c r="R822" s="16" t="n">
        <f aca="false">IF(D822="","",Q822/$B$15)</f>
        <v>0.432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160.747663337542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99.2269526774951</v>
      </c>
      <c r="Z822" s="18" t="n">
        <f aca="false">IF(D822="","",MAX(0,IF(P822&gt;=0,P822,IF(K822+P822&gt;=0,0,P822+K822))))</f>
        <v>160.747663337542</v>
      </c>
      <c r="AA822" s="18" t="n">
        <f aca="false">IF(D822="","",IF(H822&lt;=$B$16,1,IF(H822&gt;=$B$17,$B$21,MATCH(H822,Aux_CAV!$A$2:$A$121,1))))</f>
        <v>23</v>
      </c>
      <c r="AB822" s="18" t="n">
        <f aca="false">IF(D822="","",IF(L822&lt;=$B$16,1,IF(L822&gt;=$B$17,$B$21,MATCH(L822,Aux_CAV!$A$2:$A$121,1))))</f>
        <v>22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0.848221419037409</v>
      </c>
      <c r="E823" s="16" t="n">
        <f aca="false">IF(D823="","",D823*$B$15)</f>
        <v>2.19858991814496</v>
      </c>
      <c r="F823" s="16" t="n">
        <f aca="false" t="array" ref="F823:F823">IF(D823="","",IFERROR(INDEX(Dados_Evap!$C$2:$N$15,MATCH($B$9,Dados_Evap!$A$2:$A$15,0),C823),0))</f>
        <v>206.8</v>
      </c>
      <c r="G823" s="16" t="n">
        <f aca="false">IF(F823="","",F823/1000)</f>
        <v>0.2068</v>
      </c>
      <c r="H823" s="16" t="n">
        <f aca="false">IF(D823="","",MAX(0,MIN($B$8,IFERROR(LOOKUP(2,1/($U$24:U822&lt;&gt;""),$U$24:U822),$B$11))))</f>
        <v>160.747663337542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15.6918214183509</v>
      </c>
      <c r="J823" s="16" t="n">
        <f aca="false">IF(D823="","",$B$12)</f>
        <v>0.432</v>
      </c>
      <c r="K823" s="16" t="n">
        <f aca="false">IF(J823="","",J823*$B$15)</f>
        <v>1.119744</v>
      </c>
      <c r="L823" s="16" t="n">
        <f aca="false">IF(D823="","",H823+E823-K823-G823*I823)</f>
        <v>158.581440586372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15.534105746592</v>
      </c>
      <c r="N823" s="16" t="n">
        <f aca="false">IF(D823="","",(I823+M823)/2)</f>
        <v>15.6129635824714</v>
      </c>
      <c r="O823" s="16" t="n">
        <f aca="false">IF(D823="","",G823*N823)</f>
        <v>3.22876086885509</v>
      </c>
      <c r="P823" s="16" t="n">
        <f aca="false">IF(D823="","",H823+E823-K823-O823)</f>
        <v>158.597748386832</v>
      </c>
      <c r="Q823" s="16" t="n">
        <f aca="false">IF(D823="","",IF(P823&gt;=0,K823,MAX(0,K823+P823)))</f>
        <v>1.119744</v>
      </c>
      <c r="R823" s="16" t="n">
        <f aca="false">IF(D823="","",Q823/$B$15)</f>
        <v>0.432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158.597748386832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97.8998446832296</v>
      </c>
      <c r="Z823" s="18" t="n">
        <f aca="false">IF(D823="","",MAX(0,IF(P823&gt;=0,P823,IF(K823+P823&gt;=0,0,P823+K823))))</f>
        <v>158.597748386832</v>
      </c>
      <c r="AA823" s="18" t="n">
        <f aca="false">IF(D823="","",IF(H823&lt;=$B$16,1,IF(H823&gt;=$B$17,$B$21,MATCH(H823,Aux_CAV!$A$2:$A$121,1))))</f>
        <v>22</v>
      </c>
      <c r="AB823" s="18" t="n">
        <f aca="false">IF(D823="","",IF(L823&lt;=$B$16,1,IF(L823&gt;=$B$17,$B$21,MATCH(L823,Aux_CAV!$A$2:$A$121,1))))</f>
        <v>22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0.445166117958279</v>
      </c>
      <c r="E824" s="16" t="n">
        <f aca="false">IF(D824="","",D824*$B$15)</f>
        <v>1.15387057774786</v>
      </c>
      <c r="F824" s="16" t="n">
        <f aca="false" t="array" ref="F824:F824">IF(D824="","",IFERROR(INDEX(Dados_Evap!$C$2:$N$15,MATCH($B$9,Dados_Evap!$A$2:$A$15,0),C824),0))</f>
        <v>245.9</v>
      </c>
      <c r="G824" s="16" t="n">
        <f aca="false">IF(F824="","",F824/1000)</f>
        <v>0.2459</v>
      </c>
      <c r="H824" s="16" t="n">
        <f aca="false">IF(D824="","",MAX(0,MIN($B$8,IFERROR(LOOKUP(2,1/($U$24:U823&lt;&gt;""),$U$24:U823),$B$11))))</f>
        <v>158.597748386832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15.5352930647951</v>
      </c>
      <c r="J824" s="16" t="n">
        <f aca="false">IF(D824="","",$B$12)</f>
        <v>0.432</v>
      </c>
      <c r="K824" s="16" t="n">
        <f aca="false">IF(J824="","",J824*$B$15)</f>
        <v>1.119744</v>
      </c>
      <c r="L824" s="16" t="n">
        <f aca="false">IF(D824="","",H824+E824-K824-G824*I824)</f>
        <v>154.811746399947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15.2596465061393</v>
      </c>
      <c r="N824" s="16" t="n">
        <f aca="false">IF(D824="","",(I824+M824)/2)</f>
        <v>15.3974697854672</v>
      </c>
      <c r="O824" s="16" t="n">
        <f aca="false">IF(D824="","",G824*N824)</f>
        <v>3.78623782024639</v>
      </c>
      <c r="P824" s="16" t="n">
        <f aca="false">IF(D824="","",H824+E824-K824-O824)</f>
        <v>154.845637144333</v>
      </c>
      <c r="Q824" s="16" t="n">
        <f aca="false">IF(D824="","",IF(P824&gt;=0,K824,MAX(0,K824+P824)))</f>
        <v>1.119744</v>
      </c>
      <c r="R824" s="16" t="n">
        <f aca="false">IF(D824="","",Q824/$B$15)</f>
        <v>0.432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154.845637144333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95.5837266323045</v>
      </c>
      <c r="Z824" s="18" t="n">
        <f aca="false">IF(D824="","",MAX(0,IF(P824&gt;=0,P824,IF(K824+P824&gt;=0,0,P824+K824))))</f>
        <v>154.845637144333</v>
      </c>
      <c r="AA824" s="18" t="n">
        <f aca="false">IF(D824="","",IF(H824&lt;=$B$16,1,IF(H824&gt;=$B$17,$B$21,MATCH(H824,Aux_CAV!$A$2:$A$121,1))))</f>
        <v>22</v>
      </c>
      <c r="AB824" s="18" t="n">
        <f aca="false">IF(D824="","",IF(L824&lt;=$B$16,1,IF(L824&gt;=$B$17,$B$21,MATCH(L824,Aux_CAV!$A$2:$A$121,1))))</f>
        <v>22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0.764209045907178</v>
      </c>
      <c r="E825" s="16" t="n">
        <f aca="false">IF(D825="","",D825*$B$15)</f>
        <v>1.98082984699141</v>
      </c>
      <c r="F825" s="16" t="n">
        <f aca="false" t="array" ref="F825:F825">IF(D825="","",IFERROR(INDEX(Dados_Evap!$C$2:$N$15,MATCH($B$9,Dados_Evap!$A$2:$A$15,0),C825),0))</f>
        <v>282.3</v>
      </c>
      <c r="G825" s="16" t="n">
        <f aca="false">IF(F825="","",F825/1000)</f>
        <v>0.2823</v>
      </c>
      <c r="H825" s="16" t="n">
        <f aca="false">IF(D825="","",MAX(0,MIN($B$8,IFERROR(LOOKUP(2,1/($U$24:U824&lt;&gt;""),$U$24:U824),$B$11))))</f>
        <v>154.845637144333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15.2621139816168</v>
      </c>
      <c r="J825" s="16" t="n">
        <f aca="false">IF(D825="","",$B$12)</f>
        <v>0.432</v>
      </c>
      <c r="K825" s="16" t="n">
        <f aca="false">IF(J825="","",J825*$B$15)</f>
        <v>1.119744</v>
      </c>
      <c r="L825" s="16" t="n">
        <f aca="false">IF(D825="","",H825+E825-K825-G825*I825)</f>
        <v>151.398228214314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15.0111192882356</v>
      </c>
      <c r="N825" s="16" t="n">
        <f aca="false">IF(D825="","",(I825+M825)/2)</f>
        <v>15.1366166349262</v>
      </c>
      <c r="O825" s="16" t="n">
        <f aca="false">IF(D825="","",G825*N825)</f>
        <v>4.27306687603967</v>
      </c>
      <c r="P825" s="16" t="n">
        <f aca="false">IF(D825="","",H825+E825-K825-O825)</f>
        <v>151.433656115285</v>
      </c>
      <c r="Q825" s="16" t="n">
        <f aca="false">IF(D825="","",IF(P825&gt;=0,K825,MAX(0,K825+P825)))</f>
        <v>1.119744</v>
      </c>
      <c r="R825" s="16" t="n">
        <f aca="false">IF(D825="","",Q825/$B$15)</f>
        <v>0.432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151.433656115285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93.4775655032624</v>
      </c>
      <c r="Z825" s="18" t="n">
        <f aca="false">IF(D825="","",MAX(0,IF(P825&gt;=0,P825,IF(K825+P825&gt;=0,0,P825+K825))))</f>
        <v>151.433656115285</v>
      </c>
      <c r="AA825" s="18" t="n">
        <f aca="false">IF(D825="","",IF(H825&lt;=$B$16,1,IF(H825&gt;=$B$17,$B$21,MATCH(H825,Aux_CAV!$A$2:$A$121,1))))</f>
        <v>22</v>
      </c>
      <c r="AB825" s="18" t="n">
        <f aca="false">IF(D825="","",IF(L825&lt;=$B$16,1,IF(L825&gt;=$B$17,$B$21,MATCH(L825,Aux_CAV!$A$2:$A$121,1))))</f>
        <v>22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0.440715129136902</v>
      </c>
      <c r="E826" s="16" t="n">
        <f aca="false">IF(D826="","",D826*$B$15)</f>
        <v>1.14233361472285</v>
      </c>
      <c r="F826" s="16" t="n">
        <f aca="false" t="array" ref="F826:F826">IF(D826="","",IFERROR(INDEX(Dados_Evap!$C$2:$N$15,MATCH($B$9,Dados_Evap!$A$2:$A$15,0),C826),0))</f>
        <v>241.3</v>
      </c>
      <c r="G826" s="16" t="n">
        <f aca="false">IF(F826="","",F826/1000)</f>
        <v>0.2413</v>
      </c>
      <c r="H826" s="16" t="n">
        <f aca="false">IF(D826="","",MAX(0,MIN($B$8,IFERROR(LOOKUP(2,1/($U$24:U825&lt;&gt;""),$U$24:U825),$B$11))))</f>
        <v>151.433656115285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15.013698679112</v>
      </c>
      <c r="J826" s="16" t="n">
        <f aca="false">IF(D826="","",$B$12)</f>
        <v>0.432</v>
      </c>
      <c r="K826" s="16" t="n">
        <f aca="false">IF(J826="","",J826*$B$15)</f>
        <v>1.119744</v>
      </c>
      <c r="L826" s="16" t="n">
        <f aca="false">IF(D826="","",H826+E826-K826-G826*I826)</f>
        <v>147.833440238738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14.7515786062156</v>
      </c>
      <c r="N826" s="16" t="n">
        <f aca="false">IF(D826="","",(I826+M826)/2)</f>
        <v>14.8826386426638</v>
      </c>
      <c r="O826" s="16" t="n">
        <f aca="false">IF(D826="","",G826*N826)</f>
        <v>3.59118070447477</v>
      </c>
      <c r="P826" s="16" t="n">
        <f aca="false">IF(D826="","",H826+E826-K826-O826)</f>
        <v>147.865065025533</v>
      </c>
      <c r="Q826" s="16" t="n">
        <f aca="false">IF(D826="","",IF(P826&gt;=0,K826,MAX(0,K826+P826)))</f>
        <v>1.119744</v>
      </c>
      <c r="R826" s="16" t="n">
        <f aca="false">IF(D826="","",Q826/$B$15)</f>
        <v>0.432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147.865065025533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91.2747314972427</v>
      </c>
      <c r="Z826" s="18" t="n">
        <f aca="false">IF(D826="","",MAX(0,IF(P826&gt;=0,P826,IF(K826+P826&gt;=0,0,P826+K826))))</f>
        <v>147.865065025533</v>
      </c>
      <c r="AA826" s="18" t="n">
        <f aca="false">IF(D826="","",IF(H826&lt;=$B$16,1,IF(H826&gt;=$B$17,$B$21,MATCH(H826,Aux_CAV!$A$2:$A$121,1))))</f>
        <v>22</v>
      </c>
      <c r="AB826" s="18" t="n">
        <f aca="false">IF(D826="","",IF(L826&lt;=$B$16,1,IF(L826&gt;=$B$17,$B$21,MATCH(L826,Aux_CAV!$A$2:$A$121,1))))</f>
        <v>22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0.349492071528332</v>
      </c>
      <c r="E827" s="16" t="n">
        <f aca="false">IF(D827="","",D827*$B$15)</f>
        <v>0.905883449401437</v>
      </c>
      <c r="F827" s="16" t="n">
        <f aca="false" t="array" ref="F827:F827">IF(D827="","",IFERROR(INDEX(Dados_Evap!$C$2:$N$15,MATCH($B$9,Dados_Evap!$A$2:$A$15,0),C827),0))</f>
        <v>241.8</v>
      </c>
      <c r="G827" s="16" t="n">
        <f aca="false">IF(F827="","",F827/1000)</f>
        <v>0.2418</v>
      </c>
      <c r="H827" s="16" t="n">
        <f aca="false">IF(D827="","",MAX(0,MIN($B$8,IFERROR(LOOKUP(2,1/($U$24:U826&lt;&gt;""),$U$24:U826),$B$11))))</f>
        <v>147.865065025533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14.7538811046502</v>
      </c>
      <c r="J827" s="16" t="n">
        <f aca="false">IF(D827="","",$B$12)</f>
        <v>0.432</v>
      </c>
      <c r="K827" s="16" t="n">
        <f aca="false">IF(J827="","",J827*$B$15)</f>
        <v>1.119744</v>
      </c>
      <c r="L827" s="16" t="n">
        <f aca="false">IF(D827="","",H827+E827-K827-G827*I827)</f>
        <v>144.08371602383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14.4785733147952</v>
      </c>
      <c r="N827" s="16" t="n">
        <f aca="false">IF(D827="","",(I827+M827)/2)</f>
        <v>14.6162272097227</v>
      </c>
      <c r="O827" s="16" t="n">
        <f aca="false">IF(D827="","",G827*N827)</f>
        <v>3.53420373931095</v>
      </c>
      <c r="P827" s="16" t="n">
        <f aca="false">IF(D827="","",H827+E827-K827-O827)</f>
        <v>144.117000735624</v>
      </c>
      <c r="Q827" s="16" t="n">
        <f aca="false">IF(D827="","",IF(P827&gt;=0,K827,MAX(0,K827+P827)))</f>
        <v>1.119744</v>
      </c>
      <c r="R827" s="16" t="n">
        <f aca="false">IF(D827="","",Q827/$B$15)</f>
        <v>0.432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144.117000735624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88.9611115651998</v>
      </c>
      <c r="Z827" s="18" t="n">
        <f aca="false">IF(D827="","",MAX(0,IF(P827&gt;=0,P827,IF(K827+P827&gt;=0,0,P827+K827))))</f>
        <v>144.117000735624</v>
      </c>
      <c r="AA827" s="18" t="n">
        <f aca="false">IF(D827="","",IF(H827&lt;=$B$16,1,IF(H827&gt;=$B$17,$B$21,MATCH(H827,Aux_CAV!$A$2:$A$121,1))))</f>
        <v>22</v>
      </c>
      <c r="AB827" s="18" t="n">
        <f aca="false">IF(D827="","",IF(L827&lt;=$B$16,1,IF(L827&gt;=$B$17,$B$21,MATCH(L827,Aux_CAV!$A$2:$A$121,1))))</f>
        <v>22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1.21470486370389</v>
      </c>
      <c r="E828" s="16" t="n">
        <f aca="false">IF(D828="","",D828*$B$15)</f>
        <v>3.14851500672048</v>
      </c>
      <c r="F828" s="16" t="n">
        <f aca="false" t="array" ref="F828:F828">IF(D828="","",IFERROR(INDEX(Dados_Evap!$C$2:$N$15,MATCH($B$9,Dados_Evap!$A$2:$A$15,0),C828),0))</f>
        <v>189</v>
      </c>
      <c r="G828" s="16" t="n">
        <f aca="false">IF(F828="","",F828/1000)</f>
        <v>0.189</v>
      </c>
      <c r="H828" s="16" t="n">
        <f aca="false">IF(D828="","",MAX(0,MIN($B$8,IFERROR(LOOKUP(2,1/($U$24:U827&lt;&gt;""),$U$24:U827),$B$11))))</f>
        <v>144.117000735624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14.4809966669999</v>
      </c>
      <c r="J828" s="16" t="n">
        <f aca="false">IF(D828="","",$B$12)</f>
        <v>0.432</v>
      </c>
      <c r="K828" s="16" t="n">
        <f aca="false">IF(J828="","",J828*$B$15)</f>
        <v>1.119744</v>
      </c>
      <c r="L828" s="16" t="n">
        <f aca="false">IF(D828="","",H828+E828-K828-G828*I828)</f>
        <v>143.408863372281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14.42943947608</v>
      </c>
      <c r="N828" s="16" t="n">
        <f aca="false">IF(D828="","",(I828+M828)/2)</f>
        <v>14.4552180715399</v>
      </c>
      <c r="O828" s="16" t="n">
        <f aca="false">IF(D828="","",G828*N828)</f>
        <v>2.73203621552104</v>
      </c>
      <c r="P828" s="16" t="n">
        <f aca="false">IF(D828="","",H828+E828-K828-O828)</f>
        <v>143.413735526823</v>
      </c>
      <c r="Q828" s="16" t="n">
        <f aca="false">IF(D828="","",IF(P828&gt;=0,K828,MAX(0,K828+P828)))</f>
        <v>1.119744</v>
      </c>
      <c r="R828" s="16" t="n">
        <f aca="false">IF(D828="","",Q828/$B$15)</f>
        <v>0.432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143.413735526823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88.5269972387797</v>
      </c>
      <c r="Z828" s="18" t="n">
        <f aca="false">IF(D828="","",MAX(0,IF(P828&gt;=0,P828,IF(K828+P828&gt;=0,0,P828+K828))))</f>
        <v>143.413735526823</v>
      </c>
      <c r="AA828" s="18" t="n">
        <f aca="false">IF(D828="","",IF(H828&lt;=$B$16,1,IF(H828&gt;=$B$17,$B$21,MATCH(H828,Aux_CAV!$A$2:$A$121,1))))</f>
        <v>22</v>
      </c>
      <c r="AB828" s="18" t="n">
        <f aca="false">IF(D828="","",IF(L828&lt;=$B$16,1,IF(L828&gt;=$B$17,$B$21,MATCH(L828,Aux_CAV!$A$2:$A$121,1))))</f>
        <v>22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2.10352048657225</v>
      </c>
      <c r="E829" s="16" t="n">
        <f aca="false">IF(D829="","",D829*$B$15)</f>
        <v>5.45232510119527</v>
      </c>
      <c r="F829" s="16" t="n">
        <f aca="false" t="array" ref="F829:F829">IF(D829="","",IFERROR(INDEX(Dados_Evap!$C$2:$N$15,MATCH($B$9,Dados_Evap!$A$2:$A$15,0),C829),0))</f>
        <v>136.9</v>
      </c>
      <c r="G829" s="16" t="n">
        <f aca="false">IF(F829="","",F829/1000)</f>
        <v>0.1369</v>
      </c>
      <c r="H829" s="16" t="n">
        <f aca="false">IF(D829="","",MAX(0,MIN($B$8,IFERROR(LOOKUP(2,1/($U$24:U828&lt;&gt;""),$U$24:U828),$B$11))))</f>
        <v>143.413735526823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14.4297942018929</v>
      </c>
      <c r="J829" s="16" t="n">
        <f aca="false">IF(D829="","",$B$12)</f>
        <v>0.432</v>
      </c>
      <c r="K829" s="16" t="n">
        <f aca="false">IF(J829="","",J829*$B$15)</f>
        <v>1.119744</v>
      </c>
      <c r="L829" s="16" t="n">
        <f aca="false">IF(D829="","",H829+E829-K829-G829*I829)</f>
        <v>145.770877801779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14.6014101066401</v>
      </c>
      <c r="N829" s="16" t="n">
        <f aca="false">IF(D829="","",(I829+M829)/2)</f>
        <v>14.5156021542665</v>
      </c>
      <c r="O829" s="16" t="n">
        <f aca="false">IF(D829="","",G829*N829)</f>
        <v>1.98718593491909</v>
      </c>
      <c r="P829" s="16" t="n">
        <f aca="false">IF(D829="","",H829+E829-K829-O829)</f>
        <v>145.759130693099</v>
      </c>
      <c r="Q829" s="16" t="n">
        <f aca="false">IF(D829="","",IF(P829&gt;=0,K829,MAX(0,K829+P829)))</f>
        <v>1.119744</v>
      </c>
      <c r="R829" s="16" t="n">
        <f aca="false">IF(D829="","",Q829/$B$15)</f>
        <v>0.432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145.759130693099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89.9747720327773</v>
      </c>
      <c r="Z829" s="18" t="n">
        <f aca="false">IF(D829="","",MAX(0,IF(P829&gt;=0,P829,IF(K829+P829&gt;=0,0,P829+K829))))</f>
        <v>145.759130693099</v>
      </c>
      <c r="AA829" s="18" t="n">
        <f aca="false">IF(D829="","",IF(H829&lt;=$B$16,1,IF(H829&gt;=$B$17,$B$21,MATCH(H829,Aux_CAV!$A$2:$A$121,1))))</f>
        <v>22</v>
      </c>
      <c r="AB829" s="18" t="n">
        <f aca="false">IF(D829="","",IF(L829&lt;=$B$16,1,IF(L829&gt;=$B$17,$B$21,MATCH(L829,Aux_CAV!$A$2:$A$121,1))))</f>
        <v>22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5.2139068838879</v>
      </c>
      <c r="E830" s="16" t="n">
        <f aca="false">IF(D830="","",D830*$B$15)</f>
        <v>13.5144466430374</v>
      </c>
      <c r="F830" s="16" t="n">
        <f aca="false" t="array" ref="F830:F830">IF(D830="","",IFERROR(INDEX(Dados_Evap!$C$2:$N$15,MATCH($B$9,Dados_Evap!$A$2:$A$15,0),C830),0))</f>
        <v>102.9</v>
      </c>
      <c r="G830" s="16" t="n">
        <f aca="false">IF(F830="","",F830/1000)</f>
        <v>0.1029</v>
      </c>
      <c r="H830" s="16" t="n">
        <f aca="false">IF(D830="","",MAX(0,MIN($B$8,IFERROR(LOOKUP(2,1/($U$24:U829&lt;&gt;""),$U$24:U829),$B$11))))</f>
        <v>145.759130693099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14.6005548376537</v>
      </c>
      <c r="J830" s="16" t="n">
        <f aca="false">IF(D830="","",$B$12)</f>
        <v>0.432</v>
      </c>
      <c r="K830" s="16" t="n">
        <f aca="false">IF(J830="","",J830*$B$15)</f>
        <v>1.119744</v>
      </c>
      <c r="L830" s="16" t="n">
        <f aca="false">IF(D830="","",H830+E830-K830-G830*I830)</f>
        <v>156.651436243342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15.3935883730698</v>
      </c>
      <c r="N830" s="16" t="n">
        <f aca="false">IF(D830="","",(I830+M830)/2)</f>
        <v>14.9970716053618</v>
      </c>
      <c r="O830" s="16" t="n">
        <f aca="false">IF(D830="","",G830*N830)</f>
        <v>1.54319866819172</v>
      </c>
      <c r="P830" s="16" t="n">
        <f aca="false">IF(D830="","",H830+E830-K830-O830)</f>
        <v>156.610634667945</v>
      </c>
      <c r="Q830" s="16" t="n">
        <f aca="false">IF(D830="","",IF(P830&gt;=0,K830,MAX(0,K830+P830)))</f>
        <v>1.119744</v>
      </c>
      <c r="R830" s="16" t="n">
        <f aca="false">IF(D830="","",Q830/$B$15)</f>
        <v>0.432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156.610634667945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96.6732312765092</v>
      </c>
      <c r="Z830" s="18" t="n">
        <f aca="false">IF(D830="","",MAX(0,IF(P830&gt;=0,P830,IF(K830+P830&gt;=0,0,P830+K830))))</f>
        <v>156.610634667945</v>
      </c>
      <c r="AA830" s="18" t="n">
        <f aca="false">IF(D830="","",IF(H830&lt;=$B$16,1,IF(H830&gt;=$B$17,$B$21,MATCH(H830,Aux_CAV!$A$2:$A$121,1))))</f>
        <v>22</v>
      </c>
      <c r="AB830" s="18" t="n">
        <f aca="false">IF(D830="","",IF(L830&lt;=$B$16,1,IF(L830&gt;=$B$17,$B$21,MATCH(L830,Aux_CAV!$A$2:$A$121,1))))</f>
        <v>22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7.80220534696655</v>
      </c>
      <c r="E831" s="16" t="n">
        <f aca="false">IF(D831="","",D831*$B$15)</f>
        <v>20.2233162593373</v>
      </c>
      <c r="F831" s="16" t="n">
        <f aca="false" t="array" ref="F831:F831">IF(D831="","",IFERROR(INDEX(Dados_Evap!$C$2:$N$15,MATCH($B$9,Dados_Evap!$A$2:$A$15,0),C831),0))</f>
        <v>81.8</v>
      </c>
      <c r="G831" s="16" t="n">
        <f aca="false">IF(F831="","",F831/1000)</f>
        <v>0.0818</v>
      </c>
      <c r="H831" s="16" t="n">
        <f aca="false">IF(D831="","",MAX(0,MIN($B$8,IFERROR(LOOKUP(2,1/($U$24:U830&lt;&gt;""),$U$24:U830),$B$11))))</f>
        <v>156.610634667945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15.3906177423398</v>
      </c>
      <c r="J831" s="16" t="n">
        <f aca="false">IF(D831="","",$B$12)</f>
        <v>0.432</v>
      </c>
      <c r="K831" s="16" t="n">
        <f aca="false">IF(J831="","",J831*$B$15)</f>
        <v>1.119744</v>
      </c>
      <c r="L831" s="16" t="n">
        <f aca="false">IF(D831="","",H831+E831-K831-G831*I831)</f>
        <v>174.455254395959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16.5279428343488</v>
      </c>
      <c r="N831" s="16" t="n">
        <f aca="false">IF(D831="","",(I831+M831)/2)</f>
        <v>15.9592802883443</v>
      </c>
      <c r="O831" s="16" t="n">
        <f aca="false">IF(D831="","",G831*N831)</f>
        <v>1.30546912758656</v>
      </c>
      <c r="P831" s="16" t="n">
        <f aca="false">IF(D831="","",H831+E831-K831-O831)</f>
        <v>174.408737799696</v>
      </c>
      <c r="Q831" s="16" t="n">
        <f aca="false">IF(D831="","",IF(P831&gt;=0,K831,MAX(0,K831+P831)))</f>
        <v>1.119744</v>
      </c>
      <c r="R831" s="16" t="n">
        <f aca="false">IF(D831="","",Q831/$B$15)</f>
        <v>0.432</v>
      </c>
      <c r="S831" s="16" t="n">
        <f aca="false">IF(D831="","",MAX(0,J831-R831))</f>
        <v>0</v>
      </c>
      <c r="T831" s="16" t="n">
        <f aca="false">IF(D831="","",MAX(0,Z831-$B$8))</f>
        <v>12.4087377996957</v>
      </c>
      <c r="U831" s="16" t="n">
        <f aca="false">IF(D831="","",MAX(0,MIN($B$8,Z831)))</f>
        <v>162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174.408737799696</v>
      </c>
      <c r="AA831" s="18" t="n">
        <f aca="false">IF(D831="","",IF(H831&lt;=$B$16,1,IF(H831&gt;=$B$17,$B$21,MATCH(H831,Aux_CAV!$A$2:$A$121,1))))</f>
        <v>22</v>
      </c>
      <c r="AB831" s="18" t="n">
        <f aca="false">IF(D831="","",IF(L831&lt;=$B$16,1,IF(L831&gt;=$B$17,$B$21,MATCH(L831,Aux_CAV!$A$2:$A$121,1))))</f>
        <v>23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13.3620023610841</v>
      </c>
      <c r="E832" s="16" t="n">
        <f aca="false">IF(D832="","",D832*$B$15)</f>
        <v>34.63431011993</v>
      </c>
      <c r="F832" s="16" t="n">
        <f aca="false" t="array" ref="F832:F832">IF(D832="","",IFERROR(INDEX(Dados_Evap!$C$2:$N$15,MATCH($B$9,Dados_Evap!$A$2:$A$15,0),C832),0))</f>
        <v>83.6</v>
      </c>
      <c r="G832" s="16" t="n">
        <f aca="false">IF(F832="","",F832/1000)</f>
        <v>0.0836</v>
      </c>
      <c r="H832" s="16" t="n">
        <f aca="false">IF(D832="","",MAX(0,MIN($B$8,IFERROR(LOOKUP(2,1/($U$24:U831&lt;&gt;""),$U$24:U831),$B$11))))</f>
        <v>162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15.783</v>
      </c>
      <c r="J832" s="16" t="n">
        <f aca="false">IF(D832="","",$B$12)</f>
        <v>0.432</v>
      </c>
      <c r="K832" s="16" t="n">
        <f aca="false">IF(J832="","",J832*$B$15)</f>
        <v>1.119744</v>
      </c>
      <c r="L832" s="16" t="n">
        <f aca="false">IF(D832="","",H832+E832-K832-G832*I832)</f>
        <v>194.19510731993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17.7085740378015</v>
      </c>
      <c r="N832" s="16" t="n">
        <f aca="false">IF(D832="","",(I832+M832)/2)</f>
        <v>16.7457870189008</v>
      </c>
      <c r="O832" s="16" t="n">
        <f aca="false">IF(D832="","",G832*N832)</f>
        <v>1.3999477947801</v>
      </c>
      <c r="P832" s="16" t="n">
        <f aca="false">IF(D832="","",H832+E832-K832-O832)</f>
        <v>194.11461832515</v>
      </c>
      <c r="Q832" s="16" t="n">
        <f aca="false">IF(D832="","",IF(P832&gt;=0,K832,MAX(0,K832+P832)))</f>
        <v>1.119744</v>
      </c>
      <c r="R832" s="16" t="n">
        <f aca="false">IF(D832="","",Q832/$B$15)</f>
        <v>0.432</v>
      </c>
      <c r="S832" s="16" t="n">
        <f aca="false">IF(D832="","",MAX(0,J832-R832))</f>
        <v>0</v>
      </c>
      <c r="T832" s="16" t="n">
        <f aca="false">IF(D832="","",MAX(0,Z832-$B$8))</f>
        <v>32.1146183251499</v>
      </c>
      <c r="U832" s="16" t="n">
        <f aca="false">IF(D832="","",MAX(0,MIN($B$8,Z832)))</f>
        <v>162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194.11461832515</v>
      </c>
      <c r="AA832" s="18" t="n">
        <f aca="false">IF(D832="","",IF(H832&lt;=$B$16,1,IF(H832&gt;=$B$17,$B$21,MATCH(H832,Aux_CAV!$A$2:$A$121,1))))</f>
        <v>23</v>
      </c>
      <c r="AB832" s="18" t="n">
        <f aca="false">IF(D832="","",IF(L832&lt;=$B$16,1,IF(L832&gt;=$B$17,$B$21,MATCH(L832,Aux_CAV!$A$2:$A$121,1))))</f>
        <v>23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11.6494921815345</v>
      </c>
      <c r="E833" s="16" t="n">
        <f aca="false">IF(D833="","",D833*$B$15)</f>
        <v>30.1954837345374</v>
      </c>
      <c r="F833" s="16" t="n">
        <f aca="false" t="array" ref="F833:F833">IF(D833="","",IFERROR(INDEX(Dados_Evap!$C$2:$N$15,MATCH($B$9,Dados_Evap!$A$2:$A$15,0),C833),0))</f>
        <v>108.2</v>
      </c>
      <c r="G833" s="16" t="n">
        <f aca="false">IF(F833="","",F833/1000)</f>
        <v>0.1082</v>
      </c>
      <c r="H833" s="16" t="n">
        <f aca="false">IF(D833="","",MAX(0,MIN($B$8,IFERROR(LOOKUP(2,1/($U$24:U832&lt;&gt;""),$U$24:U832),$B$11))))</f>
        <v>162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15.783</v>
      </c>
      <c r="J833" s="16" t="n">
        <f aca="false">IF(D833="","",$B$12)</f>
        <v>0.432</v>
      </c>
      <c r="K833" s="16" t="n">
        <f aca="false">IF(J833="","",J833*$B$15)</f>
        <v>1.119744</v>
      </c>
      <c r="L833" s="16" t="n">
        <f aca="false">IF(D833="","",H833+E833-K833-G833*I833)</f>
        <v>189.368019134537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17.4198681920466</v>
      </c>
      <c r="N833" s="16" t="n">
        <f aca="false">IF(D833="","",(I833+M833)/2)</f>
        <v>16.6014340960233</v>
      </c>
      <c r="O833" s="16" t="n">
        <f aca="false">IF(D833="","",G833*N833)</f>
        <v>1.79627516918972</v>
      </c>
      <c r="P833" s="16" t="n">
        <f aca="false">IF(D833="","",H833+E833-K833-O833)</f>
        <v>189.279464565348</v>
      </c>
      <c r="Q833" s="16" t="n">
        <f aca="false">IF(D833="","",IF(P833&gt;=0,K833,MAX(0,K833+P833)))</f>
        <v>1.119744</v>
      </c>
      <c r="R833" s="16" t="n">
        <f aca="false">IF(D833="","",Q833/$B$15)</f>
        <v>0.432</v>
      </c>
      <c r="S833" s="16" t="n">
        <f aca="false">IF(D833="","",MAX(0,J833-R833))</f>
        <v>0</v>
      </c>
      <c r="T833" s="16" t="n">
        <f aca="false">IF(D833="","",MAX(0,Z833-$B$8))</f>
        <v>27.2794645653477</v>
      </c>
      <c r="U833" s="16" t="n">
        <f aca="false">IF(D833="","",MAX(0,MIN($B$8,Z833)))</f>
        <v>162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189.279464565348</v>
      </c>
      <c r="AA833" s="18" t="n">
        <f aca="false">IF(D833="","",IF(H833&lt;=$B$16,1,IF(H833&gt;=$B$17,$B$21,MATCH(H833,Aux_CAV!$A$2:$A$121,1))))</f>
        <v>23</v>
      </c>
      <c r="AB833" s="18" t="n">
        <f aca="false">IF(D833="","",IF(L833&lt;=$B$16,1,IF(L833&gt;=$B$17,$B$21,MATCH(L833,Aux_CAV!$A$2:$A$121,1))))</f>
        <v>23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8.50510082128206</v>
      </c>
      <c r="E834" s="16" t="n">
        <f aca="false">IF(D834="","",D834*$B$15)</f>
        <v>22.0452213287631</v>
      </c>
      <c r="F834" s="16" t="n">
        <f aca="false" t="array" ref="F834:F834">IF(D834="","",IFERROR(INDEX(Dados_Evap!$C$2:$N$15,MATCH($B$9,Dados_Evap!$A$2:$A$15,0),C834),0))</f>
        <v>149</v>
      </c>
      <c r="G834" s="16" t="n">
        <f aca="false">IF(F834="","",F834/1000)</f>
        <v>0.149</v>
      </c>
      <c r="H834" s="16" t="n">
        <f aca="false">IF(D834="","",MAX(0,MIN($B$8,IFERROR(LOOKUP(2,1/($U$24:U833&lt;&gt;""),$U$24:U833),$B$11))))</f>
        <v>162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15.783</v>
      </c>
      <c r="J834" s="16" t="n">
        <f aca="false">IF(D834="","",$B$12)</f>
        <v>0.432</v>
      </c>
      <c r="K834" s="16" t="n">
        <f aca="false">IF(J834="","",J834*$B$15)</f>
        <v>1.119744</v>
      </c>
      <c r="L834" s="16" t="n">
        <f aca="false">IF(D834="","",H834+E834-K834-G834*I834)</f>
        <v>180.573810328763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16.8938907510917</v>
      </c>
      <c r="N834" s="16" t="n">
        <f aca="false">IF(D834="","",(I834+M834)/2)</f>
        <v>16.3384453755459</v>
      </c>
      <c r="O834" s="16" t="n">
        <f aca="false">IF(D834="","",G834*N834)</f>
        <v>2.43442836095633</v>
      </c>
      <c r="P834" s="16" t="n">
        <f aca="false">IF(D834="","",H834+E834-K834-O834)</f>
        <v>180.491048967807</v>
      </c>
      <c r="Q834" s="16" t="n">
        <f aca="false">IF(D834="","",IF(P834&gt;=0,K834,MAX(0,K834+P834)))</f>
        <v>1.119744</v>
      </c>
      <c r="R834" s="16" t="n">
        <f aca="false">IF(D834="","",Q834/$B$15)</f>
        <v>0.432</v>
      </c>
      <c r="S834" s="16" t="n">
        <f aca="false">IF(D834="","",MAX(0,J834-R834))</f>
        <v>0</v>
      </c>
      <c r="T834" s="16" t="n">
        <f aca="false">IF(D834="","",MAX(0,Z834-$B$8))</f>
        <v>18.4910489678068</v>
      </c>
      <c r="U834" s="16" t="n">
        <f aca="false">IF(D834="","",MAX(0,MIN($B$8,Z834)))</f>
        <v>162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180.491048967807</v>
      </c>
      <c r="AA834" s="18" t="n">
        <f aca="false">IF(D834="","",IF(H834&lt;=$B$16,1,IF(H834&gt;=$B$17,$B$21,MATCH(H834,Aux_CAV!$A$2:$A$121,1))))</f>
        <v>23</v>
      </c>
      <c r="AB834" s="18" t="n">
        <f aca="false">IF(D834="","",IF(L834&lt;=$B$16,1,IF(L834&gt;=$B$17,$B$21,MATCH(L834,Aux_CAV!$A$2:$A$121,1))))</f>
        <v>23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0.819323470639151</v>
      </c>
      <c r="E835" s="16" t="n">
        <f aca="false">IF(D835="","",D835*$B$15)</f>
        <v>2.12368643589668</v>
      </c>
      <c r="F835" s="16" t="n">
        <f aca="false" t="array" ref="F835:F835">IF(D835="","",IFERROR(INDEX(Dados_Evap!$C$2:$N$15,MATCH($B$9,Dados_Evap!$A$2:$A$15,0),C835),0))</f>
        <v>206.8</v>
      </c>
      <c r="G835" s="16" t="n">
        <f aca="false">IF(F835="","",F835/1000)</f>
        <v>0.2068</v>
      </c>
      <c r="H835" s="16" t="n">
        <f aca="false">IF(D835="","",MAX(0,MIN($B$8,IFERROR(LOOKUP(2,1/($U$24:U834&lt;&gt;""),$U$24:U834),$B$11))))</f>
        <v>162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15.783</v>
      </c>
      <c r="J835" s="16" t="n">
        <f aca="false">IF(D835="","",$B$12)</f>
        <v>0.432</v>
      </c>
      <c r="K835" s="16" t="n">
        <f aca="false">IF(J835="","",J835*$B$15)</f>
        <v>1.119744</v>
      </c>
      <c r="L835" s="16" t="n">
        <f aca="false">IF(D835="","",H835+E835-K835-G835*I835)</f>
        <v>159.740018035897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15.6184580232163</v>
      </c>
      <c r="N835" s="16" t="n">
        <f aca="false">IF(D835="","",(I835+M835)/2)</f>
        <v>15.7007290116081</v>
      </c>
      <c r="O835" s="16" t="n">
        <f aca="false">IF(D835="","",G835*N835)</f>
        <v>3.24691075960056</v>
      </c>
      <c r="P835" s="16" t="n">
        <f aca="false">IF(D835="","",H835+E835-K835-O835)</f>
        <v>159.757031676296</v>
      </c>
      <c r="Q835" s="16" t="n">
        <f aca="false">IF(D835="","",IF(P835&gt;=0,K835,MAX(0,K835+P835)))</f>
        <v>1.119744</v>
      </c>
      <c r="R835" s="16" t="n">
        <f aca="false">IF(D835="","",Q835/$B$15)</f>
        <v>0.432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159.757031676296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98.6154516520347</v>
      </c>
      <c r="Z835" s="18" t="n">
        <f aca="false">IF(D835="","",MAX(0,IF(P835&gt;=0,P835,IF(K835+P835&gt;=0,0,P835+K835))))</f>
        <v>159.757031676296</v>
      </c>
      <c r="AA835" s="18" t="n">
        <f aca="false">IF(D835="","",IF(H835&lt;=$B$16,1,IF(H835&gt;=$B$17,$B$21,MATCH(H835,Aux_CAV!$A$2:$A$121,1))))</f>
        <v>23</v>
      </c>
      <c r="AB835" s="18" t="n">
        <f aca="false">IF(D835="","",IF(L835&lt;=$B$16,1,IF(L835&gt;=$B$17,$B$21,MATCH(L835,Aux_CAV!$A$2:$A$121,1))))</f>
        <v>22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0.619781971594031</v>
      </c>
      <c r="E836" s="16" t="n">
        <f aca="false">IF(D836="","",D836*$B$15)</f>
        <v>1.60647487037173</v>
      </c>
      <c r="F836" s="16" t="n">
        <f aca="false" t="array" ref="F836:F836">IF(D836="","",IFERROR(INDEX(Dados_Evap!$C$2:$N$15,MATCH($B$9,Dados_Evap!$A$2:$A$15,0),C836),0))</f>
        <v>245.9</v>
      </c>
      <c r="G836" s="16" t="n">
        <f aca="false">IF(F836="","",F836/1000)</f>
        <v>0.2459</v>
      </c>
      <c r="H836" s="16" t="n">
        <f aca="false">IF(D836="","",MAX(0,MIN($B$8,IFERROR(LOOKUP(2,1/($U$24:U835&lt;&gt;""),$U$24:U835),$B$11))))</f>
        <v>159.757031676296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15.6196967313423</v>
      </c>
      <c r="J836" s="16" t="n">
        <f aca="false">IF(D836="","",$B$12)</f>
        <v>0.432</v>
      </c>
      <c r="K836" s="16" t="n">
        <f aca="false">IF(J836="","",J836*$B$15)</f>
        <v>1.119744</v>
      </c>
      <c r="L836" s="16" t="n">
        <f aca="false">IF(D836="","",H836+E836-K836-G836*I836)</f>
        <v>156.402879120431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15.3754917329208</v>
      </c>
      <c r="N836" s="16" t="n">
        <f aca="false">IF(D836="","",(I836+M836)/2)</f>
        <v>15.4975942321316</v>
      </c>
      <c r="O836" s="16" t="n">
        <f aca="false">IF(D836="","",G836*N836)</f>
        <v>3.81085842168115</v>
      </c>
      <c r="P836" s="16" t="n">
        <f aca="false">IF(D836="","",H836+E836-K836-O836)</f>
        <v>156.432904124987</v>
      </c>
      <c r="Q836" s="16" t="n">
        <f aca="false">IF(D836="","",IF(P836&gt;=0,K836,MAX(0,K836+P836)))</f>
        <v>1.119744</v>
      </c>
      <c r="R836" s="16" t="n">
        <f aca="false">IF(D836="","",Q836/$B$15)</f>
        <v>0.432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156.432904124987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96.5635210648066</v>
      </c>
      <c r="Z836" s="18" t="n">
        <f aca="false">IF(D836="","",MAX(0,IF(P836&gt;=0,P836,IF(K836+P836&gt;=0,0,P836+K836))))</f>
        <v>156.432904124987</v>
      </c>
      <c r="AA836" s="18" t="n">
        <f aca="false">IF(D836="","",IF(H836&lt;=$B$16,1,IF(H836&gt;=$B$17,$B$21,MATCH(H836,Aux_CAV!$A$2:$A$121,1))))</f>
        <v>22</v>
      </c>
      <c r="AB836" s="18" t="n">
        <f aca="false">IF(D836="","",IF(L836&lt;=$B$16,1,IF(L836&gt;=$B$17,$B$21,MATCH(L836,Aux_CAV!$A$2:$A$121,1))))</f>
        <v>22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0.696345574662882</v>
      </c>
      <c r="E837" s="16" t="n">
        <f aca="false">IF(D837="","",D837*$B$15)</f>
        <v>1.80492772952619</v>
      </c>
      <c r="F837" s="16" t="n">
        <f aca="false" t="array" ref="F837:F837">IF(D837="","",IFERROR(INDEX(Dados_Evap!$C$2:$N$15,MATCH($B$9,Dados_Evap!$A$2:$A$15,0),C837),0))</f>
        <v>282.3</v>
      </c>
      <c r="G837" s="16" t="n">
        <f aca="false">IF(F837="","",F837/1000)</f>
        <v>0.2823</v>
      </c>
      <c r="H837" s="16" t="n">
        <f aca="false">IF(D837="","",MAX(0,MIN($B$8,IFERROR(LOOKUP(2,1/($U$24:U836&lt;&gt;""),$U$24:U836),$B$11))))</f>
        <v>156.432904124987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15.3776777563852</v>
      </c>
      <c r="J837" s="16" t="n">
        <f aca="false">IF(D837="","",$B$12)</f>
        <v>0.432</v>
      </c>
      <c r="K837" s="16" t="n">
        <f aca="false">IF(J837="","",J837*$B$15)</f>
        <v>1.119744</v>
      </c>
      <c r="L837" s="16" t="n">
        <f aca="false">IF(D837="","",H837+E837-K837-G837*I837)</f>
        <v>152.776969423885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15.1115009760983</v>
      </c>
      <c r="N837" s="16" t="n">
        <f aca="false">IF(D837="","",(I837+M837)/2)</f>
        <v>15.2445893662418</v>
      </c>
      <c r="O837" s="16" t="n">
        <f aca="false">IF(D837="","",G837*N837)</f>
        <v>4.30354757809005</v>
      </c>
      <c r="P837" s="16" t="n">
        <f aca="false">IF(D837="","",H837+E837-K837-O837)</f>
        <v>152.814540276423</v>
      </c>
      <c r="Q837" s="16" t="n">
        <f aca="false">IF(D837="","",IF(P837&gt;=0,K837,MAX(0,K837+P837)))</f>
        <v>1.119744</v>
      </c>
      <c r="R837" s="16" t="n">
        <f aca="false">IF(D837="","",Q837/$B$15)</f>
        <v>0.432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152.814540276423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94.3299631335944</v>
      </c>
      <c r="Z837" s="18" t="n">
        <f aca="false">IF(D837="","",MAX(0,IF(P837&gt;=0,P837,IF(K837+P837&gt;=0,0,P837+K837))))</f>
        <v>152.814540276423</v>
      </c>
      <c r="AA837" s="18" t="n">
        <f aca="false">IF(D837="","",IF(H837&lt;=$B$16,1,IF(H837&gt;=$B$17,$B$21,MATCH(H837,Aux_CAV!$A$2:$A$121,1))))</f>
        <v>22</v>
      </c>
      <c r="AB837" s="18" t="n">
        <f aca="false">IF(D837="","",IF(L837&lt;=$B$16,1,IF(L837&gt;=$B$17,$B$21,MATCH(L837,Aux_CAV!$A$2:$A$121,1))))</f>
        <v>22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0.596522164987022</v>
      </c>
      <c r="E838" s="16" t="n">
        <f aca="false">IF(D838="","",D838*$B$15)</f>
        <v>1.54618545164636</v>
      </c>
      <c r="F838" s="16" t="n">
        <f aca="false" t="array" ref="F838:F838">IF(D838="","",IFERROR(INDEX(Dados_Evap!$C$2:$N$15,MATCH($B$9,Dados_Evap!$A$2:$A$15,0),C838),0))</f>
        <v>241.3</v>
      </c>
      <c r="G838" s="16" t="n">
        <f aca="false">IF(F838="","",F838/1000)</f>
        <v>0.2413</v>
      </c>
      <c r="H838" s="16" t="n">
        <f aca="false">IF(D838="","",MAX(0,MIN($B$8,IFERROR(LOOKUP(2,1/($U$24:U837&lt;&gt;""),$U$24:U837),$B$11))))</f>
        <v>152.814540276423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15.1142363883468</v>
      </c>
      <c r="J838" s="16" t="n">
        <f aca="false">IF(D838="","",$B$12)</f>
        <v>0.432</v>
      </c>
      <c r="K838" s="16" t="n">
        <f aca="false">IF(J838="","",J838*$B$15)</f>
        <v>1.119744</v>
      </c>
      <c r="L838" s="16" t="n">
        <f aca="false">IF(D838="","",H838+E838-K838-G838*I838)</f>
        <v>149.593916487561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14.8797531875455</v>
      </c>
      <c r="N838" s="16" t="n">
        <f aca="false">IF(D838="","",(I838+M838)/2)</f>
        <v>14.9969947879462</v>
      </c>
      <c r="O838" s="16" t="n">
        <f aca="false">IF(D838="","",G838*N838)</f>
        <v>3.61877484233141</v>
      </c>
      <c r="P838" s="16" t="n">
        <f aca="false">IF(D838="","",H838+E838-K838-O838)</f>
        <v>149.622206885738</v>
      </c>
      <c r="Q838" s="16" t="n">
        <f aca="false">IF(D838="","",IF(P838&gt;=0,K838,MAX(0,K838+P838)))</f>
        <v>1.119744</v>
      </c>
      <c r="R838" s="16" t="n">
        <f aca="false">IF(D838="","",Q838/$B$15)</f>
        <v>0.432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149.622206885738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92.3593869665048</v>
      </c>
      <c r="Z838" s="18" t="n">
        <f aca="false">IF(D838="","",MAX(0,IF(P838&gt;=0,P838,IF(K838+P838&gt;=0,0,P838+K838))))</f>
        <v>149.622206885738</v>
      </c>
      <c r="AA838" s="18" t="n">
        <f aca="false">IF(D838="","",IF(H838&lt;=$B$16,1,IF(H838&gt;=$B$17,$B$21,MATCH(H838,Aux_CAV!$A$2:$A$121,1))))</f>
        <v>22</v>
      </c>
      <c r="AB838" s="18" t="n">
        <f aca="false">IF(D838="","",IF(L838&lt;=$B$16,1,IF(L838&gt;=$B$17,$B$21,MATCH(L838,Aux_CAV!$A$2:$A$121,1))))</f>
        <v>22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0.667648618019724</v>
      </c>
      <c r="E839" s="16" t="n">
        <f aca="false">IF(D839="","",D839*$B$15)</f>
        <v>1.73054521790712</v>
      </c>
      <c r="F839" s="16" t="n">
        <f aca="false" t="array" ref="F839:F839">IF(D839="","",IFERROR(INDEX(Dados_Evap!$C$2:$N$15,MATCH($B$9,Dados_Evap!$A$2:$A$15,0),C839),0))</f>
        <v>241.8</v>
      </c>
      <c r="G839" s="16" t="n">
        <f aca="false">IF(F839="","",F839/1000)</f>
        <v>0.2418</v>
      </c>
      <c r="H839" s="16" t="n">
        <f aca="false">IF(D839="","",MAX(0,MIN($B$8,IFERROR(LOOKUP(2,1/($U$24:U838&lt;&gt;""),$U$24:U838),$B$11))))</f>
        <v>149.622206885738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14.8818129199301</v>
      </c>
      <c r="J839" s="16" t="n">
        <f aca="false">IF(D839="","",$B$12)</f>
        <v>0.432</v>
      </c>
      <c r="K839" s="16" t="n">
        <f aca="false">IF(J839="","",J839*$B$15)</f>
        <v>1.119744</v>
      </c>
      <c r="L839" s="16" t="n">
        <f aca="false">IF(D839="","",H839+E839-K839-G839*I839)</f>
        <v>146.634585739606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14.6642938878875</v>
      </c>
      <c r="N839" s="16" t="n">
        <f aca="false">IF(D839="","",(I839+M839)/2)</f>
        <v>14.7730534039088</v>
      </c>
      <c r="O839" s="16" t="n">
        <f aca="false">IF(D839="","",G839*N839)</f>
        <v>3.57212431306515</v>
      </c>
      <c r="P839" s="16" t="n">
        <f aca="false">IF(D839="","",H839+E839-K839-O839)</f>
        <v>146.66088379058</v>
      </c>
      <c r="Q839" s="16" t="n">
        <f aca="false">IF(D839="","",IF(P839&gt;=0,K839,MAX(0,K839+P839)))</f>
        <v>1.119744</v>
      </c>
      <c r="R839" s="16" t="n">
        <f aca="false">IF(D839="","",Q839/$B$15)</f>
        <v>0.432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146.66088379058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90.5314097472714</v>
      </c>
      <c r="Z839" s="18" t="n">
        <f aca="false">IF(D839="","",MAX(0,IF(P839&gt;=0,P839,IF(K839+P839&gt;=0,0,P839+K839))))</f>
        <v>146.66088379058</v>
      </c>
      <c r="AA839" s="18" t="n">
        <f aca="false">IF(D839="","",IF(H839&lt;=$B$16,1,IF(H839&gt;=$B$17,$B$21,MATCH(H839,Aux_CAV!$A$2:$A$121,1))))</f>
        <v>22</v>
      </c>
      <c r="AB839" s="18" t="n">
        <f aca="false">IF(D839="","",IF(L839&lt;=$B$16,1,IF(L839&gt;=$B$17,$B$21,MATCH(L839,Aux_CAV!$A$2:$A$121,1))))</f>
        <v>22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0.524826512220722</v>
      </c>
      <c r="E840" s="16" t="n">
        <f aca="false">IF(D840="","",D840*$B$15)</f>
        <v>1.36035031967611</v>
      </c>
      <c r="F840" s="16" t="n">
        <f aca="false" t="array" ref="F840:F840">IF(D840="","",IFERROR(INDEX(Dados_Evap!$C$2:$N$15,MATCH($B$9,Dados_Evap!$A$2:$A$15,0),C840),0))</f>
        <v>189</v>
      </c>
      <c r="G840" s="16" t="n">
        <f aca="false">IF(F840="","",F840/1000)</f>
        <v>0.189</v>
      </c>
      <c r="H840" s="16" t="n">
        <f aca="false">IF(D840="","",MAX(0,MIN($B$8,IFERROR(LOOKUP(2,1/($U$24:U839&lt;&gt;""),$U$24:U839),$B$11))))</f>
        <v>146.66088379058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14.6662085639166</v>
      </c>
      <c r="J840" s="16" t="n">
        <f aca="false">IF(D840="","",$B$12)</f>
        <v>0.432</v>
      </c>
      <c r="K840" s="16" t="n">
        <f aca="false">IF(J840="","",J840*$B$15)</f>
        <v>1.119744</v>
      </c>
      <c r="L840" s="16" t="n">
        <f aca="false">IF(D840="","",H840+E840-K840-G840*I840)</f>
        <v>144.129576691676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14.4819122816825</v>
      </c>
      <c r="N840" s="16" t="n">
        <f aca="false">IF(D840="","",(I840+M840)/2)</f>
        <v>14.5740604227995</v>
      </c>
      <c r="O840" s="16" t="n">
        <f aca="false">IF(D840="","",G840*N840)</f>
        <v>2.75449741990911</v>
      </c>
      <c r="P840" s="16" t="n">
        <f aca="false">IF(D840="","",H840+E840-K840-O840)</f>
        <v>144.146992690347</v>
      </c>
      <c r="Q840" s="16" t="n">
        <f aca="false">IF(D840="","",IF(P840&gt;=0,K840,MAX(0,K840+P840)))</f>
        <v>1.119744</v>
      </c>
      <c r="R840" s="16" t="n">
        <f aca="false">IF(D840="","",Q840/$B$15)</f>
        <v>0.432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144.146992690347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88.979625117498</v>
      </c>
      <c r="Z840" s="18" t="n">
        <f aca="false">IF(D840="","",MAX(0,IF(P840&gt;=0,P840,IF(K840+P840&gt;=0,0,P840+K840))))</f>
        <v>144.146992690347</v>
      </c>
      <c r="AA840" s="18" t="n">
        <f aca="false">IF(D840="","",IF(H840&lt;=$B$16,1,IF(H840&gt;=$B$17,$B$21,MATCH(H840,Aux_CAV!$A$2:$A$121,1))))</f>
        <v>22</v>
      </c>
      <c r="AB840" s="18" t="n">
        <f aca="false">IF(D840="","",IF(L840&lt;=$B$16,1,IF(L840&gt;=$B$17,$B$21,MATCH(L840,Aux_CAV!$A$2:$A$121,1))))</f>
        <v>22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1.83632043907645</v>
      </c>
      <c r="E841" s="16" t="n">
        <f aca="false">IF(D841="","",D841*$B$15)</f>
        <v>4.75974257808616</v>
      </c>
      <c r="F841" s="16" t="n">
        <f aca="false" t="array" ref="F841:F841">IF(D841="","",IFERROR(INDEX(Dados_Evap!$C$2:$N$15,MATCH($B$9,Dados_Evap!$A$2:$A$15,0),C841),0))</f>
        <v>136.9</v>
      </c>
      <c r="G841" s="16" t="n">
        <f aca="false">IF(F841="","",F841/1000)</f>
        <v>0.1369</v>
      </c>
      <c r="H841" s="16" t="n">
        <f aca="false">IF(D841="","",MAX(0,MIN($B$8,IFERROR(LOOKUP(2,1/($U$24:U840&lt;&gt;""),$U$24:U840),$B$11))))</f>
        <v>144.146992690347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14.4831802842128</v>
      </c>
      <c r="J841" s="16" t="n">
        <f aca="false">IF(D841="","",$B$12)</f>
        <v>0.432</v>
      </c>
      <c r="K841" s="16" t="n">
        <f aca="false">IF(J841="","",J841*$B$15)</f>
        <v>1.119744</v>
      </c>
      <c r="L841" s="16" t="n">
        <f aca="false">IF(D841="","",H841+E841-K841-G841*I841)</f>
        <v>145.804243887524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14.6038393834189</v>
      </c>
      <c r="N841" s="16" t="n">
        <f aca="false">IF(D841="","",(I841+M841)/2)</f>
        <v>14.5435098338159</v>
      </c>
      <c r="O841" s="16" t="n">
        <f aca="false">IF(D841="","",G841*N841)</f>
        <v>1.99100649624939</v>
      </c>
      <c r="P841" s="16" t="n">
        <f aca="false">IF(D841="","",H841+E841-K841-O841)</f>
        <v>145.795984772184</v>
      </c>
      <c r="Q841" s="16" t="n">
        <f aca="false">IF(D841="","",IF(P841&gt;=0,K841,MAX(0,K841+P841)))</f>
        <v>1.119744</v>
      </c>
      <c r="R841" s="16" t="n">
        <f aca="false">IF(D841="","",Q841/$B$15)</f>
        <v>0.432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145.795984772184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89.9975214643108</v>
      </c>
      <c r="Z841" s="18" t="n">
        <f aca="false">IF(D841="","",MAX(0,IF(P841&gt;=0,P841,IF(K841+P841&gt;=0,0,P841+K841))))</f>
        <v>145.795984772184</v>
      </c>
      <c r="AA841" s="18" t="n">
        <f aca="false">IF(D841="","",IF(H841&lt;=$B$16,1,IF(H841&gt;=$B$17,$B$21,MATCH(H841,Aux_CAV!$A$2:$A$121,1))))</f>
        <v>22</v>
      </c>
      <c r="AB841" s="18" t="n">
        <f aca="false">IF(D841="","",IF(L841&lt;=$B$16,1,IF(L841&gt;=$B$17,$B$21,MATCH(L841,Aux_CAV!$A$2:$A$121,1))))</f>
        <v>22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2.89695039548943</v>
      </c>
      <c r="E842" s="16" t="n">
        <f aca="false">IF(D842="","",D842*$B$15)</f>
        <v>7.5088954251086</v>
      </c>
      <c r="F842" s="16" t="n">
        <f aca="false" t="array" ref="F842:F842">IF(D842="","",IFERROR(INDEX(Dados_Evap!$C$2:$N$15,MATCH($B$9,Dados_Evap!$A$2:$A$15,0),C842),0))</f>
        <v>102.9</v>
      </c>
      <c r="G842" s="16" t="n">
        <f aca="false">IF(F842="","",F842/1000)</f>
        <v>0.1029</v>
      </c>
      <c r="H842" s="16" t="n">
        <f aca="false">IF(D842="","",MAX(0,MIN($B$8,IFERROR(LOOKUP(2,1/($U$24:U841&lt;&gt;""),$U$24:U841),$B$11))))</f>
        <v>145.795984772184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14.6032380639455</v>
      </c>
      <c r="J842" s="16" t="n">
        <f aca="false">IF(D842="","",$B$12)</f>
        <v>0.432</v>
      </c>
      <c r="K842" s="16" t="n">
        <f aca="false">IF(J842="","",J842*$B$15)</f>
        <v>1.119744</v>
      </c>
      <c r="L842" s="16" t="n">
        <f aca="false">IF(D842="","",H842+E842-K842-G842*I842)</f>
        <v>150.682463000512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14.9590067381964</v>
      </c>
      <c r="N842" s="16" t="n">
        <f aca="false">IF(D842="","",(I842+M842)/2)</f>
        <v>14.7811224010709</v>
      </c>
      <c r="O842" s="16" t="n">
        <f aca="false">IF(D842="","",G842*N842)</f>
        <v>1.5209774950702</v>
      </c>
      <c r="P842" s="16" t="n">
        <f aca="false">IF(D842="","",H842+E842-K842-O842)</f>
        <v>150.664158702222</v>
      </c>
      <c r="Q842" s="16" t="n">
        <f aca="false">IF(D842="","",IF(P842&gt;=0,K842,MAX(0,K842+P842)))</f>
        <v>1.119744</v>
      </c>
      <c r="R842" s="16" t="n">
        <f aca="false">IF(D842="","",Q842/$B$15)</f>
        <v>0.432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150.664158702222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93.002567100137</v>
      </c>
      <c r="Z842" s="18" t="n">
        <f aca="false">IF(D842="","",MAX(0,IF(P842&gt;=0,P842,IF(K842+P842&gt;=0,0,P842+K842))))</f>
        <v>150.664158702222</v>
      </c>
      <c r="AA842" s="18" t="n">
        <f aca="false">IF(D842="","",IF(H842&lt;=$B$16,1,IF(H842&gt;=$B$17,$B$21,MATCH(H842,Aux_CAV!$A$2:$A$121,1))))</f>
        <v>22</v>
      </c>
      <c r="AB842" s="18" t="n">
        <f aca="false">IF(D842="","",IF(L842&lt;=$B$16,1,IF(L842&gt;=$B$17,$B$21,MATCH(L842,Aux_CAV!$A$2:$A$121,1))))</f>
        <v>22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4.5129814757926</v>
      </c>
      <c r="E843" s="16" t="n">
        <f aca="false">IF(D843="","",D843*$B$15)</f>
        <v>11.6976479852544</v>
      </c>
      <c r="F843" s="16" t="n">
        <f aca="false" t="array" ref="F843:F843">IF(D843="","",IFERROR(INDEX(Dados_Evap!$C$2:$N$15,MATCH($B$9,Dados_Evap!$A$2:$A$15,0),C843),0))</f>
        <v>81.8</v>
      </c>
      <c r="G843" s="16" t="n">
        <f aca="false">IF(F843="","",F843/1000)</f>
        <v>0.0818</v>
      </c>
      <c r="H843" s="16" t="n">
        <f aca="false">IF(D843="","",MAX(0,MIN($B$8,IFERROR(LOOKUP(2,1/($U$24:U842&lt;&gt;""),$U$24:U842),$B$11))))</f>
        <v>150.664158702222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14.957674061444</v>
      </c>
      <c r="J843" s="16" t="n">
        <f aca="false">IF(D843="","",$B$12)</f>
        <v>0.432</v>
      </c>
      <c r="K843" s="16" t="n">
        <f aca="false">IF(J843="","",J843*$B$15)</f>
        <v>1.119744</v>
      </c>
      <c r="L843" s="16" t="n">
        <f aca="false">IF(D843="","",H843+E843-K843-G843*I843)</f>
        <v>160.01852494925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15.6387352107332</v>
      </c>
      <c r="N843" s="16" t="n">
        <f aca="false">IF(D843="","",(I843+M843)/2)</f>
        <v>15.2982046360886</v>
      </c>
      <c r="O843" s="16" t="n">
        <f aca="false">IF(D843="","",G843*N843)</f>
        <v>1.25139313923205</v>
      </c>
      <c r="P843" s="16" t="n">
        <f aca="false">IF(D843="","",H843+E843-K843-O843)</f>
        <v>159.990669548244</v>
      </c>
      <c r="Q843" s="16" t="n">
        <f aca="false">IF(D843="","",IF(P843&gt;=0,K843,MAX(0,K843+P843)))</f>
        <v>1.119744</v>
      </c>
      <c r="R843" s="16" t="n">
        <f aca="false">IF(D843="","",Q843/$B$15)</f>
        <v>0.432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159.990669548244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98.7596725606447</v>
      </c>
      <c r="Z843" s="18" t="n">
        <f aca="false">IF(D843="","",MAX(0,IF(P843&gt;=0,P843,IF(K843+P843&gt;=0,0,P843+K843))))</f>
        <v>159.990669548244</v>
      </c>
      <c r="AA843" s="18" t="n">
        <f aca="false">IF(D843="","",IF(H843&lt;=$B$16,1,IF(H843&gt;=$B$17,$B$21,MATCH(H843,Aux_CAV!$A$2:$A$121,1))))</f>
        <v>22</v>
      </c>
      <c r="AB843" s="18" t="n">
        <f aca="false">IF(D843="","",IF(L843&lt;=$B$16,1,IF(L843&gt;=$B$17,$B$21,MATCH(L843,Aux_CAV!$A$2:$A$121,1))))</f>
        <v>22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7.3047876169881</v>
      </c>
      <c r="E844" s="16" t="n">
        <f aca="false">IF(D844="","",D844*$B$15)</f>
        <v>18.9340095032332</v>
      </c>
      <c r="F844" s="16" t="n">
        <f aca="false" t="array" ref="F844:F844">IF(D844="","",IFERROR(INDEX(Dados_Evap!$C$2:$N$15,MATCH($B$9,Dados_Evap!$A$2:$A$15,0),C844),0))</f>
        <v>83.6</v>
      </c>
      <c r="G844" s="16" t="n">
        <f aca="false">IF(F844="","",F844/1000)</f>
        <v>0.0836</v>
      </c>
      <c r="H844" s="16" t="n">
        <f aca="false">IF(D844="","",MAX(0,MIN($B$8,IFERROR(LOOKUP(2,1/($U$24:U843&lt;&gt;""),$U$24:U843),$B$11))))</f>
        <v>159.990669548244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15.6367071490857</v>
      </c>
      <c r="J844" s="16" t="n">
        <f aca="false">IF(D844="","",$B$12)</f>
        <v>0.432</v>
      </c>
      <c r="K844" s="16" t="n">
        <f aca="false">IF(J844="","",J844*$B$15)</f>
        <v>1.119744</v>
      </c>
      <c r="L844" s="16" t="n">
        <f aca="false">IF(D844="","",H844+E844-K844-G844*I844)</f>
        <v>176.497706333814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16.6501009121557</v>
      </c>
      <c r="N844" s="16" t="n">
        <f aca="false">IF(D844="","",(I844+M844)/2)</f>
        <v>16.1434040306207</v>
      </c>
      <c r="O844" s="16" t="n">
        <f aca="false">IF(D844="","",G844*N844)</f>
        <v>1.34958857695989</v>
      </c>
      <c r="P844" s="16" t="n">
        <f aca="false">IF(D844="","",H844+E844-K844-O844)</f>
        <v>176.455346474518</v>
      </c>
      <c r="Q844" s="16" t="n">
        <f aca="false">IF(D844="","",IF(P844&gt;=0,K844,MAX(0,K844+P844)))</f>
        <v>1.119744</v>
      </c>
      <c r="R844" s="16" t="n">
        <f aca="false">IF(D844="","",Q844/$B$15)</f>
        <v>0.432</v>
      </c>
      <c r="S844" s="16" t="n">
        <f aca="false">IF(D844="","",MAX(0,J844-R844))</f>
        <v>0</v>
      </c>
      <c r="T844" s="16" t="n">
        <f aca="false">IF(D844="","",MAX(0,Z844-$B$8))</f>
        <v>14.4553464745176</v>
      </c>
      <c r="U844" s="16" t="n">
        <f aca="false">IF(D844="","",MAX(0,MIN($B$8,Z844)))</f>
        <v>162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176.455346474518</v>
      </c>
      <c r="AA844" s="18" t="n">
        <f aca="false">IF(D844="","",IF(H844&lt;=$B$16,1,IF(H844&gt;=$B$17,$B$21,MATCH(H844,Aux_CAV!$A$2:$A$121,1))))</f>
        <v>22</v>
      </c>
      <c r="AB844" s="18" t="n">
        <f aca="false">IF(D844="","",IF(L844&lt;=$B$16,1,IF(L844&gt;=$B$17,$B$21,MATCH(L844,Aux_CAV!$A$2:$A$121,1))))</f>
        <v>23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3.21185380711885</v>
      </c>
      <c r="E845" s="16" t="n">
        <f aca="false">IF(D845="","",D845*$B$15)</f>
        <v>8.32512506805206</v>
      </c>
      <c r="F845" s="16" t="n">
        <f aca="false" t="array" ref="F845:F845">IF(D845="","",IFERROR(INDEX(Dados_Evap!$C$2:$N$15,MATCH($B$9,Dados_Evap!$A$2:$A$15,0),C845),0))</f>
        <v>108.2</v>
      </c>
      <c r="G845" s="16" t="n">
        <f aca="false">IF(F845="","",F845/1000)</f>
        <v>0.1082</v>
      </c>
      <c r="H845" s="16" t="n">
        <f aca="false">IF(D845="","",MAX(0,MIN($B$8,IFERROR(LOOKUP(2,1/($U$24:U844&lt;&gt;""),$U$24:U844),$B$11))))</f>
        <v>162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15.783</v>
      </c>
      <c r="J845" s="16" t="n">
        <f aca="false">IF(D845="","",$B$12)</f>
        <v>0.432</v>
      </c>
      <c r="K845" s="16" t="n">
        <f aca="false">IF(J845="","",J845*$B$15)</f>
        <v>1.119744</v>
      </c>
      <c r="L845" s="16" t="n">
        <f aca="false">IF(D845="","",H845+E845-K845-G845*I845)</f>
        <v>167.497660468052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16.1118124546606</v>
      </c>
      <c r="N845" s="16" t="n">
        <f aca="false">IF(D845="","",(I845+M845)/2)</f>
        <v>15.9474062273303</v>
      </c>
      <c r="O845" s="16" t="n">
        <f aca="false">IF(D845="","",G845*N845)</f>
        <v>1.72550935379714</v>
      </c>
      <c r="P845" s="16" t="n">
        <f aca="false">IF(D845="","",H845+E845-K845-O845)</f>
        <v>167.479871714255</v>
      </c>
      <c r="Q845" s="16" t="n">
        <f aca="false">IF(D845="","",IF(P845&gt;=0,K845,MAX(0,K845+P845)))</f>
        <v>1.119744</v>
      </c>
      <c r="R845" s="16" t="n">
        <f aca="false">IF(D845="","",Q845/$B$15)</f>
        <v>0.432</v>
      </c>
      <c r="S845" s="16" t="n">
        <f aca="false">IF(D845="","",MAX(0,J845-R845))</f>
        <v>0</v>
      </c>
      <c r="T845" s="16" t="n">
        <f aca="false">IF(D845="","",MAX(0,Z845-$B$8))</f>
        <v>5.4798717142549</v>
      </c>
      <c r="U845" s="16" t="n">
        <f aca="false">IF(D845="","",MAX(0,MIN($B$8,Z845)))</f>
        <v>162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100</v>
      </c>
      <c r="Z845" s="18" t="n">
        <f aca="false">IF(D845="","",MAX(0,IF(P845&gt;=0,P845,IF(K845+P845&gt;=0,0,P845+K845))))</f>
        <v>167.479871714255</v>
      </c>
      <c r="AA845" s="18" t="n">
        <f aca="false">IF(D845="","",IF(H845&lt;=$B$16,1,IF(H845&gt;=$B$17,$B$21,MATCH(H845,Aux_CAV!$A$2:$A$121,1))))</f>
        <v>23</v>
      </c>
      <c r="AB845" s="18" t="n">
        <f aca="false">IF(D845="","",IF(L845&lt;=$B$16,1,IF(L845&gt;=$B$17,$B$21,MATCH(L845,Aux_CAV!$A$2:$A$121,1))))</f>
        <v>23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3.07094835840505</v>
      </c>
      <c r="E846" s="16" t="n">
        <f aca="false">IF(D846="","",D846*$B$15)</f>
        <v>7.95989814498589</v>
      </c>
      <c r="F846" s="16" t="n">
        <f aca="false" t="array" ref="F846:F846">IF(D846="","",IFERROR(INDEX(Dados_Evap!$C$2:$N$15,MATCH($B$9,Dados_Evap!$A$2:$A$15,0),C846),0))</f>
        <v>149</v>
      </c>
      <c r="G846" s="16" t="n">
        <f aca="false">IF(F846="","",F846/1000)</f>
        <v>0.149</v>
      </c>
      <c r="H846" s="16" t="n">
        <f aca="false">IF(D846="","",MAX(0,MIN($B$8,IFERROR(LOOKUP(2,1/($U$24:U845&lt;&gt;""),$U$24:U845),$B$11))))</f>
        <v>162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15.783</v>
      </c>
      <c r="J846" s="16" t="n">
        <f aca="false">IF(D846="","",$B$12)</f>
        <v>0.432</v>
      </c>
      <c r="K846" s="16" t="n">
        <f aca="false">IF(J846="","",J846*$B$15)</f>
        <v>1.119744</v>
      </c>
      <c r="L846" s="16" t="n">
        <f aca="false">IF(D846="","",H846+E846-K846-G846*I846)</f>
        <v>166.488487144986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16.0514542787668</v>
      </c>
      <c r="N846" s="16" t="n">
        <f aca="false">IF(D846="","",(I846+M846)/2)</f>
        <v>15.9172271393834</v>
      </c>
      <c r="O846" s="16" t="n">
        <f aca="false">IF(D846="","",G846*N846)</f>
        <v>2.37166684376813</v>
      </c>
      <c r="P846" s="16" t="n">
        <f aca="false">IF(D846="","",H846+E846-K846-O846)</f>
        <v>166.468487301218</v>
      </c>
      <c r="Q846" s="16" t="n">
        <f aca="false">IF(D846="","",IF(P846&gt;=0,K846,MAX(0,K846+P846)))</f>
        <v>1.119744</v>
      </c>
      <c r="R846" s="16" t="n">
        <f aca="false">IF(D846="","",Q846/$B$15)</f>
        <v>0.432</v>
      </c>
      <c r="S846" s="16" t="n">
        <f aca="false">IF(D846="","",MAX(0,J846-R846))</f>
        <v>0</v>
      </c>
      <c r="T846" s="16" t="n">
        <f aca="false">IF(D846="","",MAX(0,Z846-$B$8))</f>
        <v>4.46848730121775</v>
      </c>
      <c r="U846" s="16" t="n">
        <f aca="false">IF(D846="","",MAX(0,MIN($B$8,Z846)))</f>
        <v>162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100</v>
      </c>
      <c r="Z846" s="18" t="n">
        <f aca="false">IF(D846="","",MAX(0,IF(P846&gt;=0,P846,IF(K846+P846&gt;=0,0,P846+K846))))</f>
        <v>166.468487301218</v>
      </c>
      <c r="AA846" s="18" t="n">
        <f aca="false">IF(D846="","",IF(H846&lt;=$B$16,1,IF(H846&gt;=$B$17,$B$21,MATCH(H846,Aux_CAV!$A$2:$A$121,1))))</f>
        <v>23</v>
      </c>
      <c r="AB846" s="18" t="n">
        <f aca="false">IF(D846="","",IF(L846&lt;=$B$16,1,IF(L846&gt;=$B$17,$B$21,MATCH(L846,Aux_CAV!$A$2:$A$121,1))))</f>
        <v>23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0.664274326308403</v>
      </c>
      <c r="E847" s="16" t="n">
        <f aca="false">IF(D847="","",D847*$B$15)</f>
        <v>1.72179905379138</v>
      </c>
      <c r="F847" s="16" t="n">
        <f aca="false" t="array" ref="F847:F847">IF(D847="","",IFERROR(INDEX(Dados_Evap!$C$2:$N$15,MATCH($B$9,Dados_Evap!$A$2:$A$15,0),C847),0))</f>
        <v>206.8</v>
      </c>
      <c r="G847" s="16" t="n">
        <f aca="false">IF(F847="","",F847/1000)</f>
        <v>0.2068</v>
      </c>
      <c r="H847" s="16" t="n">
        <f aca="false">IF(D847="","",MAX(0,MIN($B$8,IFERROR(LOOKUP(2,1/($U$24:U846&lt;&gt;""),$U$24:U846),$B$11))))</f>
        <v>162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15.783</v>
      </c>
      <c r="J847" s="16" t="n">
        <f aca="false">IF(D847="","",$B$12)</f>
        <v>0.432</v>
      </c>
      <c r="K847" s="16" t="n">
        <f aca="false">IF(J847="","",J847*$B$15)</f>
        <v>1.119744</v>
      </c>
      <c r="L847" s="16" t="n">
        <f aca="false">IF(D847="","",H847+E847-K847-G847*I847)</f>
        <v>159.338130653791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15.5891979028496</v>
      </c>
      <c r="N847" s="16" t="n">
        <f aca="false">IF(D847="","",(I847+M847)/2)</f>
        <v>15.6860989514248</v>
      </c>
      <c r="O847" s="16" t="n">
        <f aca="false">IF(D847="","",G847*N847)</f>
        <v>3.24388526315465</v>
      </c>
      <c r="P847" s="16" t="n">
        <f aca="false">IF(D847="","",H847+E847-K847-O847)</f>
        <v>159.358169790637</v>
      </c>
      <c r="Q847" s="16" t="n">
        <f aca="false">IF(D847="","",IF(P847&gt;=0,K847,MAX(0,K847+P847)))</f>
        <v>1.119744</v>
      </c>
      <c r="R847" s="16" t="n">
        <f aca="false">IF(D847="","",Q847/$B$15)</f>
        <v>0.432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159.358169790637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98.3692406115042</v>
      </c>
      <c r="Z847" s="18" t="n">
        <f aca="false">IF(D847="","",MAX(0,IF(P847&gt;=0,P847,IF(K847+P847&gt;=0,0,P847+K847))))</f>
        <v>159.358169790637</v>
      </c>
      <c r="AA847" s="18" t="n">
        <f aca="false">IF(D847="","",IF(H847&lt;=$B$16,1,IF(H847&gt;=$B$17,$B$21,MATCH(H847,Aux_CAV!$A$2:$A$121,1))))</f>
        <v>23</v>
      </c>
      <c r="AB847" s="18" t="n">
        <f aca="false">IF(D847="","",IF(L847&lt;=$B$16,1,IF(L847&gt;=$B$17,$B$21,MATCH(L847,Aux_CAV!$A$2:$A$121,1))))</f>
        <v>22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0.648185581875288</v>
      </c>
      <c r="E848" s="16" t="n">
        <f aca="false">IF(D848="","",D848*$B$15)</f>
        <v>1.68009702822075</v>
      </c>
      <c r="F848" s="16" t="n">
        <f aca="false" t="array" ref="F848:F848">IF(D848="","",IFERROR(INDEX(Dados_Evap!$C$2:$N$15,MATCH($B$9,Dados_Evap!$A$2:$A$15,0),C848),0))</f>
        <v>245.9</v>
      </c>
      <c r="G848" s="16" t="n">
        <f aca="false">IF(F848="","",F848/1000)</f>
        <v>0.2459</v>
      </c>
      <c r="H848" s="16" t="n">
        <f aca="false">IF(D848="","",MAX(0,MIN($B$8,IFERROR(LOOKUP(2,1/($U$24:U847&lt;&gt;""),$U$24:U847),$B$11))))</f>
        <v>159.358169790637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15.5906568875858</v>
      </c>
      <c r="J848" s="16" t="n">
        <f aca="false">IF(D848="","",$B$12)</f>
        <v>0.432</v>
      </c>
      <c r="K848" s="16" t="n">
        <f aca="false">IF(J848="","",J848*$B$15)</f>
        <v>1.119744</v>
      </c>
      <c r="L848" s="16" t="n">
        <f aca="false">IF(D848="","",H848+E848-K848-G848*I848)</f>
        <v>156.0847802902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15.352331985998</v>
      </c>
      <c r="N848" s="16" t="n">
        <f aca="false">IF(D848="","",(I848+M848)/2)</f>
        <v>15.4714944367919</v>
      </c>
      <c r="O848" s="16" t="n">
        <f aca="false">IF(D848="","",G848*N848)</f>
        <v>3.80444048200713</v>
      </c>
      <c r="P848" s="16" t="n">
        <f aca="false">IF(D848="","",H848+E848-K848-O848)</f>
        <v>156.11408233685</v>
      </c>
      <c r="Q848" s="16" t="n">
        <f aca="false">IF(D848="","",IF(P848&gt;=0,K848,MAX(0,K848+P848)))</f>
        <v>1.119744</v>
      </c>
      <c r="R848" s="16" t="n">
        <f aca="false">IF(D848="","",Q848/$B$15)</f>
        <v>0.432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156.11408233685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96.366717491883</v>
      </c>
      <c r="Z848" s="18" t="n">
        <f aca="false">IF(D848="","",MAX(0,IF(P848&gt;=0,P848,IF(K848+P848&gt;=0,0,P848+K848))))</f>
        <v>156.11408233685</v>
      </c>
      <c r="AA848" s="18" t="n">
        <f aca="false">IF(D848="","",IF(H848&lt;=$B$16,1,IF(H848&gt;=$B$17,$B$21,MATCH(H848,Aux_CAV!$A$2:$A$121,1))))</f>
        <v>22</v>
      </c>
      <c r="AB848" s="18" t="n">
        <f aca="false">IF(D848="","",IF(L848&lt;=$B$16,1,IF(L848&gt;=$B$17,$B$21,MATCH(L848,Aux_CAV!$A$2:$A$121,1))))</f>
        <v>22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0.654457605883077</v>
      </c>
      <c r="E849" s="16" t="n">
        <f aca="false">IF(D849="","",D849*$B$15)</f>
        <v>1.69635411444894</v>
      </c>
      <c r="F849" s="16" t="n">
        <f aca="false" t="array" ref="F849:F849">IF(D849="","",IFERROR(INDEX(Dados_Evap!$C$2:$N$15,MATCH($B$9,Dados_Evap!$A$2:$A$15,0),C849),0))</f>
        <v>282.3</v>
      </c>
      <c r="G849" s="16" t="n">
        <f aca="false">IF(F849="","",F849/1000)</f>
        <v>0.2823</v>
      </c>
      <c r="H849" s="16" t="n">
        <f aca="false">IF(D849="","",MAX(0,MIN($B$8,IFERROR(LOOKUP(2,1/($U$24:U848&lt;&gt;""),$U$24:U848),$B$11))))</f>
        <v>156.11408233685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15.3544653732357</v>
      </c>
      <c r="J849" s="16" t="n">
        <f aca="false">IF(D849="","",$B$12)</f>
        <v>0.432</v>
      </c>
      <c r="K849" s="16" t="n">
        <f aca="false">IF(J849="","",J849*$B$15)</f>
        <v>1.119744</v>
      </c>
      <c r="L849" s="16" t="n">
        <f aca="false">IF(D849="","",H849+E849-K849-G849*I849)</f>
        <v>152.356126876435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15.0808607914543</v>
      </c>
      <c r="N849" s="16" t="n">
        <f aca="false">IF(D849="","",(I849+M849)/2)</f>
        <v>15.217663082345</v>
      </c>
      <c r="O849" s="16" t="n">
        <f aca="false">IF(D849="","",G849*N849)</f>
        <v>4.295946288146</v>
      </c>
      <c r="P849" s="16" t="n">
        <f aca="false">IF(D849="","",H849+E849-K849-O849)</f>
        <v>152.394746163153</v>
      </c>
      <c r="Q849" s="16" t="n">
        <f aca="false">IF(D849="","",IF(P849&gt;=0,K849,MAX(0,K849+P849)))</f>
        <v>1.119744</v>
      </c>
      <c r="R849" s="16" t="n">
        <f aca="false">IF(D849="","",Q849/$B$15)</f>
        <v>0.432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152.394746163153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94.0708309649094</v>
      </c>
      <c r="Z849" s="18" t="n">
        <f aca="false">IF(D849="","",MAX(0,IF(P849&gt;=0,P849,IF(K849+P849&gt;=0,0,P849+K849))))</f>
        <v>152.394746163153</v>
      </c>
      <c r="AA849" s="18" t="n">
        <f aca="false">IF(D849="","",IF(H849&lt;=$B$16,1,IF(H849&gt;=$B$17,$B$21,MATCH(H849,Aux_CAV!$A$2:$A$121,1))))</f>
        <v>22</v>
      </c>
      <c r="AB849" s="18" t="n">
        <f aca="false">IF(D849="","",IF(L849&lt;=$B$16,1,IF(L849&gt;=$B$17,$B$21,MATCH(L849,Aux_CAV!$A$2:$A$121,1))))</f>
        <v>22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0.605387173001035</v>
      </c>
      <c r="E850" s="16" t="n">
        <f aca="false">IF(D850="","",D850*$B$15)</f>
        <v>1.56916355241868</v>
      </c>
      <c r="F850" s="16" t="n">
        <f aca="false" t="array" ref="F850:F850">IF(D850="","",IFERROR(INDEX(Dados_Evap!$C$2:$N$15,MATCH($B$9,Dados_Evap!$A$2:$A$15,0),C850),0))</f>
        <v>241.3</v>
      </c>
      <c r="G850" s="16" t="n">
        <f aca="false">IF(F850="","",F850/1000)</f>
        <v>0.2413</v>
      </c>
      <c r="H850" s="16" t="n">
        <f aca="false">IF(D850="","",MAX(0,MIN($B$8,IFERROR(LOOKUP(2,1/($U$24:U849&lt;&gt;""),$U$24:U849),$B$11))))</f>
        <v>152.394746163153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15.0836725368043</v>
      </c>
      <c r="J850" s="16" t="n">
        <f aca="false">IF(D850="","",$B$12)</f>
        <v>0.432</v>
      </c>
      <c r="K850" s="16" t="n">
        <f aca="false">IF(J850="","",J850*$B$15)</f>
        <v>1.119744</v>
      </c>
      <c r="L850" s="16" t="n">
        <f aca="false">IF(D850="","",H850+E850-K850-G850*I850)</f>
        <v>149.204475532441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14.8513992512691</v>
      </c>
      <c r="N850" s="16" t="n">
        <f aca="false">IF(D850="","",(I850+M850)/2)</f>
        <v>14.9675358940367</v>
      </c>
      <c r="O850" s="16" t="n">
        <f aca="false">IF(D850="","",G850*N850)</f>
        <v>3.61166641123106</v>
      </c>
      <c r="P850" s="16" t="n">
        <f aca="false">IF(D850="","",H850+E850-K850-O850)</f>
        <v>149.232499304341</v>
      </c>
      <c r="Q850" s="16" t="n">
        <f aca="false">IF(D850="","",IF(P850&gt;=0,K850,MAX(0,K850+P850)))</f>
        <v>1.119744</v>
      </c>
      <c r="R850" s="16" t="n">
        <f aca="false">IF(D850="","",Q850/$B$15)</f>
        <v>0.432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149.232499304341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92.1188267310746</v>
      </c>
      <c r="Z850" s="18" t="n">
        <f aca="false">IF(D850="","",MAX(0,IF(P850&gt;=0,P850,IF(K850+P850&gt;=0,0,P850+K850))))</f>
        <v>149.232499304341</v>
      </c>
      <c r="AA850" s="18" t="n">
        <f aca="false">IF(D850="","",IF(H850&lt;=$B$16,1,IF(H850&gt;=$B$17,$B$21,MATCH(H850,Aux_CAV!$A$2:$A$121,1))))</f>
        <v>22</v>
      </c>
      <c r="AB850" s="18" t="n">
        <f aca="false">IF(D850="","",IF(L850&lt;=$B$16,1,IF(L850&gt;=$B$17,$B$21,MATCH(L850,Aux_CAV!$A$2:$A$121,1))))</f>
        <v>22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0.41118327534488</v>
      </c>
      <c r="E851" s="16" t="n">
        <f aca="false">IF(D851="","",D851*$B$15)</f>
        <v>1.06578704969393</v>
      </c>
      <c r="F851" s="16" t="n">
        <f aca="false" t="array" ref="F851:F851">IF(D851="","",IFERROR(INDEX(Dados_Evap!$C$2:$N$15,MATCH($B$9,Dados_Evap!$A$2:$A$15,0),C851),0))</f>
        <v>241.8</v>
      </c>
      <c r="G851" s="16" t="n">
        <f aca="false">IF(F851="","",F851/1000)</f>
        <v>0.2418</v>
      </c>
      <c r="H851" s="16" t="n">
        <f aca="false">IF(D851="","",MAX(0,MIN($B$8,IFERROR(LOOKUP(2,1/($U$24:U850&lt;&gt;""),$U$24:U850),$B$11))))</f>
        <v>149.232499304341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14.8534395714569</v>
      </c>
      <c r="J851" s="16" t="n">
        <f aca="false">IF(D851="","",$B$12)</f>
        <v>0.432</v>
      </c>
      <c r="K851" s="16" t="n">
        <f aca="false">IF(J851="","",J851*$B$15)</f>
        <v>1.119744</v>
      </c>
      <c r="L851" s="16" t="n">
        <f aca="false">IF(D851="","",H851+E851-K851-G851*I851)</f>
        <v>145.586980665657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14.5880211509833</v>
      </c>
      <c r="N851" s="16" t="n">
        <f aca="false">IF(D851="","",(I851+M851)/2)</f>
        <v>14.7207303612201</v>
      </c>
      <c r="O851" s="16" t="n">
        <f aca="false">IF(D851="","",G851*N851)</f>
        <v>3.55947260134302</v>
      </c>
      <c r="P851" s="16" t="n">
        <f aca="false">IF(D851="","",H851+E851-K851-O851)</f>
        <v>145.619069752692</v>
      </c>
      <c r="Q851" s="16" t="n">
        <f aca="false">IF(D851="","",IF(P851&gt;=0,K851,MAX(0,K851+P851)))</f>
        <v>1.119744</v>
      </c>
      <c r="R851" s="16" t="n">
        <f aca="false">IF(D851="","",Q851/$B$15)</f>
        <v>0.432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145.619069752692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89.8883146621554</v>
      </c>
      <c r="Z851" s="18" t="n">
        <f aca="false">IF(D851="","",MAX(0,IF(P851&gt;=0,P851,IF(K851+P851&gt;=0,0,P851+K851))))</f>
        <v>145.619069752692</v>
      </c>
      <c r="AA851" s="18" t="n">
        <f aca="false">IF(D851="","",IF(H851&lt;=$B$16,1,IF(H851&gt;=$B$17,$B$21,MATCH(H851,Aux_CAV!$A$2:$A$121,1))))</f>
        <v>22</v>
      </c>
      <c r="AB851" s="18" t="n">
        <f aca="false">IF(D851="","",IF(L851&lt;=$B$16,1,IF(L851&gt;=$B$17,$B$21,MATCH(L851,Aux_CAV!$A$2:$A$121,1))))</f>
        <v>22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0.610053077334627</v>
      </c>
      <c r="E852" s="16" t="n">
        <f aca="false">IF(D852="","",D852*$B$15)</f>
        <v>1.58125757645135</v>
      </c>
      <c r="F852" s="16" t="n">
        <f aca="false" t="array" ref="F852:F852">IF(D852="","",IFERROR(INDEX(Dados_Evap!$C$2:$N$15,MATCH($B$9,Dados_Evap!$A$2:$A$15,0),C852),0))</f>
        <v>189</v>
      </c>
      <c r="G852" s="16" t="n">
        <f aca="false">IF(F852="","",F852/1000)</f>
        <v>0.189</v>
      </c>
      <c r="H852" s="16" t="n">
        <f aca="false">IF(D852="","",MAX(0,MIN($B$8,IFERROR(LOOKUP(2,1/($U$24:U851&lt;&gt;""),$U$24:U851),$B$11))))</f>
        <v>145.619069752692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14.5903574536166</v>
      </c>
      <c r="J852" s="16" t="n">
        <f aca="false">IF(D852="","",$B$12)</f>
        <v>0.432</v>
      </c>
      <c r="K852" s="16" t="n">
        <f aca="false">IF(J852="","",J852*$B$15)</f>
        <v>1.119744</v>
      </c>
      <c r="L852" s="16" t="n">
        <f aca="false">IF(D852="","",H852+E852-K852-G852*I852)</f>
        <v>143.32300577041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14.4231884617983</v>
      </c>
      <c r="N852" s="16" t="n">
        <f aca="false">IF(D852="","",(I852+M852)/2)</f>
        <v>14.5067729577075</v>
      </c>
      <c r="O852" s="16" t="n">
        <f aca="false">IF(D852="","",G852*N852)</f>
        <v>2.74178008900671</v>
      </c>
      <c r="P852" s="16" t="n">
        <f aca="false">IF(D852="","",H852+E852-K852-O852)</f>
        <v>143.338803240136</v>
      </c>
      <c r="Q852" s="16" t="n">
        <f aca="false">IF(D852="","",IF(P852&gt;=0,K852,MAX(0,K852+P852)))</f>
        <v>1.119744</v>
      </c>
      <c r="R852" s="16" t="n">
        <f aca="false">IF(D852="","",Q852/$B$15)</f>
        <v>0.432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143.338803240136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88.480742740825</v>
      </c>
      <c r="Z852" s="18" t="n">
        <f aca="false">IF(D852="","",MAX(0,IF(P852&gt;=0,P852,IF(K852+P852&gt;=0,0,P852+K852))))</f>
        <v>143.338803240136</v>
      </c>
      <c r="AA852" s="18" t="n">
        <f aca="false">IF(D852="","",IF(H852&lt;=$B$16,1,IF(H852&gt;=$B$17,$B$21,MATCH(H852,Aux_CAV!$A$2:$A$121,1))))</f>
        <v>22</v>
      </c>
      <c r="AB852" s="18" t="n">
        <f aca="false">IF(D852="","",IF(L852&lt;=$B$16,1,IF(L852&gt;=$B$17,$B$21,MATCH(L852,Aux_CAV!$A$2:$A$121,1))))</f>
        <v>22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0.860525408942431</v>
      </c>
      <c r="E853" s="16" t="n">
        <f aca="false">IF(D853="","",D853*$B$15)</f>
        <v>2.23048185997878</v>
      </c>
      <c r="F853" s="16" t="n">
        <f aca="false" t="array" ref="F853:F853">IF(D853="","",IFERROR(INDEX(Dados_Evap!$C$2:$N$15,MATCH($B$9,Dados_Evap!$A$2:$A$15,0),C853),0))</f>
        <v>136.9</v>
      </c>
      <c r="G853" s="16" t="n">
        <f aca="false">IF(F853="","",F853/1000)</f>
        <v>0.1369</v>
      </c>
      <c r="H853" s="16" t="n">
        <f aca="false">IF(D853="","",MAX(0,MIN($B$8,IFERROR(LOOKUP(2,1/($U$24:U852&lt;&gt;""),$U$24:U852),$B$11))))</f>
        <v>143.338803240136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14.4243386244714</v>
      </c>
      <c r="J853" s="16" t="n">
        <f aca="false">IF(D853="","",$B$12)</f>
        <v>0.432</v>
      </c>
      <c r="K853" s="16" t="n">
        <f aca="false">IF(J853="","",J853*$B$15)</f>
        <v>1.119744</v>
      </c>
      <c r="L853" s="16" t="n">
        <f aca="false">IF(D853="","",H853+E853-K853-G853*I853)</f>
        <v>142.474849142425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14.361436921119</v>
      </c>
      <c r="N853" s="16" t="n">
        <f aca="false">IF(D853="","",(I853+M853)/2)</f>
        <v>14.3928877727952</v>
      </c>
      <c r="O853" s="16" t="n">
        <f aca="false">IF(D853="","",G853*N853)</f>
        <v>1.97038633609567</v>
      </c>
      <c r="P853" s="16" t="n">
        <f aca="false">IF(D853="","",H853+E853-K853-O853)</f>
        <v>142.47915476402</v>
      </c>
      <c r="Q853" s="16" t="n">
        <f aca="false">IF(D853="","",IF(P853&gt;=0,K853,MAX(0,K853+P853)))</f>
        <v>1.119744</v>
      </c>
      <c r="R853" s="16" t="n">
        <f aca="false">IF(D853="","",Q853/$B$15)</f>
        <v>0.432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142.47915476402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87.9500955333454</v>
      </c>
      <c r="Z853" s="18" t="n">
        <f aca="false">IF(D853="","",MAX(0,IF(P853&gt;=0,P853,IF(K853+P853&gt;=0,0,P853+K853))))</f>
        <v>142.47915476402</v>
      </c>
      <c r="AA853" s="18" t="n">
        <f aca="false">IF(D853="","",IF(H853&lt;=$B$16,1,IF(H853&gt;=$B$17,$B$21,MATCH(H853,Aux_CAV!$A$2:$A$121,1))))</f>
        <v>22</v>
      </c>
      <c r="AB853" s="18" t="n">
        <f aca="false">IF(D853="","",IF(L853&lt;=$B$16,1,IF(L853&gt;=$B$17,$B$21,MATCH(L853,Aux_CAV!$A$2:$A$121,1))))</f>
        <v>22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1.06349387915546</v>
      </c>
      <c r="E854" s="16" t="n">
        <f aca="false">IF(D854="","",D854*$B$15)</f>
        <v>2.75657613477095</v>
      </c>
      <c r="F854" s="16" t="n">
        <f aca="false" t="array" ref="F854:F854">IF(D854="","",IFERROR(INDEX(Dados_Evap!$C$2:$N$15,MATCH($B$9,Dados_Evap!$A$2:$A$15,0),C854),0))</f>
        <v>102.9</v>
      </c>
      <c r="G854" s="16" t="n">
        <f aca="false">IF(F854="","",F854/1000)</f>
        <v>0.1029</v>
      </c>
      <c r="H854" s="16" t="n">
        <f aca="false">IF(D854="","",MAX(0,MIN($B$8,IFERROR(LOOKUP(2,1/($U$24:U853&lt;&gt;""),$U$24:U853),$B$11))))</f>
        <v>142.47915476402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14.3617503995006</v>
      </c>
      <c r="J854" s="16" t="n">
        <f aca="false">IF(D854="","",$B$12)</f>
        <v>0.432</v>
      </c>
      <c r="K854" s="16" t="n">
        <f aca="false">IF(J854="","",J854*$B$15)</f>
        <v>1.119744</v>
      </c>
      <c r="L854" s="16" t="n">
        <f aca="false">IF(D854="","",H854+E854-K854-G854*I854)</f>
        <v>142.638162782682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14.3733272590201</v>
      </c>
      <c r="N854" s="16" t="n">
        <f aca="false">IF(D854="","",(I854+M854)/2)</f>
        <v>14.3675388292604</v>
      </c>
      <c r="O854" s="16" t="n">
        <f aca="false">IF(D854="","",G854*N854)</f>
        <v>1.47841974553089</v>
      </c>
      <c r="P854" s="16" t="n">
        <f aca="false">IF(D854="","",H854+E854-K854-O854)</f>
        <v>142.63756715326</v>
      </c>
      <c r="Q854" s="16" t="n">
        <f aca="false">IF(D854="","",IF(P854&gt;=0,K854,MAX(0,K854+P854)))</f>
        <v>1.119744</v>
      </c>
      <c r="R854" s="16" t="n">
        <f aca="false">IF(D854="","",Q854/$B$15)</f>
        <v>0.432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142.63756715326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88.0478809588023</v>
      </c>
      <c r="Z854" s="18" t="n">
        <f aca="false">IF(D854="","",MAX(0,IF(P854&gt;=0,P854,IF(K854+P854&gt;=0,0,P854+K854))))</f>
        <v>142.63756715326</v>
      </c>
      <c r="AA854" s="18" t="n">
        <f aca="false">IF(D854="","",IF(H854&lt;=$B$16,1,IF(H854&gt;=$B$17,$B$21,MATCH(H854,Aux_CAV!$A$2:$A$121,1))))</f>
        <v>22</v>
      </c>
      <c r="AB854" s="18" t="n">
        <f aca="false">IF(D854="","",IF(L854&lt;=$B$16,1,IF(L854&gt;=$B$17,$B$21,MATCH(L854,Aux_CAV!$A$2:$A$121,1))))</f>
        <v>22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1.96069504525408</v>
      </c>
      <c r="E855" s="16" t="n">
        <f aca="false">IF(D855="","",D855*$B$15)</f>
        <v>5.08212155729858</v>
      </c>
      <c r="F855" s="16" t="n">
        <f aca="false" t="array" ref="F855:F855">IF(D855="","",IFERROR(INDEX(Dados_Evap!$C$2:$N$15,MATCH($B$9,Dados_Evap!$A$2:$A$15,0),C855),0))</f>
        <v>81.8</v>
      </c>
      <c r="G855" s="16" t="n">
        <f aca="false">IF(F855="","",F855/1000)</f>
        <v>0.0818</v>
      </c>
      <c r="H855" s="16" t="n">
        <f aca="false">IF(D855="","",MAX(0,MIN($B$8,IFERROR(LOOKUP(2,1/($U$24:U854&lt;&gt;""),$U$24:U854),$B$11))))</f>
        <v>142.63756715326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14.3732838931685</v>
      </c>
      <c r="J855" s="16" t="n">
        <f aca="false">IF(D855="","",$B$12)</f>
        <v>0.432</v>
      </c>
      <c r="K855" s="16" t="n">
        <f aca="false">IF(J855="","",J855*$B$15)</f>
        <v>1.119744</v>
      </c>
      <c r="L855" s="16" t="n">
        <f aca="false">IF(D855="","",H855+E855-K855-G855*I855)</f>
        <v>145.424210088097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14.5761703517206</v>
      </c>
      <c r="N855" s="16" t="n">
        <f aca="false">IF(D855="","",(I855+M855)/2)</f>
        <v>14.4747271224446</v>
      </c>
      <c r="O855" s="16" t="n">
        <f aca="false">IF(D855="","",G855*N855)</f>
        <v>1.18403267861597</v>
      </c>
      <c r="P855" s="16" t="n">
        <f aca="false">IF(D855="","",H855+E855-K855-O855)</f>
        <v>145.415912031942</v>
      </c>
      <c r="Q855" s="16" t="n">
        <f aca="false">IF(D855="","",IF(P855&gt;=0,K855,MAX(0,K855+P855)))</f>
        <v>1.119744</v>
      </c>
      <c r="R855" s="16" t="n">
        <f aca="false">IF(D855="","",Q855/$B$15)</f>
        <v>0.432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145.415912031942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89.7629086616928</v>
      </c>
      <c r="Z855" s="18" t="n">
        <f aca="false">IF(D855="","",MAX(0,IF(P855&gt;=0,P855,IF(K855+P855&gt;=0,0,P855+K855))))</f>
        <v>145.415912031942</v>
      </c>
      <c r="AA855" s="18" t="n">
        <f aca="false">IF(D855="","",IF(H855&lt;=$B$16,1,IF(H855&gt;=$B$17,$B$21,MATCH(H855,Aux_CAV!$A$2:$A$121,1))))</f>
        <v>22</v>
      </c>
      <c r="AB855" s="18" t="n">
        <f aca="false">IF(D855="","",IF(L855&lt;=$B$16,1,IF(L855&gt;=$B$17,$B$21,MATCH(L855,Aux_CAV!$A$2:$A$121,1))))</f>
        <v>22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2.8606798309893</v>
      </c>
      <c r="E856" s="16" t="n">
        <f aca="false">IF(D856="","",D856*$B$15)</f>
        <v>7.41488212192427</v>
      </c>
      <c r="F856" s="16" t="n">
        <f aca="false" t="array" ref="F856:F856">IF(D856="","",IFERROR(INDEX(Dados_Evap!$C$2:$N$15,MATCH($B$9,Dados_Evap!$A$2:$A$15,0),C856),0))</f>
        <v>83.6</v>
      </c>
      <c r="G856" s="16" t="n">
        <f aca="false">IF(F856="","",F856/1000)</f>
        <v>0.0836</v>
      </c>
      <c r="H856" s="16" t="n">
        <f aca="false">IF(D856="","",MAX(0,MIN($B$8,IFERROR(LOOKUP(2,1/($U$24:U855&lt;&gt;""),$U$24:U855),$B$11))))</f>
        <v>145.415912031942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14.5755661970925</v>
      </c>
      <c r="J856" s="16" t="n">
        <f aca="false">IF(D856="","",$B$12)</f>
        <v>0.432</v>
      </c>
      <c r="K856" s="16" t="n">
        <f aca="false">IF(J856="","",J856*$B$15)</f>
        <v>1.119744</v>
      </c>
      <c r="L856" s="16" t="n">
        <f aca="false">IF(D856="","",H856+E856-K856-G856*I856)</f>
        <v>150.49253281979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14.9451785360764</v>
      </c>
      <c r="N856" s="16" t="n">
        <f aca="false">IF(D856="","",(I856+M856)/2)</f>
        <v>14.7603723665845</v>
      </c>
      <c r="O856" s="16" t="n">
        <f aca="false">IF(D856="","",G856*N856)</f>
        <v>1.23396712984646</v>
      </c>
      <c r="P856" s="16" t="n">
        <f aca="false">IF(D856="","",H856+E856-K856-O856)</f>
        <v>150.47708302402</v>
      </c>
      <c r="Q856" s="16" t="n">
        <f aca="false">IF(D856="","",IF(P856&gt;=0,K856,MAX(0,K856+P856)))</f>
        <v>1.119744</v>
      </c>
      <c r="R856" s="16" t="n">
        <f aca="false">IF(D856="","",Q856/$B$15)</f>
        <v>0.432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150.47708302402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92.8870882864322</v>
      </c>
      <c r="Z856" s="18" t="n">
        <f aca="false">IF(D856="","",MAX(0,IF(P856&gt;=0,P856,IF(K856+P856&gt;=0,0,P856+K856))))</f>
        <v>150.47708302402</v>
      </c>
      <c r="AA856" s="18" t="n">
        <f aca="false">IF(D856="","",IF(H856&lt;=$B$16,1,IF(H856&gt;=$B$17,$B$21,MATCH(H856,Aux_CAV!$A$2:$A$121,1))))</f>
        <v>22</v>
      </c>
      <c r="AB856" s="18" t="n">
        <f aca="false">IF(D856="","",IF(L856&lt;=$B$16,1,IF(L856&gt;=$B$17,$B$21,MATCH(L856,Aux_CAV!$A$2:$A$121,1))))</f>
        <v>22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1.3001769370597</v>
      </c>
      <c r="E857" s="16" t="n">
        <f aca="false">IF(D857="","",D857*$B$15)</f>
        <v>3.37005862085874</v>
      </c>
      <c r="F857" s="16" t="n">
        <f aca="false" t="array" ref="F857:F857">IF(D857="","",IFERROR(INDEX(Dados_Evap!$C$2:$N$15,MATCH($B$9,Dados_Evap!$A$2:$A$15,0),C857),0))</f>
        <v>108.2</v>
      </c>
      <c r="G857" s="16" t="n">
        <f aca="false">IF(F857="","",F857/1000)</f>
        <v>0.1082</v>
      </c>
      <c r="H857" s="16" t="n">
        <f aca="false">IF(D857="","",MAX(0,MIN($B$8,IFERROR(LOOKUP(2,1/($U$24:U856&lt;&gt;""),$U$24:U856),$B$11))))</f>
        <v>150.47708302402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14.9440536864196</v>
      </c>
      <c r="J857" s="16" t="n">
        <f aca="false">IF(D857="","",$B$12)</f>
        <v>0.432</v>
      </c>
      <c r="K857" s="16" t="n">
        <f aca="false">IF(J857="","",J857*$B$15)</f>
        <v>1.119744</v>
      </c>
      <c r="L857" s="16" t="n">
        <f aca="false">IF(D857="","",H857+E857-K857-G857*I857)</f>
        <v>151.110451036008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14.9901671627125</v>
      </c>
      <c r="N857" s="16" t="n">
        <f aca="false">IF(D857="","",(I857+M857)/2)</f>
        <v>14.9671104245661</v>
      </c>
      <c r="O857" s="16" t="n">
        <f aca="false">IF(D857="","",G857*N857)</f>
        <v>1.61944134793805</v>
      </c>
      <c r="P857" s="16" t="n">
        <f aca="false">IF(D857="","",H857+E857-K857-O857)</f>
        <v>151.107956296941</v>
      </c>
      <c r="Q857" s="16" t="n">
        <f aca="false">IF(D857="","",IF(P857&gt;=0,K857,MAX(0,K857+P857)))</f>
        <v>1.119744</v>
      </c>
      <c r="R857" s="16" t="n">
        <f aca="false">IF(D857="","",Q857/$B$15)</f>
        <v>0.432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151.107956296941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93.2765162326795</v>
      </c>
      <c r="Z857" s="18" t="n">
        <f aca="false">IF(D857="","",MAX(0,IF(P857&gt;=0,P857,IF(K857+P857&gt;=0,0,P857+K857))))</f>
        <v>151.107956296941</v>
      </c>
      <c r="AA857" s="18" t="n">
        <f aca="false">IF(D857="","",IF(H857&lt;=$B$16,1,IF(H857&gt;=$B$17,$B$21,MATCH(H857,Aux_CAV!$A$2:$A$121,1))))</f>
        <v>22</v>
      </c>
      <c r="AB857" s="18" t="n">
        <f aca="false">IF(D857="","",IF(L857&lt;=$B$16,1,IF(L857&gt;=$B$17,$B$21,MATCH(L857,Aux_CAV!$A$2:$A$121,1))))</f>
        <v>22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0.408107344737391</v>
      </c>
      <c r="E858" s="16" t="n">
        <f aca="false">IF(D858="","",D858*$B$15)</f>
        <v>1.05781423755932</v>
      </c>
      <c r="F858" s="16" t="n">
        <f aca="false" t="array" ref="F858:F858">IF(D858="","",IFERROR(INDEX(Dados_Evap!$C$2:$N$15,MATCH($B$9,Dados_Evap!$A$2:$A$15,0),C858),0))</f>
        <v>149</v>
      </c>
      <c r="G858" s="16" t="n">
        <f aca="false">IF(F858="","",F858/1000)</f>
        <v>0.149</v>
      </c>
      <c r="H858" s="16" t="n">
        <f aca="false">IF(D858="","",MAX(0,MIN($B$8,IFERROR(LOOKUP(2,1/($U$24:U857&lt;&gt;""),$U$24:U857),$B$11))))</f>
        <v>151.107956296941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14.9899855288304</v>
      </c>
      <c r="J858" s="16" t="n">
        <f aca="false">IF(D858="","",$B$12)</f>
        <v>0.432</v>
      </c>
      <c r="K858" s="16" t="n">
        <f aca="false">IF(J858="","",J858*$B$15)</f>
        <v>1.119744</v>
      </c>
      <c r="L858" s="16" t="n">
        <f aca="false">IF(D858="","",H858+E858-K858-G858*I858)</f>
        <v>148.812518690704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14.8228621414259</v>
      </c>
      <c r="N858" s="16" t="n">
        <f aca="false">IF(D858="","",(I858+M858)/2)</f>
        <v>14.9064238351282</v>
      </c>
      <c r="O858" s="16" t="n">
        <f aca="false">IF(D858="","",G858*N858)</f>
        <v>2.22105715143409</v>
      </c>
      <c r="P858" s="16" t="n">
        <f aca="false">IF(D858="","",H858+E858-K858-O858)</f>
        <v>148.824969383066</v>
      </c>
      <c r="Q858" s="16" t="n">
        <f aca="false">IF(D858="","",IF(P858&gt;=0,K858,MAX(0,K858+P858)))</f>
        <v>1.119744</v>
      </c>
      <c r="R858" s="16" t="n">
        <f aca="false">IF(D858="","",Q858/$B$15)</f>
        <v>0.432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148.824969383066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91.8672650512753</v>
      </c>
      <c r="Z858" s="18" t="n">
        <f aca="false">IF(D858="","",MAX(0,IF(P858&gt;=0,P858,IF(K858+P858&gt;=0,0,P858+K858))))</f>
        <v>148.824969383066</v>
      </c>
      <c r="AA858" s="18" t="n">
        <f aca="false">IF(D858="","",IF(H858&lt;=$B$16,1,IF(H858&gt;=$B$17,$B$21,MATCH(H858,Aux_CAV!$A$2:$A$121,1))))</f>
        <v>22</v>
      </c>
      <c r="AB858" s="18" t="n">
        <f aca="false">IF(D858="","",IF(L858&lt;=$B$16,1,IF(L858&gt;=$B$17,$B$21,MATCH(L858,Aux_CAV!$A$2:$A$121,1))))</f>
        <v>22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0.429645158576116</v>
      </c>
      <c r="E859" s="16" t="n">
        <f aca="false">IF(D859="","",D859*$B$15)</f>
        <v>1.11364025102929</v>
      </c>
      <c r="F859" s="16" t="n">
        <f aca="false" t="array" ref="F859:F859">IF(D859="","",IFERROR(INDEX(Dados_Evap!$C$2:$N$15,MATCH($B$9,Dados_Evap!$A$2:$A$15,0),C859),0))</f>
        <v>206.8</v>
      </c>
      <c r="G859" s="16" t="n">
        <f aca="false">IF(F859="","",F859/1000)</f>
        <v>0.2068</v>
      </c>
      <c r="H859" s="16" t="n">
        <f aca="false">IF(D859="","",MAX(0,MIN($B$8,IFERROR(LOOKUP(2,1/($U$24:U858&lt;&gt;""),$U$24:U858),$B$11))))</f>
        <v>148.824969383066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14.8237686360644</v>
      </c>
      <c r="J859" s="16" t="n">
        <f aca="false">IF(D859="","",$B$12)</f>
        <v>0.432</v>
      </c>
      <c r="K859" s="16" t="n">
        <f aca="false">IF(J859="","",J859*$B$15)</f>
        <v>1.119744</v>
      </c>
      <c r="L859" s="16" t="n">
        <f aca="false">IF(D859="","",H859+E859-K859-G859*I859)</f>
        <v>145.753310280157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14.6001310722138</v>
      </c>
      <c r="N859" s="16" t="n">
        <f aca="false">IF(D859="","",(I859+M859)/2)</f>
        <v>14.7119498541391</v>
      </c>
      <c r="O859" s="16" t="n">
        <f aca="false">IF(D859="","",G859*N859)</f>
        <v>3.04243122983597</v>
      </c>
      <c r="P859" s="16" t="n">
        <f aca="false">IF(D859="","",H859+E859-K859-O859)</f>
        <v>145.776434404259</v>
      </c>
      <c r="Q859" s="16" t="n">
        <f aca="false">IF(D859="","",IF(P859&gt;=0,K859,MAX(0,K859+P859)))</f>
        <v>1.119744</v>
      </c>
      <c r="R859" s="16" t="n">
        <f aca="false">IF(D859="","",Q859/$B$15)</f>
        <v>0.432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145.776434404259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89.9854533359626</v>
      </c>
      <c r="Z859" s="18" t="n">
        <f aca="false">IF(D859="","",MAX(0,IF(P859&gt;=0,P859,IF(K859+P859&gt;=0,0,P859+K859))))</f>
        <v>145.776434404259</v>
      </c>
      <c r="AA859" s="18" t="n">
        <f aca="false">IF(D859="","",IF(H859&lt;=$B$16,1,IF(H859&gt;=$B$17,$B$21,MATCH(H859,Aux_CAV!$A$2:$A$121,1))))</f>
        <v>22</v>
      </c>
      <c r="AB859" s="18" t="n">
        <f aca="false">IF(D859="","",IF(L859&lt;=$B$16,1,IF(L859&gt;=$B$17,$B$21,MATCH(L859,Aux_CAV!$A$2:$A$121,1))))</f>
        <v>22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0.409032985499104</v>
      </c>
      <c r="E860" s="16" t="n">
        <f aca="false">IF(D860="","",D860*$B$15)</f>
        <v>1.06021349841368</v>
      </c>
      <c r="F860" s="16" t="n">
        <f aca="false" t="array" ref="F860:F860">IF(D860="","",IFERROR(INDEX(Dados_Evap!$C$2:$N$15,MATCH($B$9,Dados_Evap!$A$2:$A$15,0),C860),0))</f>
        <v>245.9</v>
      </c>
      <c r="G860" s="16" t="n">
        <f aca="false">IF(F860="","",F860/1000)</f>
        <v>0.2459</v>
      </c>
      <c r="H860" s="16" t="n">
        <f aca="false">IF(D860="","",MAX(0,MIN($B$8,IFERROR(LOOKUP(2,1/($U$24:U859&lt;&gt;""),$U$24:U859),$B$11))))</f>
        <v>145.776434404259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14.6018146648936</v>
      </c>
      <c r="J860" s="16" t="n">
        <f aca="false">IF(D860="","",$B$12)</f>
        <v>0.432</v>
      </c>
      <c r="K860" s="16" t="n">
        <f aca="false">IF(J860="","",J860*$B$15)</f>
        <v>1.119744</v>
      </c>
      <c r="L860" s="16" t="n">
        <f aca="false">IF(D860="","",H860+E860-K860-G860*I860)</f>
        <v>142.126317676576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14.3360614724327</v>
      </c>
      <c r="N860" s="16" t="n">
        <f aca="false">IF(D860="","",(I860+M860)/2)</f>
        <v>14.4689380686631</v>
      </c>
      <c r="O860" s="16" t="n">
        <f aca="false">IF(D860="","",G860*N860)</f>
        <v>3.55791187108426</v>
      </c>
      <c r="P860" s="16" t="n">
        <f aca="false">IF(D860="","",H860+E860-K860-O860)</f>
        <v>142.158992031589</v>
      </c>
      <c r="Q860" s="16" t="n">
        <f aca="false">IF(D860="","",IF(P860&gt;=0,K860,MAX(0,K860+P860)))</f>
        <v>1.119744</v>
      </c>
      <c r="R860" s="16" t="n">
        <f aca="false">IF(D860="","",Q860/$B$15)</f>
        <v>0.432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142.158992031589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87.7524642170301</v>
      </c>
      <c r="Z860" s="18" t="n">
        <f aca="false">IF(D860="","",MAX(0,IF(P860&gt;=0,P860,IF(K860+P860&gt;=0,0,P860+K860))))</f>
        <v>142.158992031589</v>
      </c>
      <c r="AA860" s="18" t="n">
        <f aca="false">IF(D860="","",IF(H860&lt;=$B$16,1,IF(H860&gt;=$B$17,$B$21,MATCH(H860,Aux_CAV!$A$2:$A$121,1))))</f>
        <v>22</v>
      </c>
      <c r="AB860" s="18" t="n">
        <f aca="false">IF(D860="","",IF(L860&lt;=$B$16,1,IF(L860&gt;=$B$17,$B$21,MATCH(L860,Aux_CAV!$A$2:$A$121,1))))</f>
        <v>22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0.229241471589962</v>
      </c>
      <c r="E861" s="16" t="n">
        <f aca="false">IF(D861="","",D861*$B$15)</f>
        <v>0.594193894361182</v>
      </c>
      <c r="F861" s="16" t="n">
        <f aca="false" t="array" ref="F861:F861">IF(D861="","",IFERROR(INDEX(Dados_Evap!$C$2:$N$15,MATCH($B$9,Dados_Evap!$A$2:$A$15,0),C861),0))</f>
        <v>282.3</v>
      </c>
      <c r="G861" s="16" t="n">
        <f aca="false">IF(F861="","",F861/1000)</f>
        <v>0.2823</v>
      </c>
      <c r="H861" s="16" t="n">
        <f aca="false">IF(D861="","",MAX(0,MIN($B$8,IFERROR(LOOKUP(2,1/($U$24:U860&lt;&gt;""),$U$24:U860),$B$11))))</f>
        <v>142.158992031589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14.3384403865344</v>
      </c>
      <c r="J861" s="16" t="n">
        <f aca="false">IF(D861="","",$B$12)</f>
        <v>0.432</v>
      </c>
      <c r="K861" s="16" t="n">
        <f aca="false">IF(J861="","",J861*$B$15)</f>
        <v>1.119744</v>
      </c>
      <c r="L861" s="16" t="n">
        <f aca="false">IF(D861="","",H861+E861-K861-G861*I861)</f>
        <v>137.585700204831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14.0054738011651</v>
      </c>
      <c r="N861" s="16" t="n">
        <f aca="false">IF(D861="","",(I861+M861)/2)</f>
        <v>14.1719570938497</v>
      </c>
      <c r="O861" s="16" t="n">
        <f aca="false">IF(D861="","",G861*N861)</f>
        <v>4.00074348759378</v>
      </c>
      <c r="P861" s="16" t="n">
        <f aca="false">IF(D861="","",H861+E861-K861-O861)</f>
        <v>137.632698438356</v>
      </c>
      <c r="Q861" s="16" t="n">
        <f aca="false">IF(D861="","",IF(P861&gt;=0,K861,MAX(0,K861+P861)))</f>
        <v>1.119744</v>
      </c>
      <c r="R861" s="16" t="n">
        <f aca="false">IF(D861="","",Q861/$B$15)</f>
        <v>0.432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137.632698438356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84.9584558261458</v>
      </c>
      <c r="Z861" s="18" t="n">
        <f aca="false">IF(D861="","",MAX(0,IF(P861&gt;=0,P861,IF(K861+P861&gt;=0,0,P861+K861))))</f>
        <v>137.632698438356</v>
      </c>
      <c r="AA861" s="18" t="n">
        <f aca="false">IF(D861="","",IF(H861&lt;=$B$16,1,IF(H861&gt;=$B$17,$B$21,MATCH(H861,Aux_CAV!$A$2:$A$121,1))))</f>
        <v>22</v>
      </c>
      <c r="AB861" s="18" t="n">
        <f aca="false">IF(D861="","",IF(L861&lt;=$B$16,1,IF(L861&gt;=$B$17,$B$21,MATCH(L861,Aux_CAV!$A$2:$A$121,1))))</f>
        <v>22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0.288363303634677</v>
      </c>
      <c r="E862" s="16" t="n">
        <f aca="false">IF(D862="","",D862*$B$15)</f>
        <v>0.747437683021083</v>
      </c>
      <c r="F862" s="16" t="n">
        <f aca="false" t="array" ref="F862:F862">IF(D862="","",IFERROR(INDEX(Dados_Evap!$C$2:$N$15,MATCH($B$9,Dados_Evap!$A$2:$A$15,0),C862),0))</f>
        <v>241.3</v>
      </c>
      <c r="G862" s="16" t="n">
        <f aca="false">IF(F862="","",F862/1000)</f>
        <v>0.2413</v>
      </c>
      <c r="H862" s="16" t="n">
        <f aca="false">IF(D862="","",MAX(0,MIN($B$8,IFERROR(LOOKUP(2,1/($U$24:U861&lt;&gt;""),$U$24:U861),$B$11))))</f>
        <v>137.632698438356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14.00889559053</v>
      </c>
      <c r="J862" s="16" t="n">
        <f aca="false">IF(D862="","",$B$12)</f>
        <v>0.432</v>
      </c>
      <c r="K862" s="16" t="n">
        <f aca="false">IF(J862="","",J862*$B$15)</f>
        <v>1.119744</v>
      </c>
      <c r="L862" s="16" t="n">
        <f aca="false">IF(D862="","",H862+E862-K862-G862*I862)</f>
        <v>133.880045615382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13.735677076629</v>
      </c>
      <c r="N862" s="16" t="n">
        <f aca="false">IF(D862="","",(I862+M862)/2)</f>
        <v>13.8722863335795</v>
      </c>
      <c r="O862" s="16" t="n">
        <f aca="false">IF(D862="","",G862*N862)</f>
        <v>3.34738269229273</v>
      </c>
      <c r="P862" s="16" t="n">
        <f aca="false">IF(D862="","",H862+E862-K862-O862)</f>
        <v>133.913009429085</v>
      </c>
      <c r="Q862" s="16" t="n">
        <f aca="false">IF(D862="","",IF(P862&gt;=0,K862,MAX(0,K862+P862)))</f>
        <v>1.119744</v>
      </c>
      <c r="R862" s="16" t="n">
        <f aca="false">IF(D862="","",Q862/$B$15)</f>
        <v>0.432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133.913009429085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82.6623514994349</v>
      </c>
      <c r="Z862" s="18" t="n">
        <f aca="false">IF(D862="","",MAX(0,IF(P862&gt;=0,P862,IF(K862+P862&gt;=0,0,P862+K862))))</f>
        <v>133.913009429085</v>
      </c>
      <c r="AA862" s="18" t="n">
        <f aca="false">IF(D862="","",IF(H862&lt;=$B$16,1,IF(H862&gt;=$B$17,$B$21,MATCH(H862,Aux_CAV!$A$2:$A$121,1))))</f>
        <v>22</v>
      </c>
      <c r="AB862" s="18" t="n">
        <f aca="false">IF(D862="","",IF(L862&lt;=$B$16,1,IF(L862&gt;=$B$17,$B$21,MATCH(L862,Aux_CAV!$A$2:$A$121,1))))</f>
        <v>22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0.161454812256383</v>
      </c>
      <c r="E863" s="16" t="n">
        <f aca="false">IF(D863="","",D863*$B$15)</f>
        <v>0.418490873368545</v>
      </c>
      <c r="F863" s="16" t="n">
        <f aca="false" t="array" ref="F863:F863">IF(D863="","",IFERROR(INDEX(Dados_Evap!$C$2:$N$15,MATCH($B$9,Dados_Evap!$A$2:$A$15,0),C863),0))</f>
        <v>241.8</v>
      </c>
      <c r="G863" s="16" t="n">
        <f aca="false">IF(F863="","",F863/1000)</f>
        <v>0.2418</v>
      </c>
      <c r="H863" s="16" t="n">
        <f aca="false">IF(D863="","",MAX(0,MIN($B$8,IFERROR(LOOKUP(2,1/($U$24:U862&lt;&gt;""),$U$24:U862),$B$11))))</f>
        <v>133.913009429085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13.7380770652816</v>
      </c>
      <c r="J863" s="16" t="n">
        <f aca="false">IF(D863="","",$B$12)</f>
        <v>0.432</v>
      </c>
      <c r="K863" s="16" t="n">
        <f aca="false">IF(J863="","",J863*$B$15)</f>
        <v>1.119744</v>
      </c>
      <c r="L863" s="16" t="n">
        <f aca="false">IF(D863="","",H863+E863-K863-G863*I863)</f>
        <v>129.889889268068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13.4451666993377</v>
      </c>
      <c r="N863" s="16" t="n">
        <f aca="false">IF(D863="","",(I863+M863)/2)</f>
        <v>13.5916218823096</v>
      </c>
      <c r="O863" s="16" t="n">
        <f aca="false">IF(D863="","",G863*N863)</f>
        <v>3.28645417114247</v>
      </c>
      <c r="P863" s="16" t="n">
        <f aca="false">IF(D863="","",H863+E863-K863-O863)</f>
        <v>129.925302131311</v>
      </c>
      <c r="Q863" s="16" t="n">
        <f aca="false">IF(D863="","",IF(P863&gt;=0,K863,MAX(0,K863+P863)))</f>
        <v>1.119744</v>
      </c>
      <c r="R863" s="16" t="n">
        <f aca="false">IF(D863="","",Q863/$B$15)</f>
        <v>0.432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129.925302131311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80.2008037847596</v>
      </c>
      <c r="Z863" s="18" t="n">
        <f aca="false">IF(D863="","",MAX(0,IF(P863&gt;=0,P863,IF(K863+P863&gt;=0,0,P863+K863))))</f>
        <v>129.925302131311</v>
      </c>
      <c r="AA863" s="18" t="n">
        <f aca="false">IF(D863="","",IF(H863&lt;=$B$16,1,IF(H863&gt;=$B$17,$B$21,MATCH(H863,Aux_CAV!$A$2:$A$121,1))))</f>
        <v>22</v>
      </c>
      <c r="AB863" s="18" t="n">
        <f aca="false">IF(D863="","",IF(L863&lt;=$B$16,1,IF(L863&gt;=$B$17,$B$21,MATCH(L863,Aux_CAV!$A$2:$A$121,1))))</f>
        <v>22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0.333179468911937</v>
      </c>
      <c r="E864" s="16" t="n">
        <f aca="false">IF(D864="","",D864*$B$15)</f>
        <v>0.863601183419741</v>
      </c>
      <c r="F864" s="16" t="n">
        <f aca="false" t="array" ref="F864:F864">IF(D864="","",IFERROR(INDEX(Dados_Evap!$C$2:$N$15,MATCH($B$9,Dados_Evap!$A$2:$A$15,0),C864),0))</f>
        <v>189</v>
      </c>
      <c r="G864" s="16" t="n">
        <f aca="false">IF(F864="","",F864/1000)</f>
        <v>0.189</v>
      </c>
      <c r="H864" s="16" t="n">
        <f aca="false">IF(D864="","",MAX(0,MIN($B$8,IFERROR(LOOKUP(2,1/($U$24:U863&lt;&gt;""),$U$24:U863),$B$11))))</f>
        <v>129.925302131311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13.4477449953657</v>
      </c>
      <c r="J864" s="16" t="n">
        <f aca="false">IF(D864="","",$B$12)</f>
        <v>0.432</v>
      </c>
      <c r="K864" s="16" t="n">
        <f aca="false">IF(J864="","",J864*$B$15)</f>
        <v>1.119744</v>
      </c>
      <c r="L864" s="16" t="n">
        <f aca="false">IF(D864="","",H864+E864-K864-G864*I864)</f>
        <v>127.127535510606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13.2440486572257</v>
      </c>
      <c r="N864" s="16" t="n">
        <f aca="false">IF(D864="","",(I864+M864)/2)</f>
        <v>13.3458968262957</v>
      </c>
      <c r="O864" s="16" t="n">
        <f aca="false">IF(D864="","",G864*N864)</f>
        <v>2.52237450016989</v>
      </c>
      <c r="P864" s="16" t="n">
        <f aca="false">IF(D864="","",H864+E864-K864-O864)</f>
        <v>127.14678481456</v>
      </c>
      <c r="Q864" s="16" t="n">
        <f aca="false">IF(D864="","",IF(P864&gt;=0,K864,MAX(0,K864+P864)))</f>
        <v>1.119744</v>
      </c>
      <c r="R864" s="16" t="n">
        <f aca="false">IF(D864="","",Q864/$B$15)</f>
        <v>0.432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127.14678481456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78.4856696386175</v>
      </c>
      <c r="Z864" s="18" t="n">
        <f aca="false">IF(D864="","",MAX(0,IF(P864&gt;=0,P864,IF(K864+P864&gt;=0,0,P864+K864))))</f>
        <v>127.14678481456</v>
      </c>
      <c r="AA864" s="18" t="n">
        <f aca="false">IF(D864="","",IF(H864&lt;=$B$16,1,IF(H864&gt;=$B$17,$B$21,MATCH(H864,Aux_CAV!$A$2:$A$121,1))))</f>
        <v>22</v>
      </c>
      <c r="AB864" s="18" t="n">
        <f aca="false">IF(D864="","",IF(L864&lt;=$B$16,1,IF(L864&gt;=$B$17,$B$21,MATCH(L864,Aux_CAV!$A$2:$A$121,1))))</f>
        <v>22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2.35014573189602</v>
      </c>
      <c r="E865" s="16" t="n">
        <f aca="false">IF(D865="","",D865*$B$15)</f>
        <v>6.09157773707448</v>
      </c>
      <c r="F865" s="16" t="n">
        <f aca="false" t="array" ref="F865:F865">IF(D865="","",IFERROR(INDEX(Dados_Evap!$C$2:$N$15,MATCH($B$9,Dados_Evap!$A$2:$A$15,0),C865),0))</f>
        <v>136.9</v>
      </c>
      <c r="G865" s="16" t="n">
        <f aca="false">IF(F865="","",F865/1000)</f>
        <v>0.1369</v>
      </c>
      <c r="H865" s="16" t="n">
        <f aca="false">IF(D865="","",MAX(0,MIN($B$8,IFERROR(LOOKUP(2,1/($U$24:U864&lt;&gt;""),$U$24:U864),$B$11))))</f>
        <v>127.14678481456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13.2454501367838</v>
      </c>
      <c r="J865" s="16" t="n">
        <f aca="false">IF(D865="","",$B$12)</f>
        <v>0.432</v>
      </c>
      <c r="K865" s="16" t="n">
        <f aca="false">IF(J865="","",J865*$B$15)</f>
        <v>1.119744</v>
      </c>
      <c r="L865" s="16" t="n">
        <f aca="false">IF(D865="","",H865+E865-K865-G865*I865)</f>
        <v>130.305316427909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13.4754126071262</v>
      </c>
      <c r="N865" s="16" t="n">
        <f aca="false">IF(D865="","",(I865+M865)/2)</f>
        <v>13.360431371955</v>
      </c>
      <c r="O865" s="16" t="n">
        <f aca="false">IF(D865="","",G865*N865)</f>
        <v>1.82904305482064</v>
      </c>
      <c r="P865" s="16" t="n">
        <f aca="false">IF(D865="","",H865+E865-K865-O865)</f>
        <v>130.289575496814</v>
      </c>
      <c r="Q865" s="16" t="n">
        <f aca="false">IF(D865="","",IF(P865&gt;=0,K865,MAX(0,K865+P865)))</f>
        <v>1.119744</v>
      </c>
      <c r="R865" s="16" t="n">
        <f aca="false">IF(D865="","",Q865/$B$15)</f>
        <v>0.432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130.289575496814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80.4256638869224</v>
      </c>
      <c r="Z865" s="18" t="n">
        <f aca="false">IF(D865="","",MAX(0,IF(P865&gt;=0,P865,IF(K865+P865&gt;=0,0,P865+K865))))</f>
        <v>130.289575496814</v>
      </c>
      <c r="AA865" s="18" t="n">
        <f aca="false">IF(D865="","",IF(H865&lt;=$B$16,1,IF(H865&gt;=$B$17,$B$21,MATCH(H865,Aux_CAV!$A$2:$A$121,1))))</f>
        <v>22</v>
      </c>
      <c r="AB865" s="18" t="n">
        <f aca="false">IF(D865="","",IF(L865&lt;=$B$16,1,IF(L865&gt;=$B$17,$B$21,MATCH(L865,Aux_CAV!$A$2:$A$121,1))))</f>
        <v>22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3.96555342323858</v>
      </c>
      <c r="E866" s="16" t="n">
        <f aca="false">IF(D866="","",D866*$B$15)</f>
        <v>10.2787144730344</v>
      </c>
      <c r="F866" s="16" t="n">
        <f aca="false" t="array" ref="F866:F866">IF(D866="","",IFERROR(INDEX(Dados_Evap!$C$2:$N$15,MATCH($B$9,Dados_Evap!$A$2:$A$15,0),C866),0))</f>
        <v>102.9</v>
      </c>
      <c r="G866" s="16" t="n">
        <f aca="false">IF(F866="","",F866/1000)</f>
        <v>0.1029</v>
      </c>
      <c r="H866" s="16" t="n">
        <f aca="false">IF(D866="","",MAX(0,MIN($B$8,IFERROR(LOOKUP(2,1/($U$24:U865&lt;&gt;""),$U$24:U865),$B$11))))</f>
        <v>130.289575496814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13.474266560848</v>
      </c>
      <c r="J866" s="16" t="n">
        <f aca="false">IF(D866="","",$B$12)</f>
        <v>0.432</v>
      </c>
      <c r="K866" s="16" t="n">
        <f aca="false">IF(J866="","",J866*$B$15)</f>
        <v>1.119744</v>
      </c>
      <c r="L866" s="16" t="n">
        <f aca="false">IF(D866="","",H866+E866-K866-G866*I866)</f>
        <v>138.062043940737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14.0401548478192</v>
      </c>
      <c r="N866" s="16" t="n">
        <f aca="false">IF(D866="","",(I866+M866)/2)</f>
        <v>13.7572107043336</v>
      </c>
      <c r="O866" s="16" t="n">
        <f aca="false">IF(D866="","",G866*N866)</f>
        <v>1.41561698147593</v>
      </c>
      <c r="P866" s="16" t="n">
        <f aca="false">IF(D866="","",H866+E866-K866-O866)</f>
        <v>138.032928988373</v>
      </c>
      <c r="Q866" s="16" t="n">
        <f aca="false">IF(D866="","",IF(P866&gt;=0,K866,MAX(0,K866+P866)))</f>
        <v>1.119744</v>
      </c>
      <c r="R866" s="16" t="n">
        <f aca="false">IF(D866="","",Q866/$B$15)</f>
        <v>0.432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138.032928988373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85.2055117212178</v>
      </c>
      <c r="Z866" s="18" t="n">
        <f aca="false">IF(D866="","",MAX(0,IF(P866&gt;=0,P866,IF(K866+P866&gt;=0,0,P866+K866))))</f>
        <v>138.032928988373</v>
      </c>
      <c r="AA866" s="18" t="n">
        <f aca="false">IF(D866="","",IF(H866&lt;=$B$16,1,IF(H866&gt;=$B$17,$B$21,MATCH(H866,Aux_CAV!$A$2:$A$121,1))))</f>
        <v>22</v>
      </c>
      <c r="AB866" s="18" t="n">
        <f aca="false">IF(D866="","",IF(L866&lt;=$B$16,1,IF(L866&gt;=$B$17,$B$21,MATCH(L866,Aux_CAV!$A$2:$A$121,1))))</f>
        <v>22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2.61701273409983</v>
      </c>
      <c r="E867" s="16" t="n">
        <f aca="false">IF(D867="","",D867*$B$15)</f>
        <v>6.78329700678676</v>
      </c>
      <c r="F867" s="16" t="n">
        <f aca="false" t="array" ref="F867:F867">IF(D867="","",IFERROR(INDEX(Dados_Evap!$C$2:$N$15,MATCH($B$9,Dados_Evap!$A$2:$A$15,0),C867),0))</f>
        <v>81.8</v>
      </c>
      <c r="G867" s="16" t="n">
        <f aca="false">IF(F867="","",F867/1000)</f>
        <v>0.0818</v>
      </c>
      <c r="H867" s="16" t="n">
        <f aca="false">IF(D867="","",MAX(0,MIN($B$8,IFERROR(LOOKUP(2,1/($U$24:U866&lt;&gt;""),$U$24:U866),$B$11))))</f>
        <v>138.032928988373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14.0380350823113</v>
      </c>
      <c r="J867" s="16" t="n">
        <f aca="false">IF(D867="","",$B$12)</f>
        <v>0.432</v>
      </c>
      <c r="K867" s="16" t="n">
        <f aca="false">IF(J867="","",J867*$B$15)</f>
        <v>1.119744</v>
      </c>
      <c r="L867" s="16" t="n">
        <f aca="false">IF(D867="","",H867+E867-K867-G867*I867)</f>
        <v>142.548170725426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14.3667752284151</v>
      </c>
      <c r="N867" s="16" t="n">
        <f aca="false">IF(D867="","",(I867+M867)/2)</f>
        <v>14.2024051553632</v>
      </c>
      <c r="O867" s="16" t="n">
        <f aca="false">IF(D867="","",G867*N867)</f>
        <v>1.16175674170871</v>
      </c>
      <c r="P867" s="16" t="n">
        <f aca="false">IF(D867="","",H867+E867-K867-O867)</f>
        <v>142.534725253451</v>
      </c>
      <c r="Q867" s="16" t="n">
        <f aca="false">IF(D867="","",IF(P867&gt;=0,K867,MAX(0,K867+P867)))</f>
        <v>1.119744</v>
      </c>
      <c r="R867" s="16" t="n">
        <f aca="false">IF(D867="","",Q867/$B$15)</f>
        <v>0.432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142.534725253451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87.9843983045993</v>
      </c>
      <c r="Z867" s="18" t="n">
        <f aca="false">IF(D867="","",MAX(0,IF(P867&gt;=0,P867,IF(K867+P867&gt;=0,0,P867+K867))))</f>
        <v>142.534725253451</v>
      </c>
      <c r="AA867" s="18" t="n">
        <f aca="false">IF(D867="","",IF(H867&lt;=$B$16,1,IF(H867&gt;=$B$17,$B$21,MATCH(H867,Aux_CAV!$A$2:$A$121,1))))</f>
        <v>22</v>
      </c>
      <c r="AB867" s="18" t="n">
        <f aca="false">IF(D867="","",IF(L867&lt;=$B$16,1,IF(L867&gt;=$B$17,$B$21,MATCH(L867,Aux_CAV!$A$2:$A$121,1))))</f>
        <v>22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1.09532339640574</v>
      </c>
      <c r="E868" s="16" t="n">
        <f aca="false">IF(D868="","",D868*$B$15)</f>
        <v>2.83907824348368</v>
      </c>
      <c r="F868" s="16" t="n">
        <f aca="false" t="array" ref="F868:F868">IF(D868="","",IFERROR(INDEX(Dados_Evap!$C$2:$N$15,MATCH($B$9,Dados_Evap!$A$2:$A$15,0),C868),0))</f>
        <v>83.6</v>
      </c>
      <c r="G868" s="16" t="n">
        <f aca="false">IF(F868="","",F868/1000)</f>
        <v>0.0836</v>
      </c>
      <c r="H868" s="16" t="n">
        <f aca="false">IF(D868="","",MAX(0,MIN($B$8,IFERROR(LOOKUP(2,1/($U$24:U867&lt;&gt;""),$U$24:U867),$B$11))))</f>
        <v>142.534725253451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14.3657963070906</v>
      </c>
      <c r="J868" s="16" t="n">
        <f aca="false">IF(D868="","",$B$12)</f>
        <v>0.432</v>
      </c>
      <c r="K868" s="16" t="n">
        <f aca="false">IF(J868="","",J868*$B$15)</f>
        <v>1.119744</v>
      </c>
      <c r="L868" s="16" t="n">
        <f aca="false">IF(D868="","",H868+E868-K868-G868*I868)</f>
        <v>143.053078925662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14.4035359613239</v>
      </c>
      <c r="N868" s="16" t="n">
        <f aca="false">IF(D868="","",(I868+M868)/2)</f>
        <v>14.3846661342072</v>
      </c>
      <c r="O868" s="16" t="n">
        <f aca="false">IF(D868="","",G868*N868)</f>
        <v>1.20255808881972</v>
      </c>
      <c r="P868" s="16" t="n">
        <f aca="false">IF(D868="","",H868+E868-K868-O868)</f>
        <v>143.051501408115</v>
      </c>
      <c r="Q868" s="16" t="n">
        <f aca="false">IF(D868="","",IF(P868&gt;=0,K868,MAX(0,K868+P868)))</f>
        <v>1.119744</v>
      </c>
      <c r="R868" s="16" t="n">
        <f aca="false">IF(D868="","",Q868/$B$15)</f>
        <v>0.432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143.051501408115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88.3033959309351</v>
      </c>
      <c r="Z868" s="18" t="n">
        <f aca="false">IF(D868="","",MAX(0,IF(P868&gt;=0,P868,IF(K868+P868&gt;=0,0,P868+K868))))</f>
        <v>143.051501408115</v>
      </c>
      <c r="AA868" s="18" t="n">
        <f aca="false">IF(D868="","",IF(H868&lt;=$B$16,1,IF(H868&gt;=$B$17,$B$21,MATCH(H868,Aux_CAV!$A$2:$A$121,1))))</f>
        <v>22</v>
      </c>
      <c r="AB868" s="18" t="n">
        <f aca="false">IF(D868="","",IF(L868&lt;=$B$16,1,IF(L868&gt;=$B$17,$B$21,MATCH(L868,Aux_CAV!$A$2:$A$121,1))))</f>
        <v>22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1.96924373476532</v>
      </c>
      <c r="E869" s="16" t="n">
        <f aca="false">IF(D869="","",D869*$B$15)</f>
        <v>5.10427976051171</v>
      </c>
      <c r="F869" s="16" t="n">
        <f aca="false" t="array" ref="F869:F869">IF(D869="","",IFERROR(INDEX(Dados_Evap!$C$2:$N$15,MATCH($B$9,Dados_Evap!$A$2:$A$15,0),C869),0))</f>
        <v>108.2</v>
      </c>
      <c r="G869" s="16" t="n">
        <f aca="false">IF(F869="","",F869/1000)</f>
        <v>0.1082</v>
      </c>
      <c r="H869" s="16" t="n">
        <f aca="false">IF(D869="","",MAX(0,MIN($B$8,IFERROR(LOOKUP(2,1/($U$24:U868&lt;&gt;""),$U$24:U868),$B$11))))</f>
        <v>143.051501408115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14.4034211073738</v>
      </c>
      <c r="J869" s="16" t="n">
        <f aca="false">IF(D869="","",$B$12)</f>
        <v>0.432</v>
      </c>
      <c r="K869" s="16" t="n">
        <f aca="false">IF(J869="","",J869*$B$15)</f>
        <v>1.119744</v>
      </c>
      <c r="L869" s="16" t="n">
        <f aca="false">IF(D869="","",H869+E869-K869-G869*I869)</f>
        <v>145.477587004809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14.5800565523761</v>
      </c>
      <c r="N869" s="16" t="n">
        <f aca="false">IF(D869="","",(I869+M869)/2)</f>
        <v>14.491738829875</v>
      </c>
      <c r="O869" s="16" t="n">
        <f aca="false">IF(D869="","",G869*N869)</f>
        <v>1.56800614139247</v>
      </c>
      <c r="P869" s="16" t="n">
        <f aca="false">IF(D869="","",H869+E869-K869-O869)</f>
        <v>145.468031027234</v>
      </c>
      <c r="Q869" s="16" t="n">
        <f aca="false">IF(D869="","",IF(P869&gt;=0,K869,MAX(0,K869+P869)))</f>
        <v>1.119744</v>
      </c>
      <c r="R869" s="16" t="n">
        <f aca="false">IF(D869="","",Q869/$B$15)</f>
        <v>0.432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145.468031027234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89.7950808810086</v>
      </c>
      <c r="Z869" s="18" t="n">
        <f aca="false">IF(D869="","",MAX(0,IF(P869&gt;=0,P869,IF(K869+P869&gt;=0,0,P869+K869))))</f>
        <v>145.468031027234</v>
      </c>
      <c r="AA869" s="18" t="n">
        <f aca="false">IF(D869="","",IF(H869&lt;=$B$16,1,IF(H869&gt;=$B$17,$B$21,MATCH(H869,Aux_CAV!$A$2:$A$121,1))))</f>
        <v>22</v>
      </c>
      <c r="AB869" s="18" t="n">
        <f aca="false">IF(D869="","",IF(L869&lt;=$B$16,1,IF(L869&gt;=$B$17,$B$21,MATCH(L869,Aux_CAV!$A$2:$A$121,1))))</f>
        <v>22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0.357242991072993</v>
      </c>
      <c r="E870" s="16" t="n">
        <f aca="false">IF(D870="","",D870*$B$15)</f>
        <v>0.925973832861198</v>
      </c>
      <c r="F870" s="16" t="n">
        <f aca="false" t="array" ref="F870:F870">IF(D870="","",IFERROR(INDEX(Dados_Evap!$C$2:$N$15,MATCH($B$9,Dados_Evap!$A$2:$A$15,0),C870),0))</f>
        <v>149</v>
      </c>
      <c r="G870" s="16" t="n">
        <f aca="false">IF(F870="","",F870/1000)</f>
        <v>0.149</v>
      </c>
      <c r="H870" s="16" t="n">
        <f aca="false">IF(D870="","",MAX(0,MIN($B$8,IFERROR(LOOKUP(2,1/($U$24:U869&lt;&gt;""),$U$24:U869),$B$11))))</f>
        <v>145.468031027234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14.5793608125582</v>
      </c>
      <c r="J870" s="16" t="n">
        <f aca="false">IF(D870="","",$B$12)</f>
        <v>0.432</v>
      </c>
      <c r="K870" s="16" t="n">
        <f aca="false">IF(J870="","",J870*$B$15)</f>
        <v>1.119744</v>
      </c>
      <c r="L870" s="16" t="n">
        <f aca="false">IF(D870="","",H870+E870-K870-G870*I870)</f>
        <v>143.101936099024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14.4070930940855</v>
      </c>
      <c r="N870" s="16" t="n">
        <f aca="false">IF(D870="","",(I870+M870)/2)</f>
        <v>14.4932269533218</v>
      </c>
      <c r="O870" s="16" t="n">
        <f aca="false">IF(D870="","",G870*N870)</f>
        <v>2.15949081604495</v>
      </c>
      <c r="P870" s="16" t="n">
        <f aca="false">IF(D870="","",H870+E870-K870-O870)</f>
        <v>143.11477004405</v>
      </c>
      <c r="Q870" s="16" t="n">
        <f aca="false">IF(D870="","",IF(P870&gt;=0,K870,MAX(0,K870+P870)))</f>
        <v>1.119744</v>
      </c>
      <c r="R870" s="16" t="n">
        <f aca="false">IF(D870="","",Q870/$B$15)</f>
        <v>0.432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143.11477004405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88.3424506444755</v>
      </c>
      <c r="Z870" s="18" t="n">
        <f aca="false">IF(D870="","",MAX(0,IF(P870&gt;=0,P870,IF(K870+P870&gt;=0,0,P870+K870))))</f>
        <v>143.11477004405</v>
      </c>
      <c r="AA870" s="18" t="n">
        <f aca="false">IF(D870="","",IF(H870&lt;=$B$16,1,IF(H870&gt;=$B$17,$B$21,MATCH(H870,Aux_CAV!$A$2:$A$121,1))))</f>
        <v>22</v>
      </c>
      <c r="AB870" s="18" t="n">
        <f aca="false">IF(D870="","",IF(L870&lt;=$B$16,1,IF(L870&gt;=$B$17,$B$21,MATCH(L870,Aux_CAV!$A$2:$A$121,1))))</f>
        <v>22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0.250135432489736</v>
      </c>
      <c r="E871" s="16" t="n">
        <f aca="false">IF(D871="","",D871*$B$15)</f>
        <v>0.648351041013396</v>
      </c>
      <c r="F871" s="16" t="n">
        <f aca="false" t="array" ref="F871:F871">IF(D871="","",IFERROR(INDEX(Dados_Evap!$C$2:$N$15,MATCH($B$9,Dados_Evap!$A$2:$A$15,0),C871),0))</f>
        <v>206.8</v>
      </c>
      <c r="G871" s="16" t="n">
        <f aca="false">IF(F871="","",F871/1000)</f>
        <v>0.2068</v>
      </c>
      <c r="H871" s="16" t="n">
        <f aca="false">IF(D871="","",MAX(0,MIN($B$8,IFERROR(LOOKUP(2,1/($U$24:U870&lt;&gt;""),$U$24:U870),$B$11))))</f>
        <v>143.11477004405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14.4080274921108</v>
      </c>
      <c r="J871" s="16" t="n">
        <f aca="false">IF(D871="","",$B$12)</f>
        <v>0.432</v>
      </c>
      <c r="K871" s="16" t="n">
        <f aca="false">IF(J871="","",J871*$B$15)</f>
        <v>1.119744</v>
      </c>
      <c r="L871" s="16" t="n">
        <f aca="false">IF(D871="","",H871+E871-K871-G871*I871)</f>
        <v>139.663796999695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14.156773307093</v>
      </c>
      <c r="N871" s="16" t="n">
        <f aca="false">IF(D871="","",(I871+M871)/2)</f>
        <v>14.2824003996019</v>
      </c>
      <c r="O871" s="16" t="n">
        <f aca="false">IF(D871="","",G871*N871)</f>
        <v>2.95360040263767</v>
      </c>
      <c r="P871" s="16" t="n">
        <f aca="false">IF(D871="","",H871+E871-K871-O871)</f>
        <v>139.689776682426</v>
      </c>
      <c r="Q871" s="16" t="n">
        <f aca="false">IF(D871="","",IF(P871&gt;=0,K871,MAX(0,K871+P871)))</f>
        <v>1.119744</v>
      </c>
      <c r="R871" s="16" t="n">
        <f aca="false">IF(D871="","",Q871/$B$15)</f>
        <v>0.432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139.689776682426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86.2282572113741</v>
      </c>
      <c r="Z871" s="18" t="n">
        <f aca="false">IF(D871="","",MAX(0,IF(P871&gt;=0,P871,IF(K871+P871&gt;=0,0,P871+K871))))</f>
        <v>139.689776682426</v>
      </c>
      <c r="AA871" s="18" t="n">
        <f aca="false">IF(D871="","",IF(H871&lt;=$B$16,1,IF(H871&gt;=$B$17,$B$21,MATCH(H871,Aux_CAV!$A$2:$A$121,1))))</f>
        <v>22</v>
      </c>
      <c r="AB871" s="18" t="n">
        <f aca="false">IF(D871="","",IF(L871&lt;=$B$16,1,IF(L871&gt;=$B$17,$B$21,MATCH(L871,Aux_CAV!$A$2:$A$121,1))))</f>
        <v>22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0.308983067566975</v>
      </c>
      <c r="E872" s="16" t="n">
        <f aca="false">IF(D872="","",D872*$B$15)</f>
        <v>0.800884111133599</v>
      </c>
      <c r="F872" s="16" t="n">
        <f aca="false" t="array" ref="F872:F872">IF(D872="","",IFERROR(INDEX(Dados_Evap!$C$2:$N$15,MATCH($B$9,Dados_Evap!$A$2:$A$15,0),C872),0))</f>
        <v>245.9</v>
      </c>
      <c r="G872" s="16" t="n">
        <f aca="false">IF(F872="","",F872/1000)</f>
        <v>0.2459</v>
      </c>
      <c r="H872" s="16" t="n">
        <f aca="false">IF(D872="","",MAX(0,MIN($B$8,IFERROR(LOOKUP(2,1/($U$24:U871&lt;&gt;""),$U$24:U871),$B$11))))</f>
        <v>139.689776682426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14.1586648037601</v>
      </c>
      <c r="J872" s="16" t="n">
        <f aca="false">IF(D872="","",$B$12)</f>
        <v>0.432</v>
      </c>
      <c r="K872" s="16" t="n">
        <f aca="false">IF(J872="","",J872*$B$15)</f>
        <v>1.119744</v>
      </c>
      <c r="L872" s="16" t="n">
        <f aca="false">IF(D872="","",H872+E872-K872-G872*I872)</f>
        <v>135.889301118315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13.881964470762</v>
      </c>
      <c r="N872" s="16" t="n">
        <f aca="false">IF(D872="","",(I872+M872)/2)</f>
        <v>14.020314637261</v>
      </c>
      <c r="O872" s="16" t="n">
        <f aca="false">IF(D872="","",G872*N872)</f>
        <v>3.44759536930249</v>
      </c>
      <c r="P872" s="16" t="n">
        <f aca="false">IF(D872="","",H872+E872-K872-O872)</f>
        <v>135.923321424257</v>
      </c>
      <c r="Q872" s="16" t="n">
        <f aca="false">IF(D872="","",IF(P872&gt;=0,K872,MAX(0,K872+P872)))</f>
        <v>1.119744</v>
      </c>
      <c r="R872" s="16" t="n">
        <f aca="false">IF(D872="","",Q872/$B$15)</f>
        <v>0.432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135.923321424257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83.9032848297883</v>
      </c>
      <c r="Z872" s="18" t="n">
        <f aca="false">IF(D872="","",MAX(0,IF(P872&gt;=0,P872,IF(K872+P872&gt;=0,0,P872+K872))))</f>
        <v>135.923321424257</v>
      </c>
      <c r="AA872" s="18" t="n">
        <f aca="false">IF(D872="","",IF(H872&lt;=$B$16,1,IF(H872&gt;=$B$17,$B$21,MATCH(H872,Aux_CAV!$A$2:$A$121,1))))</f>
        <v>22</v>
      </c>
      <c r="AB872" s="18" t="n">
        <f aca="false">IF(D872="","",IF(L872&lt;=$B$16,1,IF(L872&gt;=$B$17,$B$21,MATCH(L872,Aux_CAV!$A$2:$A$121,1))))</f>
        <v>22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0.326077635383497</v>
      </c>
      <c r="E873" s="16" t="n">
        <f aca="false">IF(D873="","",D873*$B$15)</f>
        <v>0.845193230914024</v>
      </c>
      <c r="F873" s="16" t="n">
        <f aca="false" t="array" ref="F873:F873">IF(D873="","",IFERROR(INDEX(Dados_Evap!$C$2:$N$15,MATCH($B$9,Dados_Evap!$A$2:$A$15,0),C873),0))</f>
        <v>282.3</v>
      </c>
      <c r="G873" s="16" t="n">
        <f aca="false">IF(F873="","",F873/1000)</f>
        <v>0.2823</v>
      </c>
      <c r="H873" s="16" t="n">
        <f aca="false">IF(D873="","",MAX(0,MIN($B$8,IFERROR(LOOKUP(2,1/($U$24:U872&lt;&gt;""),$U$24:U872),$B$11))))</f>
        <v>135.923321424257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13.8844413791973</v>
      </c>
      <c r="J873" s="16" t="n">
        <f aca="false">IF(D873="","",$B$12)</f>
        <v>0.432</v>
      </c>
      <c r="K873" s="16" t="n">
        <f aca="false">IF(J873="","",J873*$B$15)</f>
        <v>1.119744</v>
      </c>
      <c r="L873" s="16" t="n">
        <f aca="false">IF(D873="","",H873+E873-K873-G873*I873)</f>
        <v>131.729192853824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13.5790804440988</v>
      </c>
      <c r="N873" s="16" t="n">
        <f aca="false">IF(D873="","",(I873+M873)/2)</f>
        <v>13.731760911648</v>
      </c>
      <c r="O873" s="16" t="n">
        <f aca="false">IF(D873="","",G873*N873)</f>
        <v>3.87647610535824</v>
      </c>
      <c r="P873" s="16" t="n">
        <f aca="false">IF(D873="","",H873+E873-K873-O873)</f>
        <v>131.772294549813</v>
      </c>
      <c r="Q873" s="16" t="n">
        <f aca="false">IF(D873="","",IF(P873&gt;=0,K873,MAX(0,K873+P873)))</f>
        <v>1.119744</v>
      </c>
      <c r="R873" s="16" t="n">
        <f aca="false">IF(D873="","",Q873/$B$15)</f>
        <v>0.432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131.772294549813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81.3409225616129</v>
      </c>
      <c r="Z873" s="18" t="n">
        <f aca="false">IF(D873="","",MAX(0,IF(P873&gt;=0,P873,IF(K873+P873&gt;=0,0,P873+K873))))</f>
        <v>131.772294549813</v>
      </c>
      <c r="AA873" s="18" t="n">
        <f aca="false">IF(D873="","",IF(H873&lt;=$B$16,1,IF(H873&gt;=$B$17,$B$21,MATCH(H873,Aux_CAV!$A$2:$A$121,1))))</f>
        <v>22</v>
      </c>
      <c r="AB873" s="18" t="n">
        <f aca="false">IF(D873="","",IF(L873&lt;=$B$16,1,IF(L873&gt;=$B$17,$B$21,MATCH(L873,Aux_CAV!$A$2:$A$121,1))))</f>
        <v>22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0.202488718490771</v>
      </c>
      <c r="E874" s="16" t="n">
        <f aca="false">IF(D874="","",D874*$B$15)</f>
        <v>0.524850758328079</v>
      </c>
      <c r="F874" s="16" t="n">
        <f aca="false" t="array" ref="F874:F874">IF(D874="","",IFERROR(INDEX(Dados_Evap!$C$2:$N$15,MATCH($B$9,Dados_Evap!$A$2:$A$15,0),C874),0))</f>
        <v>241.3</v>
      </c>
      <c r="G874" s="16" t="n">
        <f aca="false">IF(F874="","",F874/1000)</f>
        <v>0.2413</v>
      </c>
      <c r="H874" s="16" t="n">
        <f aca="false">IF(D874="","",MAX(0,MIN($B$8,IFERROR(LOOKUP(2,1/($U$24:U873&lt;&gt;""),$U$24:U873),$B$11))))</f>
        <v>131.772294549813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13.5822185391692</v>
      </c>
      <c r="J874" s="16" t="n">
        <f aca="false">IF(D874="","",$B$12)</f>
        <v>0.432</v>
      </c>
      <c r="K874" s="16" t="n">
        <f aca="false">IF(J874="","",J874*$B$15)</f>
        <v>1.119744</v>
      </c>
      <c r="L874" s="16" t="n">
        <f aca="false">IF(D874="","",H874+E874-K874-G874*I874)</f>
        <v>127.900011974639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13.3002901699589</v>
      </c>
      <c r="N874" s="16" t="n">
        <f aca="false">IF(D874="","",(I874+M874)/2)</f>
        <v>13.4412543545641</v>
      </c>
      <c r="O874" s="16" t="n">
        <f aca="false">IF(D874="","",G874*N874)</f>
        <v>3.24337467575631</v>
      </c>
      <c r="P874" s="16" t="n">
        <f aca="false">IF(D874="","",H874+E874-K874-O874)</f>
        <v>127.934026632385</v>
      </c>
      <c r="Q874" s="16" t="n">
        <f aca="false">IF(D874="","",IF(P874&gt;=0,K874,MAX(0,K874+P874)))</f>
        <v>1.119744</v>
      </c>
      <c r="R874" s="16" t="n">
        <f aca="false">IF(D874="","",Q874/$B$15)</f>
        <v>0.432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127.934026632385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78.9716213780152</v>
      </c>
      <c r="Z874" s="18" t="n">
        <f aca="false">IF(D874="","",MAX(0,IF(P874&gt;=0,P874,IF(K874+P874&gt;=0,0,P874+K874))))</f>
        <v>127.934026632385</v>
      </c>
      <c r="AA874" s="18" t="n">
        <f aca="false">IF(D874="","",IF(H874&lt;=$B$16,1,IF(H874&gt;=$B$17,$B$21,MATCH(H874,Aux_CAV!$A$2:$A$121,1))))</f>
        <v>22</v>
      </c>
      <c r="AB874" s="18" t="n">
        <f aca="false">IF(D874="","",IF(L874&lt;=$B$16,1,IF(L874&gt;=$B$17,$B$21,MATCH(L874,Aux_CAV!$A$2:$A$121,1))))</f>
        <v>22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0.232805497566714</v>
      </c>
      <c r="E875" s="16" t="n">
        <f aca="false">IF(D875="","",D875*$B$15)</f>
        <v>0.603431849692923</v>
      </c>
      <c r="F875" s="16" t="n">
        <f aca="false" t="array" ref="F875:F875">IF(D875="","",IFERROR(INDEX(Dados_Evap!$C$2:$N$15,MATCH($B$9,Dados_Evap!$A$2:$A$15,0),C875),0))</f>
        <v>241.8</v>
      </c>
      <c r="G875" s="16" t="n">
        <f aca="false">IF(F875="","",F875/1000)</f>
        <v>0.2418</v>
      </c>
      <c r="H875" s="16" t="n">
        <f aca="false">IF(D875="","",MAX(0,MIN($B$8,IFERROR(LOOKUP(2,1/($U$24:U874&lt;&gt;""),$U$24:U874),$B$11))))</f>
        <v>127.934026632385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13.3027666671673</v>
      </c>
      <c r="J875" s="16" t="n">
        <f aca="false">IF(D875="","",$B$12)</f>
        <v>0.432</v>
      </c>
      <c r="K875" s="16" t="n">
        <f aca="false">IF(J875="","",J875*$B$15)</f>
        <v>1.119744</v>
      </c>
      <c r="L875" s="16" t="n">
        <f aca="false">IF(D875="","",H875+E875-K875-G875*I875)</f>
        <v>124.201105501957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13.0309847539775</v>
      </c>
      <c r="N875" s="16" t="n">
        <f aca="false">IF(D875="","",(I875+M875)/2)</f>
        <v>13.1668757105724</v>
      </c>
      <c r="O875" s="16" t="n">
        <f aca="false">IF(D875="","",G875*N875)</f>
        <v>3.1837505468164</v>
      </c>
      <c r="P875" s="16" t="n">
        <f aca="false">IF(D875="","",H875+E875-K875-O875)</f>
        <v>124.233963935261</v>
      </c>
      <c r="Q875" s="16" t="n">
        <f aca="false">IF(D875="","",IF(P875&gt;=0,K875,MAX(0,K875+P875)))</f>
        <v>1.119744</v>
      </c>
      <c r="R875" s="16" t="n">
        <f aca="false">IF(D875="","",Q875/$B$15)</f>
        <v>0.432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124.233963935261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76.6876320588032</v>
      </c>
      <c r="Z875" s="18" t="n">
        <f aca="false">IF(D875="","",MAX(0,IF(P875&gt;=0,P875,IF(K875+P875&gt;=0,0,P875+K875))))</f>
        <v>124.233963935261</v>
      </c>
      <c r="AA875" s="18" t="n">
        <f aca="false">IF(D875="","",IF(H875&lt;=$B$16,1,IF(H875&gt;=$B$17,$B$21,MATCH(H875,Aux_CAV!$A$2:$A$121,1))))</f>
        <v>22</v>
      </c>
      <c r="AB875" s="18" t="n">
        <f aca="false">IF(D875="","",IF(L875&lt;=$B$16,1,IF(L875&gt;=$B$17,$B$21,MATCH(L875,Aux_CAV!$A$2:$A$121,1))))</f>
        <v>22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0.275292666511752</v>
      </c>
      <c r="E876" s="16" t="n">
        <f aca="false">IF(D876="","",D876*$B$15)</f>
        <v>0.713558591598461</v>
      </c>
      <c r="F876" s="16" t="n">
        <f aca="false" t="array" ref="F876:F876">IF(D876="","",IFERROR(INDEX(Dados_Evap!$C$2:$N$15,MATCH($B$9,Dados_Evap!$A$2:$A$15,0),C876),0))</f>
        <v>189</v>
      </c>
      <c r="G876" s="16" t="n">
        <f aca="false">IF(F876="","",F876/1000)</f>
        <v>0.189</v>
      </c>
      <c r="H876" s="16" t="n">
        <f aca="false">IF(D876="","",MAX(0,MIN($B$8,IFERROR(LOOKUP(2,1/($U$24:U875&lt;&gt;""),$U$24:U875),$B$11))))</f>
        <v>124.233963935261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13.0333770702242</v>
      </c>
      <c r="J876" s="16" t="n">
        <f aca="false">IF(D876="","",$B$12)</f>
        <v>0.432</v>
      </c>
      <c r="K876" s="16" t="n">
        <f aca="false">IF(J876="","",J876*$B$15)</f>
        <v>1.119744</v>
      </c>
      <c r="L876" s="16" t="n">
        <f aca="false">IF(D876="","",H876+E876-K876-G876*I876)</f>
        <v>121.364470260587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12.8244585172893</v>
      </c>
      <c r="N876" s="16" t="n">
        <f aca="false">IF(D876="","",(I876+M876)/2)</f>
        <v>12.9289177937568</v>
      </c>
      <c r="O876" s="16" t="n">
        <f aca="false">IF(D876="","",G876*N876)</f>
        <v>2.44356546302003</v>
      </c>
      <c r="P876" s="16" t="n">
        <f aca="false">IF(D876="","",H876+E876-K876-O876)</f>
        <v>121.38421306384</v>
      </c>
      <c r="Q876" s="16" t="n">
        <f aca="false">IF(D876="","",IF(P876&gt;=0,K876,MAX(0,K876+P876)))</f>
        <v>1.119744</v>
      </c>
      <c r="R876" s="16" t="n">
        <f aca="false">IF(D876="","",Q876/$B$15)</f>
        <v>0.432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121.38421306384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74.928526582617</v>
      </c>
      <c r="Z876" s="18" t="n">
        <f aca="false">IF(D876="","",MAX(0,IF(P876&gt;=0,P876,IF(K876+P876&gt;=0,0,P876+K876))))</f>
        <v>121.38421306384</v>
      </c>
      <c r="AA876" s="18" t="n">
        <f aca="false">IF(D876="","",IF(H876&lt;=$B$16,1,IF(H876&gt;=$B$17,$B$21,MATCH(H876,Aux_CAV!$A$2:$A$121,1))))</f>
        <v>22</v>
      </c>
      <c r="AB876" s="18" t="n">
        <f aca="false">IF(D876="","",IF(L876&lt;=$B$16,1,IF(L876&gt;=$B$17,$B$21,MATCH(L876,Aux_CAV!$A$2:$A$121,1))))</f>
        <v>22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0.234464316054613</v>
      </c>
      <c r="E877" s="16" t="n">
        <f aca="false">IF(D877="","",D877*$B$15)</f>
        <v>0.607731507213557</v>
      </c>
      <c r="F877" s="16" t="n">
        <f aca="false" t="array" ref="F877:F877">IF(D877="","",IFERROR(INDEX(Dados_Evap!$C$2:$N$15,MATCH($B$9,Dados_Evap!$A$2:$A$15,0),C877),0))</f>
        <v>136.9</v>
      </c>
      <c r="G877" s="16" t="n">
        <f aca="false">IF(F877="","",F877/1000)</f>
        <v>0.1369</v>
      </c>
      <c r="H877" s="16" t="n">
        <f aca="false">IF(D877="","",MAX(0,MIN($B$8,IFERROR(LOOKUP(2,1/($U$24:U876&lt;&gt;""),$U$24:U876),$B$11))))</f>
        <v>121.38421306384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12.8258959269351</v>
      </c>
      <c r="J877" s="16" t="n">
        <f aca="false">IF(D877="","",$B$12)</f>
        <v>0.432</v>
      </c>
      <c r="K877" s="16" t="n">
        <f aca="false">IF(J877="","",J877*$B$15)</f>
        <v>1.119744</v>
      </c>
      <c r="L877" s="16" t="n">
        <f aca="false">IF(D877="","",H877+E877-K877-G877*I877)</f>
        <v>119.116335418656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12.6607790911508</v>
      </c>
      <c r="N877" s="16" t="n">
        <f aca="false">IF(D877="","",(I877+M877)/2)</f>
        <v>12.743337509043</v>
      </c>
      <c r="O877" s="16" t="n">
        <f aca="false">IF(D877="","",G877*N877)</f>
        <v>1.74456290498798</v>
      </c>
      <c r="P877" s="16" t="n">
        <f aca="false">IF(D877="","",H877+E877-K877-O877)</f>
        <v>119.127637666065</v>
      </c>
      <c r="Q877" s="16" t="n">
        <f aca="false">IF(D877="","",IF(P877&gt;=0,K877,MAX(0,K877+P877)))</f>
        <v>1.119744</v>
      </c>
      <c r="R877" s="16" t="n">
        <f aca="false">IF(D877="","",Q877/$B$15)</f>
        <v>0.432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119.127637666065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73.5355788062131</v>
      </c>
      <c r="Z877" s="18" t="n">
        <f aca="false">IF(D877="","",MAX(0,IF(P877&gt;=0,P877,IF(K877+P877&gt;=0,0,P877+K877))))</f>
        <v>119.127637666065</v>
      </c>
      <c r="AA877" s="18" t="n">
        <f aca="false">IF(D877="","",IF(H877&lt;=$B$16,1,IF(H877&gt;=$B$17,$B$21,MATCH(H877,Aux_CAV!$A$2:$A$121,1))))</f>
        <v>22</v>
      </c>
      <c r="AB877" s="18" t="n">
        <f aca="false">IF(D877="","",IF(L877&lt;=$B$16,1,IF(L877&gt;=$B$17,$B$21,MATCH(L877,Aux_CAV!$A$2:$A$121,1))))</f>
        <v>22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2.16929798443538</v>
      </c>
      <c r="E878" s="16" t="n">
        <f aca="false">IF(D878="","",D878*$B$15)</f>
        <v>5.62282037565651</v>
      </c>
      <c r="F878" s="16" t="n">
        <f aca="false" t="array" ref="F878:F878">IF(D878="","",IFERROR(INDEX(Dados_Evap!$C$2:$N$15,MATCH($B$9,Dados_Evap!$A$2:$A$15,0),C878),0))</f>
        <v>102.9</v>
      </c>
      <c r="G878" s="16" t="n">
        <f aca="false">IF(F878="","",F878/1000)</f>
        <v>0.1029</v>
      </c>
      <c r="H878" s="16" t="n">
        <f aca="false">IF(D878="","",MAX(0,MIN($B$8,IFERROR(LOOKUP(2,1/($U$24:U877&lt;&gt;""),$U$24:U877),$B$11))))</f>
        <v>119.127637666065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12.661601971227</v>
      </c>
      <c r="J878" s="16" t="n">
        <f aca="false">IF(D878="","",$B$12)</f>
        <v>0.432</v>
      </c>
      <c r="K878" s="16" t="n">
        <f aca="false">IF(J878="","",J878*$B$15)</f>
        <v>1.119744</v>
      </c>
      <c r="L878" s="16" t="n">
        <f aca="false">IF(D878="","",H878+E878-K878-G878*I878)</f>
        <v>122.327835198882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12.8945980023954</v>
      </c>
      <c r="N878" s="16" t="n">
        <f aca="false">IF(D878="","",(I878+M878)/2)</f>
        <v>12.7780999868112</v>
      </c>
      <c r="O878" s="16" t="n">
        <f aca="false">IF(D878="","",G878*N878)</f>
        <v>1.31486648864288</v>
      </c>
      <c r="P878" s="16" t="n">
        <f aca="false">IF(D878="","",H878+E878-K878-O878)</f>
        <v>122.315847553079</v>
      </c>
      <c r="Q878" s="16" t="n">
        <f aca="false">IF(D878="","",IF(P878&gt;=0,K878,MAX(0,K878+P878)))</f>
        <v>1.119744</v>
      </c>
      <c r="R878" s="16" t="n">
        <f aca="false">IF(D878="","",Q878/$B$15)</f>
        <v>0.432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122.315847553079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75.5036096006659</v>
      </c>
      <c r="Z878" s="18" t="n">
        <f aca="false">IF(D878="","",MAX(0,IF(P878&gt;=0,P878,IF(K878+P878&gt;=0,0,P878+K878))))</f>
        <v>122.315847553079</v>
      </c>
      <c r="AA878" s="18" t="n">
        <f aca="false">IF(D878="","",IF(H878&lt;=$B$16,1,IF(H878&gt;=$B$17,$B$21,MATCH(H878,Aux_CAV!$A$2:$A$121,1))))</f>
        <v>22</v>
      </c>
      <c r="AB878" s="18" t="n">
        <f aca="false">IF(D878="","",IF(L878&lt;=$B$16,1,IF(L878&gt;=$B$17,$B$21,MATCH(L878,Aux_CAV!$A$2:$A$121,1))))</f>
        <v>22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1.24459261677518</v>
      </c>
      <c r="E879" s="16" t="n">
        <f aca="false">IF(D879="","",D879*$B$15)</f>
        <v>3.22598406268127</v>
      </c>
      <c r="F879" s="16" t="n">
        <f aca="false" t="array" ref="F879:F879">IF(D879="","",IFERROR(INDEX(Dados_Evap!$C$2:$N$15,MATCH($B$9,Dados_Evap!$A$2:$A$15,0),C879),0))</f>
        <v>81.8</v>
      </c>
      <c r="G879" s="16" t="n">
        <f aca="false">IF(F879="","",F879/1000)</f>
        <v>0.0818</v>
      </c>
      <c r="H879" s="16" t="n">
        <f aca="false">IF(D879="","",MAX(0,MIN($B$8,IFERROR(LOOKUP(2,1/($U$24:U878&lt;&gt;""),$U$24:U878),$B$11))))</f>
        <v>122.315847553079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12.8937252206791</v>
      </c>
      <c r="J879" s="16" t="n">
        <f aca="false">IF(D879="","",$B$12)</f>
        <v>0.432</v>
      </c>
      <c r="K879" s="16" t="n">
        <f aca="false">IF(J879="","",J879*$B$15)</f>
        <v>1.119744</v>
      </c>
      <c r="L879" s="16" t="n">
        <f aca="false">IF(D879="","",H879+E879-K879-G879*I879)</f>
        <v>123.367380892709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12.9702839619013</v>
      </c>
      <c r="N879" s="16" t="n">
        <f aca="false">IF(D879="","",(I879+M879)/2)</f>
        <v>12.9320045912902</v>
      </c>
      <c r="O879" s="16" t="n">
        <f aca="false">IF(D879="","",G879*N879)</f>
        <v>1.05783797556754</v>
      </c>
      <c r="P879" s="16" t="n">
        <f aca="false">IF(D879="","",H879+E879-K879-O879)</f>
        <v>123.364249640193</v>
      </c>
      <c r="Q879" s="16" t="n">
        <f aca="false">IF(D879="","",IF(P879&gt;=0,K879,MAX(0,K879+P879)))</f>
        <v>1.119744</v>
      </c>
      <c r="R879" s="16" t="n">
        <f aca="false">IF(D879="","",Q879/$B$15)</f>
        <v>0.432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123.364249640193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76.1507713828349</v>
      </c>
      <c r="Z879" s="18" t="n">
        <f aca="false">IF(D879="","",MAX(0,IF(P879&gt;=0,P879,IF(K879+P879&gt;=0,0,P879+K879))))</f>
        <v>123.364249640193</v>
      </c>
      <c r="AA879" s="18" t="n">
        <f aca="false">IF(D879="","",IF(H879&lt;=$B$16,1,IF(H879&gt;=$B$17,$B$21,MATCH(H879,Aux_CAV!$A$2:$A$121,1))))</f>
        <v>22</v>
      </c>
      <c r="AB879" s="18" t="n">
        <f aca="false">IF(D879="","",IF(L879&lt;=$B$16,1,IF(L879&gt;=$B$17,$B$21,MATCH(L879,Aux_CAV!$A$2:$A$121,1))))</f>
        <v>22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1.65367879929431</v>
      </c>
      <c r="E880" s="16" t="n">
        <f aca="false">IF(D880="","",D880*$B$15)</f>
        <v>4.28633544777085</v>
      </c>
      <c r="F880" s="16" t="n">
        <f aca="false" t="array" ref="F880:F880">IF(D880="","",IFERROR(INDEX(Dados_Evap!$C$2:$N$15,MATCH($B$9,Dados_Evap!$A$2:$A$15,0),C880),0))</f>
        <v>83.6</v>
      </c>
      <c r="G880" s="16" t="n">
        <f aca="false">IF(F880="","",F880/1000)</f>
        <v>0.0836</v>
      </c>
      <c r="H880" s="16" t="n">
        <f aca="false">IF(D880="","",MAX(0,MIN($B$8,IFERROR(LOOKUP(2,1/($U$24:U879&lt;&gt;""),$U$24:U879),$B$11))))</f>
        <v>123.364249640193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12.9700559855338</v>
      </c>
      <c r="J880" s="16" t="n">
        <f aca="false">IF(D880="","",$B$12)</f>
        <v>0.432</v>
      </c>
      <c r="K880" s="16" t="n">
        <f aca="false">IF(J880="","",J880*$B$15)</f>
        <v>1.119744</v>
      </c>
      <c r="L880" s="16" t="n">
        <f aca="false">IF(D880="","",H880+E880-K880-G880*I880)</f>
        <v>125.446544407573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13.1216611322621</v>
      </c>
      <c r="N880" s="16" t="n">
        <f aca="false">IF(D880="","",(I880+M880)/2)</f>
        <v>13.045858558898</v>
      </c>
      <c r="O880" s="16" t="n">
        <f aca="false">IF(D880="","",G880*N880)</f>
        <v>1.09063377552387</v>
      </c>
      <c r="P880" s="16" t="n">
        <f aca="false">IF(D880="","",H880+E880-K880-O880)</f>
        <v>125.44020731244</v>
      </c>
      <c r="Q880" s="16" t="n">
        <f aca="false">IF(D880="","",IF(P880&gt;=0,K880,MAX(0,K880+P880)))</f>
        <v>1.119744</v>
      </c>
      <c r="R880" s="16" t="n">
        <f aca="false">IF(D880="","",Q880/$B$15)</f>
        <v>0.432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125.44020731244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77.4322267360738</v>
      </c>
      <c r="Z880" s="18" t="n">
        <f aca="false">IF(D880="","",MAX(0,IF(P880&gt;=0,P880,IF(K880+P880&gt;=0,0,P880+K880))))</f>
        <v>125.44020731244</v>
      </c>
      <c r="AA880" s="18" t="n">
        <f aca="false">IF(D880="","",IF(H880&lt;=$B$16,1,IF(H880&gt;=$B$17,$B$21,MATCH(H880,Aux_CAV!$A$2:$A$121,1))))</f>
        <v>22</v>
      </c>
      <c r="AB880" s="18" t="n">
        <f aca="false">IF(D880="","",IF(L880&lt;=$B$16,1,IF(L880&gt;=$B$17,$B$21,MATCH(L880,Aux_CAV!$A$2:$A$121,1))))</f>
        <v>22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0.623252658097486</v>
      </c>
      <c r="E881" s="16" t="n">
        <f aca="false">IF(D881="","",D881*$B$15)</f>
        <v>1.61547088978868</v>
      </c>
      <c r="F881" s="16" t="n">
        <f aca="false" t="array" ref="F881:F881">IF(D881="","",IFERROR(INDEX(Dados_Evap!$C$2:$N$15,MATCH($B$9,Dados_Evap!$A$2:$A$15,0),C881),0))</f>
        <v>108.2</v>
      </c>
      <c r="G881" s="16" t="n">
        <f aca="false">IF(F881="","",F881/1000)</f>
        <v>0.1082</v>
      </c>
      <c r="H881" s="16" t="n">
        <f aca="false">IF(D881="","",MAX(0,MIN($B$8,IFERROR(LOOKUP(2,1/($U$24:U880&lt;&gt;""),$U$24:U880),$B$11))))</f>
        <v>125.44020731244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13.1211997488631</v>
      </c>
      <c r="J881" s="16" t="n">
        <f aca="false">IF(D881="","",$B$12)</f>
        <v>0.432</v>
      </c>
      <c r="K881" s="16" t="n">
        <f aca="false">IF(J881="","",J881*$B$15)</f>
        <v>1.119744</v>
      </c>
      <c r="L881" s="16" t="n">
        <f aca="false">IF(D881="","",H881+E881-K881-G881*I881)</f>
        <v>124.516220389401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13.0539272496778</v>
      </c>
      <c r="N881" s="16" t="n">
        <f aca="false">IF(D881="","",(I881+M881)/2)</f>
        <v>13.0875634992704</v>
      </c>
      <c r="O881" s="16" t="n">
        <f aca="false">IF(D881="","",G881*N881)</f>
        <v>1.41607437062106</v>
      </c>
      <c r="P881" s="16" t="n">
        <f aca="false">IF(D881="","",H881+E881-K881-O881)</f>
        <v>124.519859831607</v>
      </c>
      <c r="Q881" s="16" t="n">
        <f aca="false">IF(D881="","",IF(P881&gt;=0,K881,MAX(0,K881+P881)))</f>
        <v>1.119744</v>
      </c>
      <c r="R881" s="16" t="n">
        <f aca="false">IF(D881="","",Q881/$B$15)</f>
        <v>0.432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124.519859831607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76.8641110071649</v>
      </c>
      <c r="Z881" s="18" t="n">
        <f aca="false">IF(D881="","",MAX(0,IF(P881&gt;=0,P881,IF(K881+P881&gt;=0,0,P881+K881))))</f>
        <v>124.519859831607</v>
      </c>
      <c r="AA881" s="18" t="n">
        <f aca="false">IF(D881="","",IF(H881&lt;=$B$16,1,IF(H881&gt;=$B$17,$B$21,MATCH(H881,Aux_CAV!$A$2:$A$121,1))))</f>
        <v>22</v>
      </c>
      <c r="AB881" s="18" t="n">
        <f aca="false">IF(D881="","",IF(L881&lt;=$B$16,1,IF(L881&gt;=$B$17,$B$21,MATCH(L881,Aux_CAV!$A$2:$A$121,1))))</f>
        <v>22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0.158612833702904</v>
      </c>
      <c r="E882" s="16" t="n">
        <f aca="false">IF(D882="","",D882*$B$15)</f>
        <v>0.411124464957927</v>
      </c>
      <c r="F882" s="16" t="n">
        <f aca="false" t="array" ref="F882:F882">IF(D882="","",IFERROR(INDEX(Dados_Evap!$C$2:$N$15,MATCH($B$9,Dados_Evap!$A$2:$A$15,0),C882),0))</f>
        <v>149</v>
      </c>
      <c r="G882" s="16" t="n">
        <f aca="false">IF(F882="","",F882/1000)</f>
        <v>0.149</v>
      </c>
      <c r="H882" s="16" t="n">
        <f aca="false">IF(D882="","",MAX(0,MIN($B$8,IFERROR(LOOKUP(2,1/($U$24:U881&lt;&gt;""),$U$24:U881),$B$11))))</f>
        <v>124.519859831607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13.0541922256928</v>
      </c>
      <c r="J882" s="16" t="n">
        <f aca="false">IF(D882="","",$B$12)</f>
        <v>0.432</v>
      </c>
      <c r="K882" s="16" t="n">
        <f aca="false">IF(J882="","",J882*$B$15)</f>
        <v>1.119744</v>
      </c>
      <c r="L882" s="16" t="n">
        <f aca="false">IF(D882="","",H882+E882-K882-G882*I882)</f>
        <v>121.866165654937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12.8609853361936</v>
      </c>
      <c r="N882" s="16" t="n">
        <f aca="false">IF(D882="","",(I882+M882)/2)</f>
        <v>12.9575887809432</v>
      </c>
      <c r="O882" s="16" t="n">
        <f aca="false">IF(D882="","",G882*N882)</f>
        <v>1.93068072836054</v>
      </c>
      <c r="P882" s="16" t="n">
        <f aca="false">IF(D882="","",H882+E882-K882-O882)</f>
        <v>121.880559568205</v>
      </c>
      <c r="Q882" s="16" t="n">
        <f aca="false">IF(D882="","",IF(P882&gt;=0,K882,MAX(0,K882+P882)))</f>
        <v>1.119744</v>
      </c>
      <c r="R882" s="16" t="n">
        <f aca="false">IF(D882="","",Q882/$B$15)</f>
        <v>0.432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121.880559568205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75.2349133137065</v>
      </c>
      <c r="Z882" s="18" t="n">
        <f aca="false">IF(D882="","",MAX(0,IF(P882&gt;=0,P882,IF(K882+P882&gt;=0,0,P882+K882))))</f>
        <v>121.880559568205</v>
      </c>
      <c r="AA882" s="18" t="n">
        <f aca="false">IF(D882="","",IF(H882&lt;=$B$16,1,IF(H882&gt;=$B$17,$B$21,MATCH(H882,Aux_CAV!$A$2:$A$121,1))))</f>
        <v>22</v>
      </c>
      <c r="AB882" s="18" t="n">
        <f aca="false">IF(D882="","",IF(L882&lt;=$B$16,1,IF(L882&gt;=$B$17,$B$21,MATCH(L882,Aux_CAV!$A$2:$A$121,1))))</f>
        <v>22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0.149467215091031</v>
      </c>
      <c r="E883" s="16" t="n">
        <f aca="false">IF(D883="","",D883*$B$15)</f>
        <v>0.387419021515952</v>
      </c>
      <c r="F883" s="16" t="n">
        <f aca="false" t="array" ref="F883:F883">IF(D883="","",IFERROR(INDEX(Dados_Evap!$C$2:$N$15,MATCH($B$9,Dados_Evap!$A$2:$A$15,0),C883),0))</f>
        <v>206.8</v>
      </c>
      <c r="G883" s="16" t="n">
        <f aca="false">IF(F883="","",F883/1000)</f>
        <v>0.2068</v>
      </c>
      <c r="H883" s="16" t="n">
        <f aca="false">IF(D883="","",MAX(0,MIN($B$8,IFERROR(LOOKUP(2,1/($U$24:U882&lt;&gt;""),$U$24:U882),$B$11))))</f>
        <v>121.880559568205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12.8620333104608</v>
      </c>
      <c r="J883" s="16" t="n">
        <f aca="false">IF(D883="","",$B$12)</f>
        <v>0.432</v>
      </c>
      <c r="K883" s="16" t="n">
        <f aca="false">IF(J883="","",J883*$B$15)</f>
        <v>1.119744</v>
      </c>
      <c r="L883" s="16" t="n">
        <f aca="false">IF(D883="","",H883+E883-K883-G883*I883)</f>
        <v>118.488366101117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12.6150586763384</v>
      </c>
      <c r="N883" s="16" t="n">
        <f aca="false">IF(D883="","",(I883+M883)/2)</f>
        <v>12.7385459933996</v>
      </c>
      <c r="O883" s="16" t="n">
        <f aca="false">IF(D883="","",G883*N883)</f>
        <v>2.63433131143504</v>
      </c>
      <c r="P883" s="16" t="n">
        <f aca="false">IF(D883="","",H883+E883-K883-O883)</f>
        <v>118.513903278285</v>
      </c>
      <c r="Q883" s="16" t="n">
        <f aca="false">IF(D883="","",IF(P883&gt;=0,K883,MAX(0,K883+P883)))</f>
        <v>1.119744</v>
      </c>
      <c r="R883" s="16" t="n">
        <f aca="false">IF(D883="","",Q883/$B$15)</f>
        <v>0.432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118.513903278285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73.1567304186947</v>
      </c>
      <c r="Z883" s="18" t="n">
        <f aca="false">IF(D883="","",MAX(0,IF(P883&gt;=0,P883,IF(K883+P883&gt;=0,0,P883+K883))))</f>
        <v>118.513903278285</v>
      </c>
      <c r="AA883" s="18" t="n">
        <f aca="false">IF(D883="","",IF(H883&lt;=$B$16,1,IF(H883&gt;=$B$17,$B$21,MATCH(H883,Aux_CAV!$A$2:$A$121,1))))</f>
        <v>22</v>
      </c>
      <c r="AB883" s="18" t="n">
        <f aca="false">IF(D883="","",IF(L883&lt;=$B$16,1,IF(L883&gt;=$B$17,$B$21,MATCH(L883,Aux_CAV!$A$2:$A$121,1))))</f>
        <v>22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0.135450473639118</v>
      </c>
      <c r="E884" s="16" t="n">
        <f aca="false">IF(D884="","",D884*$B$15)</f>
        <v>0.351087627672594</v>
      </c>
      <c r="F884" s="16" t="n">
        <f aca="false" t="array" ref="F884:F884">IF(D884="","",IFERROR(INDEX(Dados_Evap!$C$2:$N$15,MATCH($B$9,Dados_Evap!$A$2:$A$15,0),C884),0))</f>
        <v>245.9</v>
      </c>
      <c r="G884" s="16" t="n">
        <f aca="false">IF(F884="","",F884/1000)</f>
        <v>0.2459</v>
      </c>
      <c r="H884" s="16" t="n">
        <f aca="false">IF(D884="","",MAX(0,MIN($B$8,IFERROR(LOOKUP(2,1/($U$24:U883&lt;&gt;""),$U$24:U883),$B$11))))</f>
        <v>118.513903278285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12.6169179556068</v>
      </c>
      <c r="J884" s="16" t="n">
        <f aca="false">IF(D884="","",$B$12)</f>
        <v>0.432</v>
      </c>
      <c r="K884" s="16" t="n">
        <f aca="false">IF(J884="","",J884*$B$15)</f>
        <v>1.119744</v>
      </c>
      <c r="L884" s="16" t="n">
        <f aca="false">IF(D884="","",H884+E884-K884-G884*I884)</f>
        <v>114.642746780674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12.3350715724615</v>
      </c>
      <c r="N884" s="16" t="n">
        <f aca="false">IF(D884="","",(I884+M884)/2)</f>
        <v>12.4759947640342</v>
      </c>
      <c r="O884" s="16" t="n">
        <f aca="false">IF(D884="","",G884*N884)</f>
        <v>3.067847112476</v>
      </c>
      <c r="P884" s="16" t="n">
        <f aca="false">IF(D884="","",H884+E884-K884-O884)</f>
        <v>114.677399793482</v>
      </c>
      <c r="Q884" s="16" t="n">
        <f aca="false">IF(D884="","",IF(P884&gt;=0,K884,MAX(0,K884+P884)))</f>
        <v>1.119744</v>
      </c>
      <c r="R884" s="16" t="n">
        <f aca="false">IF(D884="","",Q884/$B$15)</f>
        <v>0.432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114.677399793482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70.7885183910383</v>
      </c>
      <c r="Z884" s="18" t="n">
        <f aca="false">IF(D884="","",MAX(0,IF(P884&gt;=0,P884,IF(K884+P884&gt;=0,0,P884+K884))))</f>
        <v>114.677399793482</v>
      </c>
      <c r="AA884" s="18" t="n">
        <f aca="false">IF(D884="","",IF(H884&lt;=$B$16,1,IF(H884&gt;=$B$17,$B$21,MATCH(H884,Aux_CAV!$A$2:$A$121,1))))</f>
        <v>22</v>
      </c>
      <c r="AB884" s="18" t="n">
        <f aca="false">IF(D884="","",IF(L884&lt;=$B$16,1,IF(L884&gt;=$B$17,$B$21,MATCH(L884,Aux_CAV!$A$2:$A$121,1))))</f>
        <v>22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0.125581220440462</v>
      </c>
      <c r="E885" s="16" t="n">
        <f aca="false">IF(D885="","",D885*$B$15)</f>
        <v>0.325506523381678</v>
      </c>
      <c r="F885" s="16" t="n">
        <f aca="false" t="array" ref="F885:F885">IF(D885="","",IFERROR(INDEX(Dados_Evap!$C$2:$N$15,MATCH($B$9,Dados_Evap!$A$2:$A$15,0),C885),0))</f>
        <v>282.3</v>
      </c>
      <c r="G885" s="16" t="n">
        <f aca="false">IF(F885="","",F885/1000)</f>
        <v>0.2823</v>
      </c>
      <c r="H885" s="16" t="n">
        <f aca="false">IF(D885="","",MAX(0,MIN($B$8,IFERROR(LOOKUP(2,1/($U$24:U884&lt;&gt;""),$U$24:U884),$B$11))))</f>
        <v>114.677399793482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12.3375945462372</v>
      </c>
      <c r="J885" s="16" t="n">
        <f aca="false">IF(D885="","",$B$12)</f>
        <v>0.432</v>
      </c>
      <c r="K885" s="16" t="n">
        <f aca="false">IF(J885="","",J885*$B$15)</f>
        <v>1.119744</v>
      </c>
      <c r="L885" s="16" t="n">
        <f aca="false">IF(D885="","",H885+E885-K885-G885*I885)</f>
        <v>110.400259376461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12.0261897870945</v>
      </c>
      <c r="N885" s="16" t="n">
        <f aca="false">IF(D885="","",(I885+M885)/2)</f>
        <v>12.1818921666658</v>
      </c>
      <c r="O885" s="16" t="n">
        <f aca="false">IF(D885="","",G885*N885)</f>
        <v>3.43894815864977</v>
      </c>
      <c r="P885" s="16" t="n">
        <f aca="false">IF(D885="","",H885+E885-K885-O885)</f>
        <v>110.444214158214</v>
      </c>
      <c r="Q885" s="16" t="n">
        <f aca="false">IF(D885="","",IF(P885&gt;=0,K885,MAX(0,K885+P885)))</f>
        <v>1.119744</v>
      </c>
      <c r="R885" s="16" t="n">
        <f aca="false">IF(D885="","",Q885/$B$15)</f>
        <v>0.432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110.444214158214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68.1754408384037</v>
      </c>
      <c r="Z885" s="18" t="n">
        <f aca="false">IF(D885="","",MAX(0,IF(P885&gt;=0,P885,IF(K885+P885&gt;=0,0,P885+K885))))</f>
        <v>110.444214158214</v>
      </c>
      <c r="AA885" s="18" t="n">
        <f aca="false">IF(D885="","",IF(H885&lt;=$B$16,1,IF(H885&gt;=$B$17,$B$21,MATCH(H885,Aux_CAV!$A$2:$A$121,1))))</f>
        <v>22</v>
      </c>
      <c r="AB885" s="18" t="n">
        <f aca="false">IF(D885="","",IF(L885&lt;=$B$16,1,IF(L885&gt;=$B$17,$B$21,MATCH(L885,Aux_CAV!$A$2:$A$121,1))))</f>
        <v>22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0.115975957657159</v>
      </c>
      <c r="E886" s="16" t="n">
        <f aca="false">IF(D886="","",D886*$B$15)</f>
        <v>0.300609682247356</v>
      </c>
      <c r="F886" s="16" t="n">
        <f aca="false" t="array" ref="F886:F886">IF(D886="","",IFERROR(INDEX(Dados_Evap!$C$2:$N$15,MATCH($B$9,Dados_Evap!$A$2:$A$15,0),C886),0))</f>
        <v>241.3</v>
      </c>
      <c r="G886" s="16" t="n">
        <f aca="false">IF(F886="","",F886/1000)</f>
        <v>0.2413</v>
      </c>
      <c r="H886" s="16" t="n">
        <f aca="false">IF(D886="","",MAX(0,MIN($B$8,IFERROR(LOOKUP(2,1/($U$24:U885&lt;&gt;""),$U$24:U885),$B$11))))</f>
        <v>110.444214158214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12.0293899925801</v>
      </c>
      <c r="J886" s="16" t="n">
        <f aca="false">IF(D886="","",$B$12)</f>
        <v>0.432</v>
      </c>
      <c r="K886" s="16" t="n">
        <f aca="false">IF(J886="","",J886*$B$15)</f>
        <v>1.119744</v>
      </c>
      <c r="L886" s="16" t="n">
        <f aca="false">IF(D886="","",H886+E886-K886-G886*I886)</f>
        <v>106.722388035252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11.7584158709965</v>
      </c>
      <c r="N886" s="16" t="n">
        <f aca="false">IF(D886="","",(I886+M886)/2)</f>
        <v>11.8939029317883</v>
      </c>
      <c r="O886" s="16" t="n">
        <f aca="false">IF(D886="","",G886*N886)</f>
        <v>2.86999877744051</v>
      </c>
      <c r="P886" s="16" t="n">
        <f aca="false">IF(D886="","",H886+E886-K886-O886)</f>
        <v>106.755081063021</v>
      </c>
      <c r="Q886" s="16" t="n">
        <f aca="false">IF(D886="","",IF(P886&gt;=0,K886,MAX(0,K886+P886)))</f>
        <v>1.119744</v>
      </c>
      <c r="R886" s="16" t="n">
        <f aca="false">IF(D886="","",Q886/$B$15)</f>
        <v>0.432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106.755081063021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65.8981981870499</v>
      </c>
      <c r="Z886" s="18" t="n">
        <f aca="false">IF(D886="","",MAX(0,IF(P886&gt;=0,P886,IF(K886+P886&gt;=0,0,P886+K886))))</f>
        <v>106.755081063021</v>
      </c>
      <c r="AA886" s="18" t="n">
        <f aca="false">IF(D886="","",IF(H886&lt;=$B$16,1,IF(H886&gt;=$B$17,$B$21,MATCH(H886,Aux_CAV!$A$2:$A$121,1))))</f>
        <v>22</v>
      </c>
      <c r="AB886" s="18" t="n">
        <f aca="false">IF(D886="","",IF(L886&lt;=$B$16,1,IF(L886&gt;=$B$17,$B$21,MATCH(L886,Aux_CAV!$A$2:$A$121,1))))</f>
        <v>22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0.275006823785987</v>
      </c>
      <c r="E887" s="16" t="n">
        <f aca="false">IF(D887="","",D887*$B$15)</f>
        <v>0.712817687253278</v>
      </c>
      <c r="F887" s="16" t="n">
        <f aca="false" t="array" ref="F887:F887">IF(D887="","",IFERROR(INDEX(Dados_Evap!$C$2:$N$15,MATCH($B$9,Dados_Evap!$A$2:$A$15,0),C887),0))</f>
        <v>241.8</v>
      </c>
      <c r="G887" s="16" t="n">
        <f aca="false">IF(F887="","",F887/1000)</f>
        <v>0.2418</v>
      </c>
      <c r="H887" s="16" t="n">
        <f aca="false">IF(D887="","",MAX(0,MIN($B$8,IFERROR(LOOKUP(2,1/($U$24:U886&lt;&gt;""),$U$24:U886),$B$11))))</f>
        <v>106.755081063021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11.7607961446012</v>
      </c>
      <c r="J887" s="16" t="n">
        <f aca="false">IF(D887="","",$B$12)</f>
        <v>0.432</v>
      </c>
      <c r="K887" s="16" t="n">
        <f aca="false">IF(J887="","",J887*$B$15)</f>
        <v>1.119744</v>
      </c>
      <c r="L887" s="16" t="n">
        <f aca="false">IF(D887="","",H887+E887-K887-G887*I887)</f>
        <v>103.50439424251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11.5241241517059</v>
      </c>
      <c r="N887" s="16" t="n">
        <f aca="false">IF(D887="","",(I887+M887)/2)</f>
        <v>11.6424601481535</v>
      </c>
      <c r="O887" s="16" t="n">
        <f aca="false">IF(D887="","",G887*N887)</f>
        <v>2.81514686382352</v>
      </c>
      <c r="P887" s="16" t="n">
        <f aca="false">IF(D887="","",H887+E887-K887-O887)</f>
        <v>103.533007886451</v>
      </c>
      <c r="Q887" s="16" t="n">
        <f aca="false">IF(D887="","",IF(P887&gt;=0,K887,MAX(0,K887+P887)))</f>
        <v>1.119744</v>
      </c>
      <c r="R887" s="16" t="n">
        <f aca="false">IF(D887="","",Q887/$B$15)</f>
        <v>0.432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103.533007886451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63.9092641274386</v>
      </c>
      <c r="Z887" s="18" t="n">
        <f aca="false">IF(D887="","",MAX(0,IF(P887&gt;=0,P887,IF(K887+P887&gt;=0,0,P887+K887))))</f>
        <v>103.533007886451</v>
      </c>
      <c r="AA887" s="18" t="n">
        <f aca="false">IF(D887="","",IF(H887&lt;=$B$16,1,IF(H887&gt;=$B$17,$B$21,MATCH(H887,Aux_CAV!$A$2:$A$121,1))))</f>
        <v>22</v>
      </c>
      <c r="AB887" s="18" t="n">
        <f aca="false">IF(D887="","",IF(L887&lt;=$B$16,1,IF(L887&gt;=$B$17,$B$21,MATCH(L887,Aux_CAV!$A$2:$A$121,1))))</f>
        <v>22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0.293386422149808</v>
      </c>
      <c r="E888" s="16" t="n">
        <f aca="false">IF(D888="","",D888*$B$15)</f>
        <v>0.760457606212302</v>
      </c>
      <c r="F888" s="16" t="n">
        <f aca="false" t="array" ref="F888:F888">IF(D888="","",IFERROR(INDEX(Dados_Evap!$C$2:$N$15,MATCH($B$9,Dados_Evap!$A$2:$A$15,0),C888),0))</f>
        <v>189</v>
      </c>
      <c r="G888" s="16" t="n">
        <f aca="false">IF(F888="","",F888/1000)</f>
        <v>0.189</v>
      </c>
      <c r="H888" s="16" t="n">
        <f aca="false">IF(D888="","",MAX(0,MIN($B$8,IFERROR(LOOKUP(2,1/($U$24:U887&lt;&gt;""),$U$24:U887),$B$11))))</f>
        <v>103.533007886451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11.526207418569</v>
      </c>
      <c r="J888" s="16" t="n">
        <f aca="false">IF(D888="","",$B$12)</f>
        <v>0.432</v>
      </c>
      <c r="K888" s="16" t="n">
        <f aca="false">IF(J888="","",J888*$B$15)</f>
        <v>1.119744</v>
      </c>
      <c r="L888" s="16" t="n">
        <f aca="false">IF(D888="","",H888+E888-K888-G888*I888)</f>
        <v>100.995268290553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11.341442807035</v>
      </c>
      <c r="N888" s="16" t="n">
        <f aca="false">IF(D888="","",(I888+M888)/2)</f>
        <v>11.433825112802</v>
      </c>
      <c r="O888" s="16" t="n">
        <f aca="false">IF(D888="","",G888*N888)</f>
        <v>2.16099294631957</v>
      </c>
      <c r="P888" s="16" t="n">
        <f aca="false">IF(D888="","",H888+E888-K888-O888)</f>
        <v>101.012728546343</v>
      </c>
      <c r="Q888" s="16" t="n">
        <f aca="false">IF(D888="","",IF(P888&gt;=0,K888,MAX(0,K888+P888)))</f>
        <v>1.119744</v>
      </c>
      <c r="R888" s="16" t="n">
        <f aca="false">IF(D888="","",Q888/$B$15)</f>
        <v>0.432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101.012728546343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62.3535361397181</v>
      </c>
      <c r="Z888" s="18" t="n">
        <f aca="false">IF(D888="","",MAX(0,IF(P888&gt;=0,P888,IF(K888+P888&gt;=0,0,P888+K888))))</f>
        <v>101.012728546343</v>
      </c>
      <c r="AA888" s="18" t="n">
        <f aca="false">IF(D888="","",IF(H888&lt;=$B$16,1,IF(H888&gt;=$B$17,$B$21,MATCH(H888,Aux_CAV!$A$2:$A$121,1))))</f>
        <v>22</v>
      </c>
      <c r="AB888" s="18" t="n">
        <f aca="false">IF(D888="","",IF(L888&lt;=$B$16,1,IF(L888&gt;=$B$17,$B$21,MATCH(L888,Aux_CAV!$A$2:$A$121,1))))</f>
        <v>22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0.427526378220381</v>
      </c>
      <c r="E889" s="16" t="n">
        <f aca="false">IF(D889="","",D889*$B$15)</f>
        <v>1.10814837234723</v>
      </c>
      <c r="F889" s="16" t="n">
        <f aca="false" t="array" ref="F889:F889">IF(D889="","",IFERROR(INDEX(Dados_Evap!$C$2:$N$15,MATCH($B$9,Dados_Evap!$A$2:$A$15,0),C889),0))</f>
        <v>136.9</v>
      </c>
      <c r="G889" s="16" t="n">
        <f aca="false">IF(F889="","",F889/1000)</f>
        <v>0.1369</v>
      </c>
      <c r="H889" s="16" t="n">
        <f aca="false">IF(D889="","",MAX(0,MIN($B$8,IFERROR(LOOKUP(2,1/($U$24:U888&lt;&gt;""),$U$24:U888),$B$11))))</f>
        <v>101.012728546343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11.342714031783</v>
      </c>
      <c r="J889" s="16" t="n">
        <f aca="false">IF(D889="","",$B$12)</f>
        <v>0.432</v>
      </c>
      <c r="K889" s="16" t="n">
        <f aca="false">IF(J889="","",J889*$B$15)</f>
        <v>1.119744</v>
      </c>
      <c r="L889" s="16" t="n">
        <f aca="false">IF(D889="","",H889+E889-K889-G889*I889)</f>
        <v>99.4483153677395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11.2288141684201</v>
      </c>
      <c r="N889" s="16" t="n">
        <f aca="false">IF(D889="","",(I889+M889)/2)</f>
        <v>11.2857641001016</v>
      </c>
      <c r="O889" s="16" t="n">
        <f aca="false">IF(D889="","",G889*N889)</f>
        <v>1.5450211053039</v>
      </c>
      <c r="P889" s="16" t="n">
        <f aca="false">IF(D889="","",H889+E889-K889-O889)</f>
        <v>99.4561118133866</v>
      </c>
      <c r="Q889" s="16" t="n">
        <f aca="false">IF(D889="","",IF(P889&gt;=0,K889,MAX(0,K889+P889)))</f>
        <v>1.119744</v>
      </c>
      <c r="R889" s="16" t="n">
        <f aca="false">IF(D889="","",Q889/$B$15)</f>
        <v>0.432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99.4561118133866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61.3926616132016</v>
      </c>
      <c r="Z889" s="18" t="n">
        <f aca="false">IF(D889="","",MAX(0,IF(P889&gt;=0,P889,IF(K889+P889&gt;=0,0,P889+K889))))</f>
        <v>99.4561118133866</v>
      </c>
      <c r="AA889" s="18" t="n">
        <f aca="false">IF(D889="","",IF(H889&lt;=$B$16,1,IF(H889&gt;=$B$17,$B$21,MATCH(H889,Aux_CAV!$A$2:$A$121,1))))</f>
        <v>22</v>
      </c>
      <c r="AB889" s="18" t="n">
        <f aca="false">IF(D889="","",IF(L889&lt;=$B$16,1,IF(L889&gt;=$B$17,$B$21,MATCH(L889,Aux_CAV!$A$2:$A$121,1))))</f>
        <v>22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1.6556264259753</v>
      </c>
      <c r="E890" s="16" t="n">
        <f aca="false">IF(D890="","",D890*$B$15)</f>
        <v>4.29138369612798</v>
      </c>
      <c r="F890" s="16" t="n">
        <f aca="false" t="array" ref="F890:F890">IF(D890="","",IFERROR(INDEX(Dados_Evap!$C$2:$N$15,MATCH($B$9,Dados_Evap!$A$2:$A$15,0),C890),0))</f>
        <v>102.9</v>
      </c>
      <c r="G890" s="16" t="n">
        <f aca="false">IF(F890="","",F890/1000)</f>
        <v>0.1029</v>
      </c>
      <c r="H890" s="16" t="n">
        <f aca="false">IF(D890="","",MAX(0,MIN($B$8,IFERROR(LOOKUP(2,1/($U$24:U889&lt;&gt;""),$U$24:U889),$B$11))))</f>
        <v>99.4561118133866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11.2293818024097</v>
      </c>
      <c r="J890" s="16" t="n">
        <f aca="false">IF(D890="","",$B$12)</f>
        <v>0.432</v>
      </c>
      <c r="K890" s="16" t="n">
        <f aca="false">IF(J890="","",J890*$B$15)</f>
        <v>1.119744</v>
      </c>
      <c r="L890" s="16" t="n">
        <f aca="false">IF(D890="","",H890+E890-K890-G890*I890)</f>
        <v>101.472248122047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11.3761701657513</v>
      </c>
      <c r="N890" s="16" t="n">
        <f aca="false">IF(D890="","",(I890+M890)/2)</f>
        <v>11.3027759840805</v>
      </c>
      <c r="O890" s="16" t="n">
        <f aca="false">IF(D890="","",G890*N890)</f>
        <v>1.16305564876189</v>
      </c>
      <c r="P890" s="16" t="n">
        <f aca="false">IF(D890="","",H890+E890-K890-O890)</f>
        <v>101.464695860753</v>
      </c>
      <c r="Q890" s="16" t="n">
        <f aca="false">IF(D890="","",IF(P890&gt;=0,K890,MAX(0,K890+P890)))</f>
        <v>1.119744</v>
      </c>
      <c r="R890" s="16" t="n">
        <f aca="false">IF(D890="","",Q890/$B$15)</f>
        <v>0.432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101.464695860753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62.6325283091066</v>
      </c>
      <c r="Z890" s="18" t="n">
        <f aca="false">IF(D890="","",MAX(0,IF(P890&gt;=0,P890,IF(K890+P890&gt;=0,0,P890+K890))))</f>
        <v>101.464695860753</v>
      </c>
      <c r="AA890" s="18" t="n">
        <f aca="false">IF(D890="","",IF(H890&lt;=$B$16,1,IF(H890&gt;=$B$17,$B$21,MATCH(H890,Aux_CAV!$A$2:$A$121,1))))</f>
        <v>22</v>
      </c>
      <c r="AB890" s="18" t="n">
        <f aca="false">IF(D890="","",IF(L890&lt;=$B$16,1,IF(L890&gt;=$B$17,$B$21,MATCH(L890,Aux_CAV!$A$2:$A$121,1))))</f>
        <v>22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3.01240397269858</v>
      </c>
      <c r="E891" s="16" t="n">
        <f aca="false">IF(D891="","",D891*$B$15)</f>
        <v>7.80815109723472</v>
      </c>
      <c r="F891" s="16" t="n">
        <f aca="false" t="array" ref="F891:F891">IF(D891="","",IFERROR(INDEX(Dados_Evap!$C$2:$N$15,MATCH($B$9,Dados_Evap!$A$2:$A$15,0),C891),0))</f>
        <v>81.8</v>
      </c>
      <c r="G891" s="16" t="n">
        <f aca="false">IF(F891="","",F891/1000)</f>
        <v>0.0818</v>
      </c>
      <c r="H891" s="16" t="n">
        <f aca="false">IF(D891="","",MAX(0,MIN($B$8,IFERROR(LOOKUP(2,1/($U$24:U890&lt;&gt;""),$U$24:U890),$B$11))))</f>
        <v>101.464695860753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11.3756203100347</v>
      </c>
      <c r="J891" s="16" t="n">
        <f aca="false">IF(D891="","",$B$12)</f>
        <v>0.432</v>
      </c>
      <c r="K891" s="16" t="n">
        <f aca="false">IF(J891="","",J891*$B$15)</f>
        <v>1.119744</v>
      </c>
      <c r="L891" s="16" t="n">
        <f aca="false">IF(D891="","",H891+E891-K891-G891*I891)</f>
        <v>107.222577216627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11.7948330274059</v>
      </c>
      <c r="N891" s="16" t="n">
        <f aca="false">IF(D891="","",(I891+M891)/2)</f>
        <v>11.5852266687203</v>
      </c>
      <c r="O891" s="16" t="n">
        <f aca="false">IF(D891="","",G891*N891)</f>
        <v>0.947671541501322</v>
      </c>
      <c r="P891" s="16" t="n">
        <f aca="false">IF(D891="","",H891+E891-K891-O891)</f>
        <v>107.205431416486</v>
      </c>
      <c r="Q891" s="16" t="n">
        <f aca="false">IF(D891="","",IF(P891&gt;=0,K891,MAX(0,K891+P891)))</f>
        <v>1.119744</v>
      </c>
      <c r="R891" s="16" t="n">
        <f aca="false">IF(D891="","",Q891/$B$15)</f>
        <v>0.432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107.205431416486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66.1761922323989</v>
      </c>
      <c r="Z891" s="18" t="n">
        <f aca="false">IF(D891="","",MAX(0,IF(P891&gt;=0,P891,IF(K891+P891&gt;=0,0,P891+K891))))</f>
        <v>107.205431416486</v>
      </c>
      <c r="AA891" s="18" t="n">
        <f aca="false">IF(D891="","",IF(H891&lt;=$B$16,1,IF(H891&gt;=$B$17,$B$21,MATCH(H891,Aux_CAV!$A$2:$A$121,1))))</f>
        <v>22</v>
      </c>
      <c r="AB891" s="18" t="n">
        <f aca="false">IF(D891="","",IF(L891&lt;=$B$16,1,IF(L891&gt;=$B$17,$B$21,MATCH(L891,Aux_CAV!$A$2:$A$121,1))))</f>
        <v>22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4.65883977518252</v>
      </c>
      <c r="E892" s="16" t="n">
        <f aca="false">IF(D892="","",D892*$B$15)</f>
        <v>12.0757126972731</v>
      </c>
      <c r="F892" s="16" t="n">
        <f aca="false" t="array" ref="F892:F892">IF(D892="","",IFERROR(INDEX(Dados_Evap!$C$2:$N$15,MATCH($B$9,Dados_Evap!$A$2:$A$15,0),C892),0))</f>
        <v>83.6</v>
      </c>
      <c r="G892" s="16" t="n">
        <f aca="false">IF(F892="","",F892/1000)</f>
        <v>0.0836</v>
      </c>
      <c r="H892" s="16" t="n">
        <f aca="false">IF(D892="","",MAX(0,MIN($B$8,IFERROR(LOOKUP(2,1/($U$24:U891&lt;&gt;""),$U$24:U891),$B$11))))</f>
        <v>107.205431416486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11.7935846971566</v>
      </c>
      <c r="J892" s="16" t="n">
        <f aca="false">IF(D892="","",$B$12)</f>
        <v>0.432</v>
      </c>
      <c r="K892" s="16" t="n">
        <f aca="false">IF(J892="","",J892*$B$15)</f>
        <v>1.119744</v>
      </c>
      <c r="L892" s="16" t="n">
        <f aca="false">IF(D892="","",H892+E892-K892-G892*I892)</f>
        <v>117.175456433077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12.5194699700792</v>
      </c>
      <c r="N892" s="16" t="n">
        <f aca="false">IF(D892="","",(I892+M892)/2)</f>
        <v>12.1565273336179</v>
      </c>
      <c r="O892" s="16" t="n">
        <f aca="false">IF(D892="","",G892*N892)</f>
        <v>1.01628568509046</v>
      </c>
      <c r="P892" s="16" t="n">
        <f aca="false">IF(D892="","",H892+E892-K892-O892)</f>
        <v>117.145114428669</v>
      </c>
      <c r="Q892" s="16" t="n">
        <f aca="false">IF(D892="","",IF(P892&gt;=0,K892,MAX(0,K892+P892)))</f>
        <v>1.119744</v>
      </c>
      <c r="R892" s="16" t="n">
        <f aca="false">IF(D892="","",Q892/$B$15)</f>
        <v>0.432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117.145114428669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72.3117990300425</v>
      </c>
      <c r="Z892" s="18" t="n">
        <f aca="false">IF(D892="","",MAX(0,IF(P892&gt;=0,P892,IF(K892+P892&gt;=0,0,P892+K892))))</f>
        <v>117.145114428669</v>
      </c>
      <c r="AA892" s="18" t="n">
        <f aca="false">IF(D892="","",IF(H892&lt;=$B$16,1,IF(H892&gt;=$B$17,$B$21,MATCH(H892,Aux_CAV!$A$2:$A$121,1))))</f>
        <v>22</v>
      </c>
      <c r="AB892" s="18" t="n">
        <f aca="false">IF(D892="","",IF(L892&lt;=$B$16,1,IF(L892&gt;=$B$17,$B$21,MATCH(L892,Aux_CAV!$A$2:$A$121,1))))</f>
        <v>22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2.04357379754555</v>
      </c>
      <c r="E893" s="16" t="n">
        <f aca="false">IF(D893="","",D893*$B$15)</f>
        <v>5.29694328323807</v>
      </c>
      <c r="F893" s="16" t="n">
        <f aca="false" t="array" ref="F893:F893">IF(D893="","",IFERROR(INDEX(Dados_Evap!$C$2:$N$15,MATCH($B$9,Dados_Evap!$A$2:$A$15,0),C893),0))</f>
        <v>108.2</v>
      </c>
      <c r="G893" s="16" t="n">
        <f aca="false">IF(F893="","",F893/1000)</f>
        <v>0.1082</v>
      </c>
      <c r="H893" s="16" t="n">
        <f aca="false">IF(D893="","",MAX(0,MIN($B$8,IFERROR(LOOKUP(2,1/($U$24:U892&lt;&gt;""),$U$24:U892),$B$11))))</f>
        <v>117.145114428669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12.517260866881</v>
      </c>
      <c r="J893" s="16" t="n">
        <f aca="false">IF(D893="","",$B$12)</f>
        <v>0.432</v>
      </c>
      <c r="K893" s="16" t="n">
        <f aca="false">IF(J893="","",J893*$B$15)</f>
        <v>1.119744</v>
      </c>
      <c r="L893" s="16" t="n">
        <f aca="false">IF(D893="","",H893+E893-K893-G893*I893)</f>
        <v>119.96794608611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12.7227821092717</v>
      </c>
      <c r="N893" s="16" t="n">
        <f aca="false">IF(D893="","",(I893+M893)/2)</f>
        <v>12.6200214880763</v>
      </c>
      <c r="O893" s="16" t="n">
        <f aca="false">IF(D893="","",G893*N893)</f>
        <v>1.36548632500986</v>
      </c>
      <c r="P893" s="16" t="n">
        <f aca="false">IF(D893="","",H893+E893-K893-O893)</f>
        <v>119.956827386897</v>
      </c>
      <c r="Q893" s="16" t="n">
        <f aca="false">IF(D893="","",IF(P893&gt;=0,K893,MAX(0,K893+P893)))</f>
        <v>1.119744</v>
      </c>
      <c r="R893" s="16" t="n">
        <f aca="false">IF(D893="","",Q893/$B$15)</f>
        <v>0.432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119.956827386897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74.0474243128994</v>
      </c>
      <c r="Z893" s="18" t="n">
        <f aca="false">IF(D893="","",MAX(0,IF(P893&gt;=0,P893,IF(K893+P893&gt;=0,0,P893+K893))))</f>
        <v>119.956827386897</v>
      </c>
      <c r="AA893" s="18" t="n">
        <f aca="false">IF(D893="","",IF(H893&lt;=$B$16,1,IF(H893&gt;=$B$17,$B$21,MATCH(H893,Aux_CAV!$A$2:$A$121,1))))</f>
        <v>22</v>
      </c>
      <c r="AB893" s="18" t="n">
        <f aca="false">IF(D893="","",IF(L893&lt;=$B$16,1,IF(L893&gt;=$B$17,$B$21,MATCH(L893,Aux_CAV!$A$2:$A$121,1))))</f>
        <v>22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0.944747267962914</v>
      </c>
      <c r="E894" s="16" t="n">
        <f aca="false">IF(D894="","",D894*$B$15)</f>
        <v>2.44878491855987</v>
      </c>
      <c r="F894" s="16" t="n">
        <f aca="false" t="array" ref="F894:F894">IF(D894="","",IFERROR(INDEX(Dados_Evap!$C$2:$N$15,MATCH($B$9,Dados_Evap!$A$2:$A$15,0),C894),0))</f>
        <v>149</v>
      </c>
      <c r="G894" s="16" t="n">
        <f aca="false">IF(F894="","",F894/1000)</f>
        <v>0.149</v>
      </c>
      <c r="H894" s="16" t="n">
        <f aca="false">IF(D894="","",MAX(0,MIN($B$8,IFERROR(LOOKUP(2,1/($U$24:U893&lt;&gt;""),$U$24:U893),$B$11))))</f>
        <v>119.956827386897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12.7219725927459</v>
      </c>
      <c r="J894" s="16" t="n">
        <f aca="false">IF(D894="","",$B$12)</f>
        <v>0.432</v>
      </c>
      <c r="K894" s="16" t="n">
        <f aca="false">IF(J894="","",J894*$B$15)</f>
        <v>1.119744</v>
      </c>
      <c r="L894" s="16" t="n">
        <f aca="false">IF(D894="","",H894+E894-K894-G894*I894)</f>
        <v>119.390294389138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12.6807251576579</v>
      </c>
      <c r="N894" s="16" t="n">
        <f aca="false">IF(D894="","",(I894+M894)/2)</f>
        <v>12.7013488752019</v>
      </c>
      <c r="O894" s="16" t="n">
        <f aca="false">IF(D894="","",G894*N894)</f>
        <v>1.89250098240509</v>
      </c>
      <c r="P894" s="16" t="n">
        <f aca="false">IF(D894="","",H894+E894-K894-O894)</f>
        <v>119.393367323052</v>
      </c>
      <c r="Q894" s="16" t="n">
        <f aca="false">IF(D894="","",IF(P894&gt;=0,K894,MAX(0,K894+P894)))</f>
        <v>1.119744</v>
      </c>
      <c r="R894" s="16" t="n">
        <f aca="false">IF(D894="","",Q894/$B$15)</f>
        <v>0.432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119.393367323052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73.6996094586739</v>
      </c>
      <c r="Z894" s="18" t="n">
        <f aca="false">IF(D894="","",MAX(0,IF(P894&gt;=0,P894,IF(K894+P894&gt;=0,0,P894+K894))))</f>
        <v>119.393367323052</v>
      </c>
      <c r="AA894" s="18" t="n">
        <f aca="false">IF(D894="","",IF(H894&lt;=$B$16,1,IF(H894&gt;=$B$17,$B$21,MATCH(H894,Aux_CAV!$A$2:$A$121,1))))</f>
        <v>22</v>
      </c>
      <c r="AB894" s="18" t="n">
        <f aca="false">IF(D894="","",IF(L894&lt;=$B$16,1,IF(L894&gt;=$B$17,$B$21,MATCH(L894,Aux_CAV!$A$2:$A$121,1))))</f>
        <v>22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0.555098627042471</v>
      </c>
      <c r="E895" s="16" t="n">
        <f aca="false">IF(D895="","",D895*$B$15)</f>
        <v>1.43881564129409</v>
      </c>
      <c r="F895" s="16" t="n">
        <f aca="false" t="array" ref="F895:F895">IF(D895="","",IFERROR(INDEX(Dados_Evap!$C$2:$N$15,MATCH($B$9,Dados_Evap!$A$2:$A$15,0),C895),0))</f>
        <v>206.8</v>
      </c>
      <c r="G895" s="16" t="n">
        <f aca="false">IF(F895="","",F895/1000)</f>
        <v>0.2068</v>
      </c>
      <c r="H895" s="16" t="n">
        <f aca="false">IF(D895="","",MAX(0,MIN($B$8,IFERROR(LOOKUP(2,1/($U$24:U894&lt;&gt;""),$U$24:U894),$B$11))))</f>
        <v>119.393367323052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12.6809488880366</v>
      </c>
      <c r="J895" s="16" t="n">
        <f aca="false">IF(D895="","",$B$12)</f>
        <v>0.432</v>
      </c>
      <c r="K895" s="16" t="n">
        <f aca="false">IF(J895="","",J895*$B$15)</f>
        <v>1.119744</v>
      </c>
      <c r="L895" s="16" t="n">
        <f aca="false">IF(D895="","",H895+E895-K895-G895*I895)</f>
        <v>117.0900187343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12.5132495275837</v>
      </c>
      <c r="N895" s="16" t="n">
        <f aca="false">IF(D895="","",(I895+M895)/2)</f>
        <v>12.5970992078102</v>
      </c>
      <c r="O895" s="16" t="n">
        <f aca="false">IF(D895="","",G895*N895)</f>
        <v>2.60508011617514</v>
      </c>
      <c r="P895" s="16" t="n">
        <f aca="false">IF(D895="","",H895+E895-K895-O895)</f>
        <v>117.107358848171</v>
      </c>
      <c r="Q895" s="16" t="n">
        <f aca="false">IF(D895="","",IF(P895&gt;=0,K895,MAX(0,K895+P895)))</f>
        <v>1.119744</v>
      </c>
      <c r="R895" s="16" t="n">
        <f aca="false">IF(D895="","",Q895/$B$15)</f>
        <v>0.432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117.107358848171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72.2884931161548</v>
      </c>
      <c r="Z895" s="18" t="n">
        <f aca="false">IF(D895="","",MAX(0,IF(P895&gt;=0,P895,IF(K895+P895&gt;=0,0,P895+K895))))</f>
        <v>117.107358848171</v>
      </c>
      <c r="AA895" s="18" t="n">
        <f aca="false">IF(D895="","",IF(H895&lt;=$B$16,1,IF(H895&gt;=$B$17,$B$21,MATCH(H895,Aux_CAV!$A$2:$A$121,1))))</f>
        <v>22</v>
      </c>
      <c r="AB895" s="18" t="n">
        <f aca="false">IF(D895="","",IF(L895&lt;=$B$16,1,IF(L895&gt;=$B$17,$B$21,MATCH(L895,Aux_CAV!$A$2:$A$121,1))))</f>
        <v>22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0.347925856222402</v>
      </c>
      <c r="E896" s="16" t="n">
        <f aca="false">IF(D896="","",D896*$B$15)</f>
        <v>0.901823819328466</v>
      </c>
      <c r="F896" s="16" t="n">
        <f aca="false" t="array" ref="F896:F896">IF(D896="","",IFERROR(INDEX(Dados_Evap!$C$2:$N$15,MATCH($B$9,Dados_Evap!$A$2:$A$15,0),C896),0))</f>
        <v>245.9</v>
      </c>
      <c r="G896" s="16" t="n">
        <f aca="false">IF(F896="","",F896/1000)</f>
        <v>0.2459</v>
      </c>
      <c r="H896" s="16" t="n">
        <f aca="false">IF(D896="","",MAX(0,MIN($B$8,IFERROR(LOOKUP(2,1/($U$24:U895&lt;&gt;""),$U$24:U895),$B$11))))</f>
        <v>117.107358848171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12.5145120051872</v>
      </c>
      <c r="J896" s="16" t="n">
        <f aca="false">IF(D896="","",$B$12)</f>
        <v>0.432</v>
      </c>
      <c r="K896" s="16" t="n">
        <f aca="false">IF(J896="","",J896*$B$15)</f>
        <v>1.119744</v>
      </c>
      <c r="L896" s="16" t="n">
        <f aca="false">IF(D896="","",H896+E896-K896-G896*I896)</f>
        <v>113.812120165424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12.2745963353077</v>
      </c>
      <c r="N896" s="16" t="n">
        <f aca="false">IF(D896="","",(I896+M896)/2)</f>
        <v>12.3945541702474</v>
      </c>
      <c r="O896" s="16" t="n">
        <f aca="false">IF(D896="","",G896*N896)</f>
        <v>3.04782087046384</v>
      </c>
      <c r="P896" s="16" t="n">
        <f aca="false">IF(D896="","",H896+E896-K896-O896)</f>
        <v>113.841617797035</v>
      </c>
      <c r="Q896" s="16" t="n">
        <f aca="false">IF(D896="","",IF(P896&gt;=0,K896,MAX(0,K896+P896)))</f>
        <v>1.119744</v>
      </c>
      <c r="R896" s="16" t="n">
        <f aca="false">IF(D896="","",Q896/$B$15)</f>
        <v>0.432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113.841617797035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70.2726035784169</v>
      </c>
      <c r="Z896" s="18" t="n">
        <f aca="false">IF(D896="","",MAX(0,IF(P896&gt;=0,P896,IF(K896+P896&gt;=0,0,P896+K896))))</f>
        <v>113.841617797035</v>
      </c>
      <c r="AA896" s="18" t="n">
        <f aca="false">IF(D896="","",IF(H896&lt;=$B$16,1,IF(H896&gt;=$B$17,$B$21,MATCH(H896,Aux_CAV!$A$2:$A$121,1))))</f>
        <v>22</v>
      </c>
      <c r="AB896" s="18" t="n">
        <f aca="false">IF(D896="","",IF(L896&lt;=$B$16,1,IF(L896&gt;=$B$17,$B$21,MATCH(L896,Aux_CAV!$A$2:$A$121,1))))</f>
        <v>22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0.291203935137025</v>
      </c>
      <c r="E897" s="16" t="n">
        <f aca="false">IF(D897="","",D897*$B$15)</f>
        <v>0.754800599875169</v>
      </c>
      <c r="F897" s="16" t="n">
        <f aca="false" t="array" ref="F897:F897">IF(D897="","",IFERROR(INDEX(Dados_Evap!$C$2:$N$15,MATCH($B$9,Dados_Evap!$A$2:$A$15,0),C897),0))</f>
        <v>282.3</v>
      </c>
      <c r="G897" s="16" t="n">
        <f aca="false">IF(F897="","",F897/1000)</f>
        <v>0.2823</v>
      </c>
      <c r="H897" s="16" t="n">
        <f aca="false">IF(D897="","",MAX(0,MIN($B$8,IFERROR(LOOKUP(2,1/($U$24:U896&lt;&gt;""),$U$24:U896),$B$11))))</f>
        <v>113.841617797035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12.2767439624538</v>
      </c>
      <c r="J897" s="16" t="n">
        <f aca="false">IF(D897="","",$B$12)</f>
        <v>0.432</v>
      </c>
      <c r="K897" s="16" t="n">
        <f aca="false">IF(J897="","",J897*$B$15)</f>
        <v>1.119744</v>
      </c>
      <c r="L897" s="16" t="n">
        <f aca="false">IF(D897="","",H897+E897-K897-G897*I897)</f>
        <v>110.01094957631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11.9978453997872</v>
      </c>
      <c r="N897" s="16" t="n">
        <f aca="false">IF(D897="","",(I897+M897)/2)</f>
        <v>12.1372946811205</v>
      </c>
      <c r="O897" s="16" t="n">
        <f aca="false">IF(D897="","",G897*N897)</f>
        <v>3.42635828848031</v>
      </c>
      <c r="P897" s="16" t="n">
        <f aca="false">IF(D897="","",H897+E897-K897-O897)</f>
        <v>110.05031610843</v>
      </c>
      <c r="Q897" s="16" t="n">
        <f aca="false">IF(D897="","",IF(P897&gt;=0,K897,MAX(0,K897+P897)))</f>
        <v>1.119744</v>
      </c>
      <c r="R897" s="16" t="n">
        <f aca="false">IF(D897="","",Q897/$B$15)</f>
        <v>0.432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110.05031610843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67.9322938940927</v>
      </c>
      <c r="Z897" s="18" t="n">
        <f aca="false">IF(D897="","",MAX(0,IF(P897&gt;=0,P897,IF(K897+P897&gt;=0,0,P897+K897))))</f>
        <v>110.05031610843</v>
      </c>
      <c r="AA897" s="18" t="n">
        <f aca="false">IF(D897="","",IF(H897&lt;=$B$16,1,IF(H897&gt;=$B$17,$B$21,MATCH(H897,Aux_CAV!$A$2:$A$121,1))))</f>
        <v>22</v>
      </c>
      <c r="AB897" s="18" t="n">
        <f aca="false">IF(D897="","",IF(L897&lt;=$B$16,1,IF(L897&gt;=$B$17,$B$21,MATCH(L897,Aux_CAV!$A$2:$A$121,1))))</f>
        <v>22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0.263578848240037</v>
      </c>
      <c r="E898" s="16" t="n">
        <f aca="false">IF(D898="","",D898*$B$15)</f>
        <v>0.683196374638176</v>
      </c>
      <c r="F898" s="16" t="n">
        <f aca="false" t="array" ref="F898:F898">IF(D898="","",IFERROR(INDEX(Dados_Evap!$C$2:$N$15,MATCH($B$9,Dados_Evap!$A$2:$A$15,0),C898),0))</f>
        <v>241.3</v>
      </c>
      <c r="G898" s="16" t="n">
        <f aca="false">IF(F898="","",F898/1000)</f>
        <v>0.2413</v>
      </c>
      <c r="H898" s="16" t="n">
        <f aca="false">IF(D898="","",MAX(0,MIN($B$8,IFERROR(LOOKUP(2,1/($U$24:U897&lt;&gt;""),$U$24:U897),$B$11))))</f>
        <v>110.05031610843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12.0007115496579</v>
      </c>
      <c r="J898" s="16" t="n">
        <f aca="false">IF(D898="","",$B$12)</f>
        <v>0.432</v>
      </c>
      <c r="K898" s="16" t="n">
        <f aca="false">IF(J898="","",J898*$B$15)</f>
        <v>1.119744</v>
      </c>
      <c r="L898" s="16" t="n">
        <f aca="false">IF(D898="","",H898+E898-K898-G898*I898)</f>
        <v>106.717996786136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11.7580961583521</v>
      </c>
      <c r="N898" s="16" t="n">
        <f aca="false">IF(D898="","",(I898+M898)/2)</f>
        <v>11.879403854005</v>
      </c>
      <c r="O898" s="16" t="n">
        <f aca="false">IF(D898="","",G898*N898)</f>
        <v>2.8665001499714</v>
      </c>
      <c r="P898" s="16" t="n">
        <f aca="false">IF(D898="","",H898+E898-K898-O898)</f>
        <v>106.747268333097</v>
      </c>
      <c r="Q898" s="16" t="n">
        <f aca="false">IF(D898="","",IF(P898&gt;=0,K898,MAX(0,K898+P898)))</f>
        <v>1.119744</v>
      </c>
      <c r="R898" s="16" t="n">
        <f aca="false">IF(D898="","",Q898/$B$15)</f>
        <v>0.432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106.747268333097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65.8933755142574</v>
      </c>
      <c r="Z898" s="18" t="n">
        <f aca="false">IF(D898="","",MAX(0,IF(P898&gt;=0,P898,IF(K898+P898&gt;=0,0,P898+K898))))</f>
        <v>106.747268333097</v>
      </c>
      <c r="AA898" s="18" t="n">
        <f aca="false">IF(D898="","",IF(H898&lt;=$B$16,1,IF(H898&gt;=$B$17,$B$21,MATCH(H898,Aux_CAV!$A$2:$A$121,1))))</f>
        <v>22</v>
      </c>
      <c r="AB898" s="18" t="n">
        <f aca="false">IF(D898="","",IF(L898&lt;=$B$16,1,IF(L898&gt;=$B$17,$B$21,MATCH(L898,Aux_CAV!$A$2:$A$121,1))))</f>
        <v>22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0.217057472404314</v>
      </c>
      <c r="E899" s="16" t="n">
        <f aca="false">IF(D899="","",D899*$B$15)</f>
        <v>0.562612968471982</v>
      </c>
      <c r="F899" s="16" t="n">
        <f aca="false" t="array" ref="F899:F899">IF(D899="","",IFERROR(INDEX(Dados_Evap!$C$2:$N$15,MATCH($B$9,Dados_Evap!$A$2:$A$15,0),C899),0))</f>
        <v>241.8</v>
      </c>
      <c r="G899" s="16" t="n">
        <f aca="false">IF(F899="","",F899/1000)</f>
        <v>0.2418</v>
      </c>
      <c r="H899" s="16" t="n">
        <f aca="false">IF(D899="","",MAX(0,MIN($B$8,IFERROR(LOOKUP(2,1/($U$24:U898&lt;&gt;""),$U$24:U898),$B$11))))</f>
        <v>106.747268333097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11.7602273250061</v>
      </c>
      <c r="J899" s="16" t="n">
        <f aca="false">IF(D899="","",$B$12)</f>
        <v>0.432</v>
      </c>
      <c r="K899" s="16" t="n">
        <f aca="false">IF(J899="","",J899*$B$15)</f>
        <v>1.119744</v>
      </c>
      <c r="L899" s="16" t="n">
        <f aca="false">IF(D899="","",H899+E899-K899-G899*I899)</f>
        <v>103.346514334383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11.5126294262654</v>
      </c>
      <c r="N899" s="16" t="n">
        <f aca="false">IF(D899="","",(I899+M899)/2)</f>
        <v>11.6364283756357</v>
      </c>
      <c r="O899" s="16" t="n">
        <f aca="false">IF(D899="","",G899*N899)</f>
        <v>2.81368838122872</v>
      </c>
      <c r="P899" s="16" t="n">
        <f aca="false">IF(D899="","",H899+E899-K899-O899)</f>
        <v>103.37644892034</v>
      </c>
      <c r="Q899" s="16" t="n">
        <f aca="false">IF(D899="","",IF(P899&gt;=0,K899,MAX(0,K899+P899)))</f>
        <v>1.119744</v>
      </c>
      <c r="R899" s="16" t="n">
        <f aca="false">IF(D899="","",Q899/$B$15)</f>
        <v>0.432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103.37644892034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63.8126227903335</v>
      </c>
      <c r="Z899" s="18" t="n">
        <f aca="false">IF(D899="","",MAX(0,IF(P899&gt;=0,P899,IF(K899+P899&gt;=0,0,P899+K899))))</f>
        <v>103.37644892034</v>
      </c>
      <c r="AA899" s="18" t="n">
        <f aca="false">IF(D899="","",IF(H899&lt;=$B$16,1,IF(H899&gt;=$B$17,$B$21,MATCH(H899,Aux_CAV!$A$2:$A$121,1))))</f>
        <v>22</v>
      </c>
      <c r="AB899" s="18" t="n">
        <f aca="false">IF(D899="","",IF(L899&lt;=$B$16,1,IF(L899&gt;=$B$17,$B$21,MATCH(L899,Aux_CAV!$A$2:$A$121,1))))</f>
        <v>22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0.182669055190573</v>
      </c>
      <c r="E900" s="16" t="n">
        <f aca="false">IF(D900="","",D900*$B$15)</f>
        <v>0.473478191053965</v>
      </c>
      <c r="F900" s="16" t="n">
        <f aca="false" t="array" ref="F900:F900">IF(D900="","",IFERROR(INDEX(Dados_Evap!$C$2:$N$15,MATCH($B$9,Dados_Evap!$A$2:$A$15,0),C900),0))</f>
        <v>189</v>
      </c>
      <c r="G900" s="16" t="n">
        <f aca="false">IF(F900="","",F900/1000)</f>
        <v>0.189</v>
      </c>
      <c r="H900" s="16" t="n">
        <f aca="false">IF(D900="","",MAX(0,MIN($B$8,IFERROR(LOOKUP(2,1/($U$24:U899&lt;&gt;""),$U$24:U899),$B$11))))</f>
        <v>103.37644892034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11.5148088666441</v>
      </c>
      <c r="J900" s="16" t="n">
        <f aca="false">IF(D900="","",$B$12)</f>
        <v>0.432</v>
      </c>
      <c r="K900" s="16" t="n">
        <f aca="false">IF(J900="","",J900*$B$15)</f>
        <v>1.119744</v>
      </c>
      <c r="L900" s="16" t="n">
        <f aca="false">IF(D900="","",H900+E900-K900-G900*I900)</f>
        <v>100.553884235598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11.3093070616721</v>
      </c>
      <c r="N900" s="16" t="n">
        <f aca="false">IF(D900="","",(I900+M900)/2)</f>
        <v>11.4120579641581</v>
      </c>
      <c r="O900" s="16" t="n">
        <f aca="false">IF(D900="","",G900*N900)</f>
        <v>2.15687895522589</v>
      </c>
      <c r="P900" s="16" t="n">
        <f aca="false">IF(D900="","",H900+E900-K900-O900)</f>
        <v>100.573304156168</v>
      </c>
      <c r="Q900" s="16" t="n">
        <f aca="false">IF(D900="","",IF(P900&gt;=0,K900,MAX(0,K900+P900)))</f>
        <v>1.119744</v>
      </c>
      <c r="R900" s="16" t="n">
        <f aca="false">IF(D900="","",Q900/$B$15)</f>
        <v>0.432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100.573304156168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62.0822865161533</v>
      </c>
      <c r="Z900" s="18" t="n">
        <f aca="false">IF(D900="","",MAX(0,IF(P900&gt;=0,P900,IF(K900+P900&gt;=0,0,P900+K900))))</f>
        <v>100.573304156168</v>
      </c>
      <c r="AA900" s="18" t="n">
        <f aca="false">IF(D900="","",IF(H900&lt;=$B$16,1,IF(H900&gt;=$B$17,$B$21,MATCH(H900,Aux_CAV!$A$2:$A$121,1))))</f>
        <v>22</v>
      </c>
      <c r="AB900" s="18" t="n">
        <f aca="false">IF(D900="","",IF(L900&lt;=$B$16,1,IF(L900&gt;=$B$17,$B$21,MATCH(L900,Aux_CAV!$A$2:$A$121,1))))</f>
        <v>22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0.769917120413007</v>
      </c>
      <c r="E901" s="16" t="n">
        <f aca="false">IF(D901="","",D901*$B$15)</f>
        <v>1.99562517611051</v>
      </c>
      <c r="F901" s="16" t="n">
        <f aca="false" t="array" ref="F901:F901">IF(D901="","",IFERROR(INDEX(Dados_Evap!$C$2:$N$15,MATCH($B$9,Dados_Evap!$A$2:$A$15,0),C901),0))</f>
        <v>136.9</v>
      </c>
      <c r="G901" s="16" t="n">
        <f aca="false">IF(F901="","",F901/1000)</f>
        <v>0.1369</v>
      </c>
      <c r="H901" s="16" t="n">
        <f aca="false">IF(D901="","",MAX(0,MIN($B$8,IFERROR(LOOKUP(2,1/($U$24:U900&lt;&gt;""),$U$24:U900),$B$11))))</f>
        <v>100.573304156168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11.3107209632741</v>
      </c>
      <c r="J901" s="16" t="n">
        <f aca="false">IF(D901="","",$B$12)</f>
        <v>0.432</v>
      </c>
      <c r="K901" s="16" t="n">
        <f aca="false">IF(J901="","",J901*$B$15)</f>
        <v>1.119744</v>
      </c>
      <c r="L901" s="16" t="n">
        <f aca="false">IF(D901="","",H901+E901-K901-G901*I901)</f>
        <v>99.9007476324066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11.2617542981961</v>
      </c>
      <c r="N901" s="16" t="n">
        <f aca="false">IF(D901="","",(I901+M901)/2)</f>
        <v>11.2862376307351</v>
      </c>
      <c r="O901" s="16" t="n">
        <f aca="false">IF(D901="","",G901*N901)</f>
        <v>1.54508593164764</v>
      </c>
      <c r="P901" s="16" t="n">
        <f aca="false">IF(D901="","",H901+E901-K901-O901)</f>
        <v>99.9040994006312</v>
      </c>
      <c r="Q901" s="16" t="n">
        <f aca="false">IF(D901="","",IF(P901&gt;=0,K901,MAX(0,K901+P901)))</f>
        <v>1.119744</v>
      </c>
      <c r="R901" s="16" t="n">
        <f aca="false">IF(D901="","",Q901/$B$15)</f>
        <v>0.432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99.9040994006312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61.6691971608835</v>
      </c>
      <c r="Z901" s="18" t="n">
        <f aca="false">IF(D901="","",MAX(0,IF(P901&gt;=0,P901,IF(K901+P901&gt;=0,0,P901+K901))))</f>
        <v>99.9040994006312</v>
      </c>
      <c r="AA901" s="18" t="n">
        <f aca="false">IF(D901="","",IF(H901&lt;=$B$16,1,IF(H901&gt;=$B$17,$B$21,MATCH(H901,Aux_CAV!$A$2:$A$121,1))))</f>
        <v>22</v>
      </c>
      <c r="AB901" s="18" t="n">
        <f aca="false">IF(D901="","",IF(L901&lt;=$B$16,1,IF(L901&gt;=$B$17,$B$21,MATCH(L901,Aux_CAV!$A$2:$A$121,1))))</f>
        <v>22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1.36217462535595</v>
      </c>
      <c r="E902" s="16" t="n">
        <f aca="false">IF(D902="","",D902*$B$15)</f>
        <v>3.53075662892262</v>
      </c>
      <c r="F902" s="16" t="n">
        <f aca="false" t="array" ref="F902:F902">IF(D902="","",IFERROR(INDEX(Dados_Evap!$C$2:$N$15,MATCH($B$9,Dados_Evap!$A$2:$A$15,0),C902),0))</f>
        <v>102.9</v>
      </c>
      <c r="G902" s="16" t="n">
        <f aca="false">IF(F902="","",F902/1000)</f>
        <v>0.1029</v>
      </c>
      <c r="H902" s="16" t="n">
        <f aca="false">IF(D902="","",MAX(0,MIN($B$8,IFERROR(LOOKUP(2,1/($U$24:U901&lt;&gt;""),$U$24:U901),$B$11))))</f>
        <v>99.9040994006312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11.2619983295991</v>
      </c>
      <c r="J902" s="16" t="n">
        <f aca="false">IF(D902="","",$B$12)</f>
        <v>0.432</v>
      </c>
      <c r="K902" s="16" t="n">
        <f aca="false">IF(J902="","",J902*$B$15)</f>
        <v>1.119744</v>
      </c>
      <c r="L902" s="16" t="n">
        <f aca="false">IF(D902="","",H902+E902-K902-G902*I902)</f>
        <v>101.156252401438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11.3531635394375</v>
      </c>
      <c r="N902" s="16" t="n">
        <f aca="false">IF(D902="","",(I902+M902)/2)</f>
        <v>11.3075809345183</v>
      </c>
      <c r="O902" s="16" t="n">
        <f aca="false">IF(D902="","",G902*N902)</f>
        <v>1.16355007816193</v>
      </c>
      <c r="P902" s="16" t="n">
        <f aca="false">IF(D902="","",H902+E902-K902-O902)</f>
        <v>101.151561951392</v>
      </c>
      <c r="Q902" s="16" t="n">
        <f aca="false">IF(D902="","",IF(P902&gt;=0,K902,MAX(0,K902+P902)))</f>
        <v>1.119744</v>
      </c>
      <c r="R902" s="16" t="n">
        <f aca="false">IF(D902="","",Q902/$B$15)</f>
        <v>0.432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101.151561951392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62.4392357724641</v>
      </c>
      <c r="Z902" s="18" t="n">
        <f aca="false">IF(D902="","",MAX(0,IF(P902&gt;=0,P902,IF(K902+P902&gt;=0,0,P902+K902))))</f>
        <v>101.151561951392</v>
      </c>
      <c r="AA902" s="18" t="n">
        <f aca="false">IF(D902="","",IF(H902&lt;=$B$16,1,IF(H902&gt;=$B$17,$B$21,MATCH(H902,Aux_CAV!$A$2:$A$121,1))))</f>
        <v>22</v>
      </c>
      <c r="AB902" s="18" t="n">
        <f aca="false">IF(D902="","",IF(L902&lt;=$B$16,1,IF(L902&gt;=$B$17,$B$21,MATCH(L902,Aux_CAV!$A$2:$A$121,1))))</f>
        <v>22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1.26991605033502</v>
      </c>
      <c r="E903" s="16" t="n">
        <f aca="false">IF(D903="","",D903*$B$15)</f>
        <v>3.29162240246837</v>
      </c>
      <c r="F903" s="16" t="n">
        <f aca="false" t="array" ref="F903:F903">IF(D903="","",IFERROR(INDEX(Dados_Evap!$C$2:$N$15,MATCH($B$9,Dados_Evap!$A$2:$A$15,0),C903),0))</f>
        <v>81.8</v>
      </c>
      <c r="G903" s="16" t="n">
        <f aca="false">IF(F903="","",F903/1000)</f>
        <v>0.0818</v>
      </c>
      <c r="H903" s="16" t="n">
        <f aca="false">IF(D903="","",MAX(0,MIN($B$8,IFERROR(LOOKUP(2,1/($U$24:U902&lt;&gt;""),$U$24:U902),$B$11))))</f>
        <v>101.151561951392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11.3528220429411</v>
      </c>
      <c r="J903" s="16" t="n">
        <f aca="false">IF(D903="","",$B$12)</f>
        <v>0.432</v>
      </c>
      <c r="K903" s="16" t="n">
        <f aca="false">IF(J903="","",J903*$B$15)</f>
        <v>1.119744</v>
      </c>
      <c r="L903" s="16" t="n">
        <f aca="false">IF(D903="","",H903+E903-K903-G903*I903)</f>
        <v>102.394779510748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11.4433366921896</v>
      </c>
      <c r="N903" s="16" t="n">
        <f aca="false">IF(D903="","",(I903+M903)/2)</f>
        <v>11.3980793675654</v>
      </c>
      <c r="O903" s="16" t="n">
        <f aca="false">IF(D903="","",G903*N903)</f>
        <v>0.932362892266847</v>
      </c>
      <c r="P903" s="16" t="n">
        <f aca="false">IF(D903="","",H903+E903-K903-O903)</f>
        <v>102.391077461593</v>
      </c>
      <c r="Q903" s="16" t="n">
        <f aca="false">IF(D903="","",IF(P903&gt;=0,K903,MAX(0,K903+P903)))</f>
        <v>1.119744</v>
      </c>
      <c r="R903" s="16" t="n">
        <f aca="false">IF(D903="","",Q903/$B$15)</f>
        <v>0.432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102.391077461593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63.2043688034527</v>
      </c>
      <c r="Z903" s="18" t="n">
        <f aca="false">IF(D903="","",MAX(0,IF(P903&gt;=0,P903,IF(K903+P903&gt;=0,0,P903+K903))))</f>
        <v>102.391077461593</v>
      </c>
      <c r="AA903" s="18" t="n">
        <f aca="false">IF(D903="","",IF(H903&lt;=$B$16,1,IF(H903&gt;=$B$17,$B$21,MATCH(H903,Aux_CAV!$A$2:$A$121,1))))</f>
        <v>22</v>
      </c>
      <c r="AB903" s="18" t="n">
        <f aca="false">IF(D903="","",IF(L903&lt;=$B$16,1,IF(L903&gt;=$B$17,$B$21,MATCH(L903,Aux_CAV!$A$2:$A$121,1))))</f>
        <v>22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1.0680283431788</v>
      </c>
      <c r="E904" s="16" t="n">
        <f aca="false">IF(D904="","",D904*$B$15)</f>
        <v>2.76832946551945</v>
      </c>
      <c r="F904" s="16" t="n">
        <f aca="false" t="array" ref="F904:F904">IF(D904="","",IFERROR(INDEX(Dados_Evap!$C$2:$N$15,MATCH($B$9,Dados_Evap!$A$2:$A$15,0),C904),0))</f>
        <v>83.6</v>
      </c>
      <c r="G904" s="16" t="n">
        <f aca="false">IF(F904="","",F904/1000)</f>
        <v>0.0836</v>
      </c>
      <c r="H904" s="16" t="n">
        <f aca="false">IF(D904="","",MAX(0,MIN($B$8,IFERROR(LOOKUP(2,1/($U$24:U903&lt;&gt;""),$U$24:U903),$B$11))))</f>
        <v>102.391077461593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11.4430671579651</v>
      </c>
      <c r="J904" s="16" t="n">
        <f aca="false">IF(D904="","",$B$12)</f>
        <v>0.432</v>
      </c>
      <c r="K904" s="16" t="n">
        <f aca="false">IF(J904="","",J904*$B$15)</f>
        <v>1.119744</v>
      </c>
      <c r="L904" s="16" t="n">
        <f aca="false">IF(D904="","",H904+E904-K904-G904*I904)</f>
        <v>103.083022512707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11.4934454390065</v>
      </c>
      <c r="N904" s="16" t="n">
        <f aca="false">IF(D904="","",(I904+M904)/2)</f>
        <v>11.4682562984858</v>
      </c>
      <c r="O904" s="16" t="n">
        <f aca="false">IF(D904="","",G904*N904)</f>
        <v>0.958746226553413</v>
      </c>
      <c r="P904" s="16" t="n">
        <f aca="false">IF(D904="","",H904+E904-K904-O904)</f>
        <v>103.080916700559</v>
      </c>
      <c r="Q904" s="16" t="n">
        <f aca="false">IF(D904="","",IF(P904&gt;=0,K904,MAX(0,K904+P904)))</f>
        <v>1.119744</v>
      </c>
      <c r="R904" s="16" t="n">
        <f aca="false">IF(D904="","",Q904/$B$15)</f>
        <v>0.432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103.080916700559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63.6301954941725</v>
      </c>
      <c r="Z904" s="18" t="n">
        <f aca="false">IF(D904="","",MAX(0,IF(P904&gt;=0,P904,IF(K904+P904&gt;=0,0,P904+K904))))</f>
        <v>103.080916700559</v>
      </c>
      <c r="AA904" s="18" t="n">
        <f aca="false">IF(D904="","",IF(H904&lt;=$B$16,1,IF(H904&gt;=$B$17,$B$21,MATCH(H904,Aux_CAV!$A$2:$A$121,1))))</f>
        <v>22</v>
      </c>
      <c r="AB904" s="18" t="n">
        <f aca="false">IF(D904="","",IF(L904&lt;=$B$16,1,IF(L904&gt;=$B$17,$B$21,MATCH(L904,Aux_CAV!$A$2:$A$121,1))))</f>
        <v>22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0.23750629806009</v>
      </c>
      <c r="E905" s="16" t="n">
        <f aca="false">IF(D905="","",D905*$B$15)</f>
        <v>0.615616324571753</v>
      </c>
      <c r="F905" s="16" t="n">
        <f aca="false" t="array" ref="F905:F905">IF(D905="","",IFERROR(INDEX(Dados_Evap!$C$2:$N$15,MATCH($B$9,Dados_Evap!$A$2:$A$15,0),C905),0))</f>
        <v>108.2</v>
      </c>
      <c r="G905" s="16" t="n">
        <f aca="false">IF(F905="","",F905/1000)</f>
        <v>0.1082</v>
      </c>
      <c r="H905" s="16" t="n">
        <f aca="false">IF(D905="","",MAX(0,MIN($B$8,IFERROR(LOOKUP(2,1/($U$24:U904&lt;&gt;""),$U$24:U904),$B$11))))</f>
        <v>103.080916700559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11.4932921216354</v>
      </c>
      <c r="J905" s="16" t="n">
        <f aca="false">IF(D905="","",$B$12)</f>
        <v>0.432</v>
      </c>
      <c r="K905" s="16" t="n">
        <f aca="false">IF(J905="","",J905*$B$15)</f>
        <v>1.119744</v>
      </c>
      <c r="L905" s="16" t="n">
        <f aca="false">IF(D905="","",H905+E905-K905-G905*I905)</f>
        <v>101.33321481757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11.3660476005625</v>
      </c>
      <c r="N905" s="16" t="n">
        <f aca="false">IF(D905="","",(I905+M905)/2)</f>
        <v>11.4296698610989</v>
      </c>
      <c r="O905" s="16" t="n">
        <f aca="false">IF(D905="","",G905*N905)</f>
        <v>1.2366902789709</v>
      </c>
      <c r="P905" s="16" t="n">
        <f aca="false">IF(D905="","",H905+E905-K905-O905)</f>
        <v>101.34009874616</v>
      </c>
      <c r="Q905" s="16" t="n">
        <f aca="false">IF(D905="","",IF(P905&gt;=0,K905,MAX(0,K905+P905)))</f>
        <v>1.119744</v>
      </c>
      <c r="R905" s="16" t="n">
        <f aca="false">IF(D905="","",Q905/$B$15)</f>
        <v>0.432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101.34009874616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62.5556165099755</v>
      </c>
      <c r="Z905" s="18" t="n">
        <f aca="false">IF(D905="","",MAX(0,IF(P905&gt;=0,P905,IF(K905+P905&gt;=0,0,P905+K905))))</f>
        <v>101.34009874616</v>
      </c>
      <c r="AA905" s="18" t="n">
        <f aca="false">IF(D905="","",IF(H905&lt;=$B$16,1,IF(H905&gt;=$B$17,$B$21,MATCH(H905,Aux_CAV!$A$2:$A$121,1))))</f>
        <v>22</v>
      </c>
      <c r="AB905" s="18" t="n">
        <f aca="false">IF(D905="","",IF(L905&lt;=$B$16,1,IF(L905&gt;=$B$17,$B$21,MATCH(L905,Aux_CAV!$A$2:$A$121,1))))</f>
        <v>22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0.165856811612483</v>
      </c>
      <c r="E906" s="16" t="n">
        <f aca="false">IF(D906="","",D906*$B$15)</f>
        <v>0.429900855699556</v>
      </c>
      <c r="F906" s="16" t="n">
        <f aca="false" t="array" ref="F906:F906">IF(D906="","",IFERROR(INDEX(Dados_Evap!$C$2:$N$15,MATCH($B$9,Dados_Evap!$A$2:$A$15,0),C906),0))</f>
        <v>149</v>
      </c>
      <c r="G906" s="16" t="n">
        <f aca="false">IF(F906="","",F906/1000)</f>
        <v>0.149</v>
      </c>
      <c r="H906" s="16" t="n">
        <f aca="false">IF(D906="","",MAX(0,MIN($B$8,IFERROR(LOOKUP(2,1/($U$24:U905&lt;&gt;""),$U$24:U905),$B$11))))</f>
        <v>101.34009874616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11.3665487971367</v>
      </c>
      <c r="J906" s="16" t="n">
        <f aca="false">IF(D906="","",$B$12)</f>
        <v>0.432</v>
      </c>
      <c r="K906" s="16" t="n">
        <f aca="false">IF(J906="","",J906*$B$15)</f>
        <v>1.119744</v>
      </c>
      <c r="L906" s="16" t="n">
        <f aca="false">IF(D906="","",H906+E906-K906-G906*I906)</f>
        <v>98.9566398310865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11.1930168629451</v>
      </c>
      <c r="N906" s="16" t="n">
        <f aca="false">IF(D906="","",(I906+M906)/2)</f>
        <v>11.2797828300409</v>
      </c>
      <c r="O906" s="16" t="n">
        <f aca="false">IF(D906="","",G906*N906)</f>
        <v>1.68068764167609</v>
      </c>
      <c r="P906" s="16" t="n">
        <f aca="false">IF(D906="","",H906+E906-K906-O906)</f>
        <v>98.9695679601838</v>
      </c>
      <c r="Q906" s="16" t="n">
        <f aca="false">IF(D906="","",IF(P906&gt;=0,K906,MAX(0,K906+P906)))</f>
        <v>1.119744</v>
      </c>
      <c r="R906" s="16" t="n">
        <f aca="false">IF(D906="","",Q906/$B$15)</f>
        <v>0.432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98.9695679601838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61.092325901348</v>
      </c>
      <c r="Z906" s="18" t="n">
        <f aca="false">IF(D906="","",MAX(0,IF(P906&gt;=0,P906,IF(K906+P906&gt;=0,0,P906+K906))))</f>
        <v>98.9695679601838</v>
      </c>
      <c r="AA906" s="18" t="n">
        <f aca="false">IF(D906="","",IF(H906&lt;=$B$16,1,IF(H906&gt;=$B$17,$B$21,MATCH(H906,Aux_CAV!$A$2:$A$121,1))))</f>
        <v>22</v>
      </c>
      <c r="AB906" s="18" t="n">
        <f aca="false">IF(D906="","",IF(L906&lt;=$B$16,1,IF(L906&gt;=$B$17,$B$21,MATCH(L906,Aux_CAV!$A$2:$A$121,1))))</f>
        <v>22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0.146747040880287</v>
      </c>
      <c r="E907" s="16" t="n">
        <f aca="false">IF(D907="","",D907*$B$15)</f>
        <v>0.380368329961704</v>
      </c>
      <c r="F907" s="16" t="n">
        <f aca="false" t="array" ref="F907:F907">IF(D907="","",IFERROR(INDEX(Dados_Evap!$C$2:$N$15,MATCH($B$9,Dados_Evap!$A$2:$A$15,0),C907),0))</f>
        <v>206.8</v>
      </c>
      <c r="G907" s="16" t="n">
        <f aca="false">IF(F907="","",F907/1000)</f>
        <v>0.2068</v>
      </c>
      <c r="H907" s="16" t="n">
        <f aca="false">IF(D907="","",MAX(0,MIN($B$8,IFERROR(LOOKUP(2,1/($U$24:U906&lt;&gt;""),$U$24:U906),$B$11))))</f>
        <v>98.9695679601838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11.193958118208</v>
      </c>
      <c r="J907" s="16" t="n">
        <f aca="false">IF(D907="","",$B$12)</f>
        <v>0.432</v>
      </c>
      <c r="K907" s="16" t="n">
        <f aca="false">IF(J907="","",J907*$B$15)</f>
        <v>1.119744</v>
      </c>
      <c r="L907" s="16" t="n">
        <f aca="false">IF(D907="","",H907+E907-K907-G907*I907)</f>
        <v>95.9152817513001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10.9715854185778</v>
      </c>
      <c r="N907" s="16" t="n">
        <f aca="false">IF(D907="","",(I907+M907)/2)</f>
        <v>11.0827717683929</v>
      </c>
      <c r="O907" s="16" t="n">
        <f aca="false">IF(D907="","",G907*N907)</f>
        <v>2.29191720170365</v>
      </c>
      <c r="P907" s="16" t="n">
        <f aca="false">IF(D907="","",H907+E907-K907-O907)</f>
        <v>95.9382750884418</v>
      </c>
      <c r="Q907" s="16" t="n">
        <f aca="false">IF(D907="","",IF(P907&gt;=0,K907,MAX(0,K907+P907)))</f>
        <v>1.119744</v>
      </c>
      <c r="R907" s="16" t="n">
        <f aca="false">IF(D907="","",Q907/$B$15)</f>
        <v>0.432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95.9382750884418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59.2211574620011</v>
      </c>
      <c r="Z907" s="18" t="n">
        <f aca="false">IF(D907="","",MAX(0,IF(P907&gt;=0,P907,IF(K907+P907&gt;=0,0,P907+K907))))</f>
        <v>95.9382750884418</v>
      </c>
      <c r="AA907" s="18" t="n">
        <f aca="false">IF(D907="","",IF(H907&lt;=$B$16,1,IF(H907&gt;=$B$17,$B$21,MATCH(H907,Aux_CAV!$A$2:$A$121,1))))</f>
        <v>22</v>
      </c>
      <c r="AB907" s="18" t="n">
        <f aca="false">IF(D907="","",IF(L907&lt;=$B$16,1,IF(L907&gt;=$B$17,$B$21,MATCH(L907,Aux_CAV!$A$2:$A$121,1))))</f>
        <v>22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0.123766028563809</v>
      </c>
      <c r="E908" s="16" t="n">
        <f aca="false">IF(D908="","",D908*$B$15)</f>
        <v>0.320801546037393</v>
      </c>
      <c r="F908" s="16" t="n">
        <f aca="false" t="array" ref="F908:F908">IF(D908="","",IFERROR(INDEX(Dados_Evap!$C$2:$N$15,MATCH($B$9,Dados_Evap!$A$2:$A$15,0),C908),0))</f>
        <v>245.9</v>
      </c>
      <c r="G908" s="16" t="n">
        <f aca="false">IF(F908="","",F908/1000)</f>
        <v>0.2459</v>
      </c>
      <c r="H908" s="16" t="n">
        <f aca="false">IF(D908="","",MAX(0,MIN($B$8,IFERROR(LOOKUP(2,1/($U$24:U907&lt;&gt;""),$U$24:U907),$B$11))))</f>
        <v>95.9382750884418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10.9732594890821</v>
      </c>
      <c r="J908" s="16" t="n">
        <f aca="false">IF(D908="","",$B$12)</f>
        <v>0.432</v>
      </c>
      <c r="K908" s="16" t="n">
        <f aca="false">IF(J908="","",J908*$B$15)</f>
        <v>1.119744</v>
      </c>
      <c r="L908" s="16" t="n">
        <f aca="false">IF(D908="","",H908+E908-K908-G908*I908)</f>
        <v>92.4410081261139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10.7186347936366</v>
      </c>
      <c r="N908" s="16" t="n">
        <f aca="false">IF(D908="","",(I908+M908)/2)</f>
        <v>10.8459471413594</v>
      </c>
      <c r="O908" s="16" t="n">
        <f aca="false">IF(D908="","",G908*N908)</f>
        <v>2.66701840206026</v>
      </c>
      <c r="P908" s="16" t="n">
        <f aca="false">IF(D908="","",H908+E908-K908-O908)</f>
        <v>92.4723142324189</v>
      </c>
      <c r="Q908" s="16" t="n">
        <f aca="false">IF(D908="","",IF(P908&gt;=0,K908,MAX(0,K908+P908)))</f>
        <v>1.119744</v>
      </c>
      <c r="R908" s="16" t="n">
        <f aca="false">IF(D908="","",Q908/$B$15)</f>
        <v>0.432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92.4723142324189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57.0816754521105</v>
      </c>
      <c r="Z908" s="18" t="n">
        <f aca="false">IF(D908="","",MAX(0,IF(P908&gt;=0,P908,IF(K908+P908&gt;=0,0,P908+K908))))</f>
        <v>92.4723142324189</v>
      </c>
      <c r="AA908" s="18" t="n">
        <f aca="false">IF(D908="","",IF(H908&lt;=$B$16,1,IF(H908&gt;=$B$17,$B$21,MATCH(H908,Aux_CAV!$A$2:$A$121,1))))</f>
        <v>22</v>
      </c>
      <c r="AB908" s="18" t="n">
        <f aca="false">IF(D908="","",IF(L908&lt;=$B$16,1,IF(L908&gt;=$B$17,$B$21,MATCH(L908,Aux_CAV!$A$2:$A$121,1))))</f>
        <v>22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0.12652360737493</v>
      </c>
      <c r="E909" s="16" t="n">
        <f aca="false">IF(D909="","",D909*$B$15)</f>
        <v>0.327949190315819</v>
      </c>
      <c r="F909" s="16" t="n">
        <f aca="false" t="array" ref="F909:F909">IF(D909="","",IFERROR(INDEX(Dados_Evap!$C$2:$N$15,MATCH($B$9,Dados_Evap!$A$2:$A$15,0),C909),0))</f>
        <v>282.3</v>
      </c>
      <c r="G909" s="16" t="n">
        <f aca="false">IF(F909="","",F909/1000)</f>
        <v>0.2823</v>
      </c>
      <c r="H909" s="16" t="n">
        <f aca="false">IF(D909="","",MAX(0,MIN($B$8,IFERROR(LOOKUP(2,1/($U$24:U908&lt;&gt;""),$U$24:U908),$B$11))))</f>
        <v>92.4723142324189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10.7209140899756</v>
      </c>
      <c r="J909" s="16" t="n">
        <f aca="false">IF(D909="","",$B$12)</f>
        <v>0.432</v>
      </c>
      <c r="K909" s="16" t="n">
        <f aca="false">IF(J909="","",J909*$B$15)</f>
        <v>1.119744</v>
      </c>
      <c r="L909" s="16" t="n">
        <f aca="false">IF(D909="","",H909+E909-K909-G909*I909)</f>
        <v>88.6540053751347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10.4429153725842</v>
      </c>
      <c r="N909" s="16" t="n">
        <f aca="false">IF(D909="","",(I909+M909)/2)</f>
        <v>10.5819147312799</v>
      </c>
      <c r="O909" s="16" t="n">
        <f aca="false">IF(D909="","",G909*N909)</f>
        <v>2.98727452864031</v>
      </c>
      <c r="P909" s="16" t="n">
        <f aca="false">IF(D909="","",H909+E909-K909-O909)</f>
        <v>88.6932448940945</v>
      </c>
      <c r="Q909" s="16" t="n">
        <f aca="false">IF(D909="","",IF(P909&gt;=0,K909,MAX(0,K909+P909)))</f>
        <v>1.119744</v>
      </c>
      <c r="R909" s="16" t="n">
        <f aca="false">IF(D909="","",Q909/$B$15)</f>
        <v>0.432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88.6932448940945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54.7489166012929</v>
      </c>
      <c r="Z909" s="18" t="n">
        <f aca="false">IF(D909="","",MAX(0,IF(P909&gt;=0,P909,IF(K909+P909&gt;=0,0,P909+K909))))</f>
        <v>88.6932448940945</v>
      </c>
      <c r="AA909" s="18" t="n">
        <f aca="false">IF(D909="","",IF(H909&lt;=$B$16,1,IF(H909&gt;=$B$17,$B$21,MATCH(H909,Aux_CAV!$A$2:$A$121,1))))</f>
        <v>22</v>
      </c>
      <c r="AB909" s="18" t="n">
        <f aca="false">IF(D909="","",IF(L909&lt;=$B$16,1,IF(L909&gt;=$B$17,$B$21,MATCH(L909,Aux_CAV!$A$2:$A$121,1))))</f>
        <v>22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0.0959727306586005</v>
      </c>
      <c r="E910" s="16" t="n">
        <f aca="false">IF(D910="","",D910*$B$15)</f>
        <v>0.248761317867093</v>
      </c>
      <c r="F910" s="16" t="n">
        <f aca="false" t="array" ref="F910:F910">IF(D910="","",IFERROR(INDEX(Dados_Evap!$C$2:$N$15,MATCH($B$9,Dados_Evap!$A$2:$A$15,0),C910),0))</f>
        <v>241.3</v>
      </c>
      <c r="G910" s="16" t="n">
        <f aca="false">IF(F910="","",F910/1000)</f>
        <v>0.2413</v>
      </c>
      <c r="H910" s="16" t="n">
        <f aca="false">IF(D910="","",MAX(0,MIN($B$8,IFERROR(LOOKUP(2,1/($U$24:U909&lt;&gt;""),$U$24:U909),$B$11))))</f>
        <v>88.6932448940945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10.4457722750375</v>
      </c>
      <c r="J910" s="16" t="n">
        <f aca="false">IF(D910="","",$B$12)</f>
        <v>0.432</v>
      </c>
      <c r="K910" s="16" t="n">
        <f aca="false">IF(J910="","",J910*$B$15)</f>
        <v>1.119744</v>
      </c>
      <c r="L910" s="16" t="n">
        <f aca="false">IF(D910="","",H910+E910-K910-G910*I910)</f>
        <v>85.301697361995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10.1751569856002</v>
      </c>
      <c r="N910" s="16" t="n">
        <f aca="false">IF(D910="","",(I910+M910)/2)</f>
        <v>10.3104646303189</v>
      </c>
      <c r="O910" s="16" t="n">
        <f aca="false">IF(D910="","",G910*N910)</f>
        <v>2.48791511529594</v>
      </c>
      <c r="P910" s="16" t="n">
        <f aca="false">IF(D910="","",H910+E910-K910-O910)</f>
        <v>85.3343470966656</v>
      </c>
      <c r="Q910" s="16" t="n">
        <f aca="false">IF(D910="","",IF(P910&gt;=0,K910,MAX(0,K910+P910)))</f>
        <v>1.119744</v>
      </c>
      <c r="R910" s="16" t="n">
        <f aca="false">IF(D910="","",Q910/$B$15)</f>
        <v>0.432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85.3343470966656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52.6755228991763</v>
      </c>
      <c r="Z910" s="18" t="n">
        <f aca="false">IF(D910="","",MAX(0,IF(P910&gt;=0,P910,IF(K910+P910&gt;=0,0,P910+K910))))</f>
        <v>85.3343470966656</v>
      </c>
      <c r="AA910" s="18" t="n">
        <f aca="false">IF(D910="","",IF(H910&lt;=$B$16,1,IF(H910&gt;=$B$17,$B$21,MATCH(H910,Aux_CAV!$A$2:$A$121,1))))</f>
        <v>22</v>
      </c>
      <c r="AB910" s="18" t="n">
        <f aca="false">IF(D910="","",IF(L910&lt;=$B$16,1,IF(L910&gt;=$B$17,$B$21,MATCH(L910,Aux_CAV!$A$2:$A$121,1))))</f>
        <v>21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0.0884876242274924</v>
      </c>
      <c r="E911" s="16" t="n">
        <f aca="false">IF(D911="","",D911*$B$15)</f>
        <v>0.22935992199766</v>
      </c>
      <c r="F911" s="16" t="n">
        <f aca="false" t="array" ref="F911:F911">IF(D911="","",IFERROR(INDEX(Dados_Evap!$C$2:$N$15,MATCH($B$9,Dados_Evap!$A$2:$A$15,0),C911),0))</f>
        <v>241.8</v>
      </c>
      <c r="G911" s="16" t="n">
        <f aca="false">IF(F911="","",F911/1000)</f>
        <v>0.2418</v>
      </c>
      <c r="H911" s="16" t="n">
        <f aca="false">IF(D911="","",MAX(0,MIN($B$8,IFERROR(LOOKUP(2,1/($U$24:U910&lt;&gt;""),$U$24:U910),$B$11))))</f>
        <v>85.3343470966656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10.1779247171077</v>
      </c>
      <c r="J911" s="16" t="n">
        <f aca="false">IF(D911="","",$B$12)</f>
        <v>0.432</v>
      </c>
      <c r="K911" s="16" t="n">
        <f aca="false">IF(J911="","",J911*$B$15)</f>
        <v>1.119744</v>
      </c>
      <c r="L911" s="16" t="n">
        <f aca="false">IF(D911="","",H911+E911-K911-G911*I911)</f>
        <v>81.9829408220666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9.8938246215257</v>
      </c>
      <c r="N911" s="16" t="n">
        <f aca="false">IF(D911="","",(I911+M911)/2)</f>
        <v>10.0358746693167</v>
      </c>
      <c r="O911" s="16" t="n">
        <f aca="false">IF(D911="","",G911*N911)</f>
        <v>2.42667449504078</v>
      </c>
      <c r="P911" s="16" t="n">
        <f aca="false">IF(D911="","",H911+E911-K911-O911)</f>
        <v>82.0172885236225</v>
      </c>
      <c r="Q911" s="16" t="n">
        <f aca="false">IF(D911="","",IF(P911&gt;=0,K911,MAX(0,K911+P911)))</f>
        <v>1.119744</v>
      </c>
      <c r="R911" s="16" t="n">
        <f aca="false">IF(D911="","",Q911/$B$15)</f>
        <v>0.432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82.0172885236225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50.6279558787793</v>
      </c>
      <c r="Z911" s="18" t="n">
        <f aca="false">IF(D911="","",MAX(0,IF(P911&gt;=0,P911,IF(K911+P911&gt;=0,0,P911+K911))))</f>
        <v>82.0172885236225</v>
      </c>
      <c r="AA911" s="18" t="n">
        <f aca="false">IF(D911="","",IF(H911&lt;=$B$16,1,IF(H911&gt;=$B$17,$B$21,MATCH(H911,Aux_CAV!$A$2:$A$121,1))))</f>
        <v>21</v>
      </c>
      <c r="AB911" s="18" t="n">
        <f aca="false">IF(D911="","",IF(L911&lt;=$B$16,1,IF(L911&gt;=$B$17,$B$21,MATCH(L911,Aux_CAV!$A$2:$A$121,1))))</f>
        <v>21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0.122619016630448</v>
      </c>
      <c r="E912" s="16" t="n">
        <f aca="false">IF(D912="","",D912*$B$15)</f>
        <v>0.317828491106121</v>
      </c>
      <c r="F912" s="16" t="n">
        <f aca="false" t="array" ref="F912:F912">IF(D912="","",IFERROR(INDEX(Dados_Evap!$C$2:$N$15,MATCH($B$9,Dados_Evap!$A$2:$A$15,0),C912),0))</f>
        <v>189</v>
      </c>
      <c r="G912" s="16" t="n">
        <f aca="false">IF(F912="","",F912/1000)</f>
        <v>0.189</v>
      </c>
      <c r="H912" s="16" t="n">
        <f aca="false">IF(D912="","",MAX(0,MIN($B$8,IFERROR(LOOKUP(2,1/($U$24:U911&lt;&gt;""),$U$24:U911),$B$11))))</f>
        <v>82.0172885236225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9.89673629038811</v>
      </c>
      <c r="J912" s="16" t="n">
        <f aca="false">IF(D912="","",$B$12)</f>
        <v>0.432</v>
      </c>
      <c r="K912" s="16" t="n">
        <f aca="false">IF(J912="","",J912*$B$15)</f>
        <v>1.119744</v>
      </c>
      <c r="L912" s="16" t="n">
        <f aca="false">IF(D912="","",H912+E912-K912-G912*I912)</f>
        <v>79.3448898558453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9.67019595038123</v>
      </c>
      <c r="N912" s="16" t="n">
        <f aca="false">IF(D912="","",(I912+M912)/2)</f>
        <v>9.78346612038467</v>
      </c>
      <c r="O912" s="16" t="n">
        <f aca="false">IF(D912="","",G912*N912)</f>
        <v>1.8490750967527</v>
      </c>
      <c r="P912" s="16" t="n">
        <f aca="false">IF(D912="","",H912+E912-K912-O912)</f>
        <v>79.3662979179759</v>
      </c>
      <c r="Q912" s="16" t="n">
        <f aca="false">IF(D912="","",IF(P912&gt;=0,K912,MAX(0,K912+P912)))</f>
        <v>1.119744</v>
      </c>
      <c r="R912" s="16" t="n">
        <f aca="false">IF(D912="","",Q912/$B$15)</f>
        <v>0.432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79.3662979179759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48.9915419246765</v>
      </c>
      <c r="Z912" s="18" t="n">
        <f aca="false">IF(D912="","",MAX(0,IF(P912&gt;=0,P912,IF(K912+P912&gt;=0,0,P912+K912))))</f>
        <v>79.3662979179759</v>
      </c>
      <c r="AA912" s="18" t="n">
        <f aca="false">IF(D912="","",IF(H912&lt;=$B$16,1,IF(H912&gt;=$B$17,$B$21,MATCH(H912,Aux_CAV!$A$2:$A$121,1))))</f>
        <v>21</v>
      </c>
      <c r="AB912" s="18" t="n">
        <f aca="false">IF(D912="","",IF(L912&lt;=$B$16,1,IF(L912&gt;=$B$17,$B$21,MATCH(L912,Aux_CAV!$A$2:$A$121,1))))</f>
        <v>21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0.208577274175865</v>
      </c>
      <c r="E913" s="16" t="n">
        <f aca="false">IF(D913="","",D913*$B$15)</f>
        <v>0.540632294663842</v>
      </c>
      <c r="F913" s="16" t="n">
        <f aca="false" t="array" ref="F913:F913">IF(D913="","",IFERROR(INDEX(Dados_Evap!$C$2:$N$15,MATCH($B$9,Dados_Evap!$A$2:$A$15,0),C913),0))</f>
        <v>136.9</v>
      </c>
      <c r="G913" s="16" t="n">
        <f aca="false">IF(F913="","",F913/1000)</f>
        <v>0.1369</v>
      </c>
      <c r="H913" s="16" t="n">
        <f aca="false">IF(D913="","",MAX(0,MIN($B$8,IFERROR(LOOKUP(2,1/($U$24:U912&lt;&gt;""),$U$24:U912),$B$11))))</f>
        <v>79.3662979179759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9.6720107206595</v>
      </c>
      <c r="J913" s="16" t="n">
        <f aca="false">IF(D913="","",$B$12)</f>
        <v>0.432</v>
      </c>
      <c r="K913" s="16" t="n">
        <f aca="false">IF(J913="","",J913*$B$15)</f>
        <v>1.119744</v>
      </c>
      <c r="L913" s="16" t="n">
        <f aca="false">IF(D913="","",H913+E913-K913-G913*I913)</f>
        <v>77.4630879449815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9.51067482434083</v>
      </c>
      <c r="N913" s="16" t="n">
        <f aca="false">IF(D913="","",(I913+M913)/2)</f>
        <v>9.59134277250017</v>
      </c>
      <c r="O913" s="16" t="n">
        <f aca="false">IF(D913="","",G913*N913)</f>
        <v>1.31305482555527</v>
      </c>
      <c r="P913" s="16" t="n">
        <f aca="false">IF(D913="","",H913+E913-K913-O913)</f>
        <v>77.4741313870845</v>
      </c>
      <c r="Q913" s="16" t="n">
        <f aca="false">IF(D913="","",IF(P913&gt;=0,K913,MAX(0,K913+P913)))</f>
        <v>1.119744</v>
      </c>
      <c r="R913" s="16" t="n">
        <f aca="false">IF(D913="","",Q913/$B$15)</f>
        <v>0.432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77.4741313870845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47.823537893262</v>
      </c>
      <c r="Z913" s="18" t="n">
        <f aca="false">IF(D913="","",MAX(0,IF(P913&gt;=0,P913,IF(K913+P913&gt;=0,0,P913+K913))))</f>
        <v>77.4741313870845</v>
      </c>
      <c r="AA913" s="18" t="n">
        <f aca="false">IF(D913="","",IF(H913&lt;=$B$16,1,IF(H913&gt;=$B$17,$B$21,MATCH(H913,Aux_CAV!$A$2:$A$121,1))))</f>
        <v>21</v>
      </c>
      <c r="AB913" s="18" t="n">
        <f aca="false">IF(D913="","",IF(L913&lt;=$B$16,1,IF(L913&gt;=$B$17,$B$21,MATCH(L913,Aux_CAV!$A$2:$A$121,1))))</f>
        <v>21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1.04427992992018</v>
      </c>
      <c r="E914" s="16" t="n">
        <f aca="false">IF(D914="","",D914*$B$15)</f>
        <v>2.70677357835311</v>
      </c>
      <c r="F914" s="16" t="n">
        <f aca="false" t="array" ref="F914:F914">IF(D914="","",IFERROR(INDEX(Dados_Evap!$C$2:$N$15,MATCH($B$9,Dados_Evap!$A$2:$A$15,0),C914),0))</f>
        <v>102.9</v>
      </c>
      <c r="G914" s="16" t="n">
        <f aca="false">IF(F914="","",F914/1000)</f>
        <v>0.1029</v>
      </c>
      <c r="H914" s="16" t="n">
        <f aca="false">IF(D914="","",MAX(0,MIN($B$8,IFERROR(LOOKUP(2,1/($U$24:U913&lt;&gt;""),$U$24:U913),$B$11))))</f>
        <v>77.4741313870845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9.51161098149397</v>
      </c>
      <c r="J914" s="16" t="n">
        <f aca="false">IF(D914="","",$B$12)</f>
        <v>0.432</v>
      </c>
      <c r="K914" s="16" t="n">
        <f aca="false">IF(J914="","",J914*$B$15)</f>
        <v>1.119744</v>
      </c>
      <c r="L914" s="16" t="n">
        <f aca="false">IF(D914="","",H914+E914-K914-G914*I914)</f>
        <v>78.0824161954419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9.56317553620201</v>
      </c>
      <c r="N914" s="16" t="n">
        <f aca="false">IF(D914="","",(I914+M914)/2)</f>
        <v>9.53739325884799</v>
      </c>
      <c r="O914" s="16" t="n">
        <f aca="false">IF(D914="","",G914*N914)</f>
        <v>0.981397766335458</v>
      </c>
      <c r="P914" s="16" t="n">
        <f aca="false">IF(D914="","",H914+E914-K914-O914)</f>
        <v>78.0797631991021</v>
      </c>
      <c r="Q914" s="16" t="n">
        <f aca="false">IF(D914="","",IF(P914&gt;=0,K914,MAX(0,K914+P914)))</f>
        <v>1.119744</v>
      </c>
      <c r="R914" s="16" t="n">
        <f aca="false">IF(D914="","",Q914/$B$15)</f>
        <v>0.432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78.0797631991021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48.1973846908038</v>
      </c>
      <c r="Z914" s="18" t="n">
        <f aca="false">IF(D914="","",MAX(0,IF(P914&gt;=0,P914,IF(K914+P914&gt;=0,0,P914+K914))))</f>
        <v>78.0797631991021</v>
      </c>
      <c r="AA914" s="18" t="n">
        <f aca="false">IF(D914="","",IF(H914&lt;=$B$16,1,IF(H914&gt;=$B$17,$B$21,MATCH(H914,Aux_CAV!$A$2:$A$121,1))))</f>
        <v>21</v>
      </c>
      <c r="AB914" s="18" t="n">
        <f aca="false">IF(D914="","",IF(L914&lt;=$B$16,1,IF(L914&gt;=$B$17,$B$21,MATCH(L914,Aux_CAV!$A$2:$A$121,1))))</f>
        <v>21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2.71363309373625</v>
      </c>
      <c r="E915" s="16" t="n">
        <f aca="false">IF(D915="","",D915*$B$15)</f>
        <v>7.03373697896436</v>
      </c>
      <c r="F915" s="16" t="n">
        <f aca="false" t="array" ref="F915:F915">IF(D915="","",IFERROR(INDEX(Dados_Evap!$C$2:$N$15,MATCH($B$9,Dados_Evap!$A$2:$A$15,0),C915),0))</f>
        <v>81.8</v>
      </c>
      <c r="G915" s="16" t="n">
        <f aca="false">IF(F915="","",F915/1000)</f>
        <v>0.0818</v>
      </c>
      <c r="H915" s="16" t="n">
        <f aca="false">IF(D915="","",MAX(0,MIN($B$8,IFERROR(LOOKUP(2,1/($U$24:U914&lt;&gt;""),$U$24:U914),$B$11))))</f>
        <v>78.0797631991021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9.56295064060537</v>
      </c>
      <c r="J915" s="16" t="n">
        <f aca="false">IF(D915="","",$B$12)</f>
        <v>0.432</v>
      </c>
      <c r="K915" s="16" t="n">
        <f aca="false">IF(J915="","",J915*$B$15)</f>
        <v>1.119744</v>
      </c>
      <c r="L915" s="16" t="n">
        <f aca="false">IF(D915="","",H915+E915-K915-G915*I915)</f>
        <v>83.211506815665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9.99797066877027</v>
      </c>
      <c r="N915" s="16" t="n">
        <f aca="false">IF(D915="","",(I915+M915)/2)</f>
        <v>9.78046065468782</v>
      </c>
      <c r="O915" s="16" t="n">
        <f aca="false">IF(D915="","",G915*N915)</f>
        <v>0.800041681553464</v>
      </c>
      <c r="P915" s="16" t="n">
        <f aca="false">IF(D915="","",H915+E915-K915-O915)</f>
        <v>83.193714496513</v>
      </c>
      <c r="Q915" s="16" t="n">
        <f aca="false">IF(D915="","",IF(P915&gt;=0,K915,MAX(0,K915+P915)))</f>
        <v>1.119744</v>
      </c>
      <c r="R915" s="16" t="n">
        <f aca="false">IF(D915="","",Q915/$B$15)</f>
        <v>0.432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83.193714496513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51.354144750934</v>
      </c>
      <c r="Z915" s="18" t="n">
        <f aca="false">IF(D915="","",MAX(0,IF(P915&gt;=0,P915,IF(K915+P915&gt;=0,0,P915+K915))))</f>
        <v>83.193714496513</v>
      </c>
      <c r="AA915" s="18" t="n">
        <f aca="false">IF(D915="","",IF(H915&lt;=$B$16,1,IF(H915&gt;=$B$17,$B$21,MATCH(H915,Aux_CAV!$A$2:$A$121,1))))</f>
        <v>21</v>
      </c>
      <c r="AB915" s="18" t="n">
        <f aca="false">IF(D915="","",IF(L915&lt;=$B$16,1,IF(L915&gt;=$B$17,$B$21,MATCH(L915,Aux_CAV!$A$2:$A$121,1))))</f>
        <v>21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6.96558772905759</v>
      </c>
      <c r="E916" s="16" t="n">
        <f aca="false">IF(D916="","",D916*$B$15)</f>
        <v>18.0548033937173</v>
      </c>
      <c r="F916" s="16" t="n">
        <f aca="false" t="array" ref="F916:F916">IF(D916="","",IFERROR(INDEX(Dados_Evap!$C$2:$N$15,MATCH($B$9,Dados_Evap!$A$2:$A$15,0),C916),0))</f>
        <v>83.6</v>
      </c>
      <c r="G916" s="16" t="n">
        <f aca="false">IF(F916="","",F916/1000)</f>
        <v>0.0836</v>
      </c>
      <c r="H916" s="16" t="n">
        <f aca="false">IF(D916="","",MAX(0,MIN($B$8,IFERROR(LOOKUP(2,1/($U$24:U915&lt;&gt;""),$U$24:U915),$B$11))))</f>
        <v>83.193714496513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9.99646240651928</v>
      </c>
      <c r="J916" s="16" t="n">
        <f aca="false">IF(D916="","",$B$12)</f>
        <v>0.432</v>
      </c>
      <c r="K916" s="16" t="n">
        <f aca="false">IF(J916="","",J916*$B$15)</f>
        <v>1.119744</v>
      </c>
      <c r="L916" s="16" t="n">
        <f aca="false">IF(D916="","",H916+E916-K916-G916*I916)</f>
        <v>99.2930696330453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11.217511228627</v>
      </c>
      <c r="N916" s="16" t="n">
        <f aca="false">IF(D916="","",(I916+M916)/2)</f>
        <v>10.6069868175731</v>
      </c>
      <c r="O916" s="16" t="n">
        <f aca="false">IF(D916="","",G916*N916)</f>
        <v>0.886744097949113</v>
      </c>
      <c r="P916" s="16" t="n">
        <f aca="false">IF(D916="","",H916+E916-K916-O916)</f>
        <v>99.2420297922812</v>
      </c>
      <c r="Q916" s="16" t="n">
        <f aca="false">IF(D916="","",IF(P916&gt;=0,K916,MAX(0,K916+P916)))</f>
        <v>1.119744</v>
      </c>
      <c r="R916" s="16" t="n">
        <f aca="false">IF(D916="","",Q916/$B$15)</f>
        <v>0.432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99.2420297922812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61.2605122174575</v>
      </c>
      <c r="Z916" s="18" t="n">
        <f aca="false">IF(D916="","",MAX(0,IF(P916&gt;=0,P916,IF(K916+P916&gt;=0,0,P916+K916))))</f>
        <v>99.2420297922812</v>
      </c>
      <c r="AA916" s="18" t="n">
        <f aca="false">IF(D916="","",IF(H916&lt;=$B$16,1,IF(H916&gt;=$B$17,$B$21,MATCH(H916,Aux_CAV!$A$2:$A$121,1))))</f>
        <v>21</v>
      </c>
      <c r="AB916" s="18" t="n">
        <f aca="false">IF(D916="","",IF(L916&lt;=$B$16,1,IF(L916&gt;=$B$17,$B$21,MATCH(L916,Aux_CAV!$A$2:$A$121,1))))</f>
        <v>22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5.5842014999182</v>
      </c>
      <c r="E917" s="16" t="n">
        <f aca="false">IF(D917="","",D917*$B$15)</f>
        <v>14.474250287788</v>
      </c>
      <c r="F917" s="16" t="n">
        <f aca="false" t="array" ref="F917:F917">IF(D917="","",IFERROR(INDEX(Dados_Evap!$C$2:$N$15,MATCH($B$9,Dados_Evap!$A$2:$A$15,0),C917),0))</f>
        <v>108.2</v>
      </c>
      <c r="G917" s="16" t="n">
        <f aca="false">IF(F917="","",F917/1000)</f>
        <v>0.1082</v>
      </c>
      <c r="H917" s="16" t="n">
        <f aca="false">IF(D917="","",MAX(0,MIN($B$8,IFERROR(LOOKUP(2,1/($U$24:U916&lt;&gt;""),$U$24:U916),$B$11))))</f>
        <v>99.2420297922812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11.2137951829118</v>
      </c>
      <c r="J917" s="16" t="n">
        <f aca="false">IF(D917="","",$B$12)</f>
        <v>0.432</v>
      </c>
      <c r="K917" s="16" t="n">
        <f aca="false">IF(J917="","",J917*$B$15)</f>
        <v>1.119744</v>
      </c>
      <c r="L917" s="16" t="n">
        <f aca="false">IF(D917="","",H917+E917-K917-G917*I917)</f>
        <v>111.383203441278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12.097754765073</v>
      </c>
      <c r="N917" s="16" t="n">
        <f aca="false">IF(D917="","",(I917+M917)/2)</f>
        <v>11.6557749739924</v>
      </c>
      <c r="O917" s="16" t="n">
        <f aca="false">IF(D917="","",G917*N917)</f>
        <v>1.26115485218598</v>
      </c>
      <c r="P917" s="16" t="n">
        <f aca="false">IF(D917="","",H917+E917-K917-O917)</f>
        <v>111.335381227883</v>
      </c>
      <c r="Q917" s="16" t="n">
        <f aca="false">IF(D917="","",IF(P917&gt;=0,K917,MAX(0,K917+P917)))</f>
        <v>1.119744</v>
      </c>
      <c r="R917" s="16" t="n">
        <f aca="false">IF(D917="","",Q917/$B$15)</f>
        <v>0.432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111.335381227883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68.7255439678291</v>
      </c>
      <c r="Z917" s="18" t="n">
        <f aca="false">IF(D917="","",MAX(0,IF(P917&gt;=0,P917,IF(K917+P917&gt;=0,0,P917+K917))))</f>
        <v>111.335381227883</v>
      </c>
      <c r="AA917" s="18" t="n">
        <f aca="false">IF(D917="","",IF(H917&lt;=$B$16,1,IF(H917&gt;=$B$17,$B$21,MATCH(H917,Aux_CAV!$A$2:$A$121,1))))</f>
        <v>22</v>
      </c>
      <c r="AB917" s="18" t="n">
        <f aca="false">IF(D917="","",IF(L917&lt;=$B$16,1,IF(L917&gt;=$B$17,$B$21,MATCH(L917,Aux_CAV!$A$2:$A$121,1))))</f>
        <v>22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3.79395882164595</v>
      </c>
      <c r="E918" s="16" t="n">
        <f aca="false">IF(D918="","",D918*$B$15)</f>
        <v>9.8339412657063</v>
      </c>
      <c r="F918" s="16" t="n">
        <f aca="false" t="array" ref="F918:F918">IF(D918="","",IFERROR(INDEX(Dados_Evap!$C$2:$N$15,MATCH($B$9,Dados_Evap!$A$2:$A$15,0),C918),0))</f>
        <v>149</v>
      </c>
      <c r="G918" s="16" t="n">
        <f aca="false">IF(F918="","",F918/1000)</f>
        <v>0.149</v>
      </c>
      <c r="H918" s="16" t="n">
        <f aca="false">IF(D918="","",MAX(0,MIN($B$8,IFERROR(LOOKUP(2,1/($U$24:U917&lt;&gt;""),$U$24:U917),$B$11))))</f>
        <v>111.335381227883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12.094272984399</v>
      </c>
      <c r="J918" s="16" t="n">
        <f aca="false">IF(D918="","",$B$12)</f>
        <v>0.432</v>
      </c>
      <c r="K918" s="16" t="n">
        <f aca="false">IF(J918="","",J918*$B$15)</f>
        <v>1.119744</v>
      </c>
      <c r="L918" s="16" t="n">
        <f aca="false">IF(D918="","",H918+E918-K918-G918*I918)</f>
        <v>118.247531818914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12.5975243112415</v>
      </c>
      <c r="N918" s="16" t="n">
        <f aca="false">IF(D918="","",(I918+M918)/2)</f>
        <v>12.3458986478203</v>
      </c>
      <c r="O918" s="16" t="n">
        <f aca="false">IF(D918="","",G918*N918)</f>
        <v>1.83953889852522</v>
      </c>
      <c r="P918" s="16" t="n">
        <f aca="false">IF(D918="","",H918+E918-K918-O918)</f>
        <v>118.210039595064</v>
      </c>
      <c r="Q918" s="16" t="n">
        <f aca="false">IF(D918="","",IF(P918&gt;=0,K918,MAX(0,K918+P918)))</f>
        <v>1.119744</v>
      </c>
      <c r="R918" s="16" t="n">
        <f aca="false">IF(D918="","",Q918/$B$15)</f>
        <v>0.432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118.210039595064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72.9691602438668</v>
      </c>
      <c r="Z918" s="18" t="n">
        <f aca="false">IF(D918="","",MAX(0,IF(P918&gt;=0,P918,IF(K918+P918&gt;=0,0,P918+K918))))</f>
        <v>118.210039595064</v>
      </c>
      <c r="AA918" s="18" t="n">
        <f aca="false">IF(D918="","",IF(H918&lt;=$B$16,1,IF(H918&gt;=$B$17,$B$21,MATCH(H918,Aux_CAV!$A$2:$A$121,1))))</f>
        <v>22</v>
      </c>
      <c r="AB918" s="18" t="n">
        <f aca="false">IF(D918="","",IF(L918&lt;=$B$16,1,IF(L918&gt;=$B$17,$B$21,MATCH(L918,Aux_CAV!$A$2:$A$121,1))))</f>
        <v>22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1.22808865715932</v>
      </c>
      <c r="E919" s="16" t="n">
        <f aca="false">IF(D919="","",D919*$B$15)</f>
        <v>3.18320579935696</v>
      </c>
      <c r="F919" s="16" t="n">
        <f aca="false" t="array" ref="F919:F919">IF(D919="","",IFERROR(INDEX(Dados_Evap!$C$2:$N$15,MATCH($B$9,Dados_Evap!$A$2:$A$15,0),C919),0))</f>
        <v>206.8</v>
      </c>
      <c r="G919" s="16" t="n">
        <f aca="false">IF(F919="","",F919/1000)</f>
        <v>0.2068</v>
      </c>
      <c r="H919" s="16" t="n">
        <f aca="false">IF(D919="","",MAX(0,MIN($B$8,IFERROR(LOOKUP(2,1/($U$24:U918&lt;&gt;""),$U$24:U918),$B$11))))</f>
        <v>118.210039595064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12.5947946236935</v>
      </c>
      <c r="J919" s="16" t="n">
        <f aca="false">IF(D919="","",$B$12)</f>
        <v>0.432</v>
      </c>
      <c r="K919" s="16" t="n">
        <f aca="false">IF(J919="","",J919*$B$15)</f>
        <v>1.119744</v>
      </c>
      <c r="L919" s="16" t="n">
        <f aca="false">IF(D919="","",H919+E919-K919-G919*I919)</f>
        <v>117.668897866241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12.5553958447674</v>
      </c>
      <c r="N919" s="16" t="n">
        <f aca="false">IF(D919="","",(I919+M919)/2)</f>
        <v>12.5750952342304</v>
      </c>
      <c r="O919" s="16" t="n">
        <f aca="false">IF(D919="","",G919*N919)</f>
        <v>2.60052969443885</v>
      </c>
      <c r="P919" s="16" t="n">
        <f aca="false">IF(D919="","",H919+E919-K919-O919)</f>
        <v>117.672971699982</v>
      </c>
      <c r="Q919" s="16" t="n">
        <f aca="false">IF(D919="","",IF(P919&gt;=0,K919,MAX(0,K919+P919)))</f>
        <v>1.119744</v>
      </c>
      <c r="R919" s="16" t="n">
        <f aca="false">IF(D919="","",Q919/$B$15)</f>
        <v>0.432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117.672971699982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72.637636851841</v>
      </c>
      <c r="Z919" s="18" t="n">
        <f aca="false">IF(D919="","",MAX(0,IF(P919&gt;=0,P919,IF(K919+P919&gt;=0,0,P919+K919))))</f>
        <v>117.672971699982</v>
      </c>
      <c r="AA919" s="18" t="n">
        <f aca="false">IF(D919="","",IF(H919&lt;=$B$16,1,IF(H919&gt;=$B$17,$B$21,MATCH(H919,Aux_CAV!$A$2:$A$121,1))))</f>
        <v>22</v>
      </c>
      <c r="AB919" s="18" t="n">
        <f aca="false">IF(D919="","",IF(L919&lt;=$B$16,1,IF(L919&gt;=$B$17,$B$21,MATCH(L919,Aux_CAV!$A$2:$A$121,1))))</f>
        <v>22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0.693316473873276</v>
      </c>
      <c r="E920" s="16" t="n">
        <f aca="false">IF(D920="","",D920*$B$15)</f>
        <v>1.79707630027953</v>
      </c>
      <c r="F920" s="16" t="n">
        <f aca="false" t="array" ref="F920:F920">IF(D920="","",IFERROR(INDEX(Dados_Evap!$C$2:$N$15,MATCH($B$9,Dados_Evap!$A$2:$A$15,0),C920),0))</f>
        <v>245.9</v>
      </c>
      <c r="G920" s="16" t="n">
        <f aca="false">IF(F920="","",F920/1000)</f>
        <v>0.2459</v>
      </c>
      <c r="H920" s="16" t="n">
        <f aca="false">IF(D920="","",MAX(0,MIN($B$8,IFERROR(LOOKUP(2,1/($U$24:U919&lt;&gt;""),$U$24:U919),$B$11))))</f>
        <v>117.672971699982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12.555692447425</v>
      </c>
      <c r="J920" s="16" t="n">
        <f aca="false">IF(D920="","",$B$12)</f>
        <v>0.432</v>
      </c>
      <c r="K920" s="16" t="n">
        <f aca="false">IF(J920="","",J920*$B$15)</f>
        <v>1.119744</v>
      </c>
      <c r="L920" s="16" t="n">
        <f aca="false">IF(D920="","",H920+E920-K920-G920*I920)</f>
        <v>115.26285922744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12.3802199539264</v>
      </c>
      <c r="N920" s="16" t="n">
        <f aca="false">IF(D920="","",(I920+M920)/2)</f>
        <v>12.4679562006757</v>
      </c>
      <c r="O920" s="16" t="n">
        <f aca="false">IF(D920="","",G920*N920)</f>
        <v>3.06587042974615</v>
      </c>
      <c r="P920" s="16" t="n">
        <f aca="false">IF(D920="","",H920+E920-K920-O920)</f>
        <v>115.284433570516</v>
      </c>
      <c r="Q920" s="16" t="n">
        <f aca="false">IF(D920="","",IF(P920&gt;=0,K920,MAX(0,K920+P920)))</f>
        <v>1.119744</v>
      </c>
      <c r="R920" s="16" t="n">
        <f aca="false">IF(D920="","",Q920/$B$15)</f>
        <v>0.432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115.284433570516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71.1632305990838</v>
      </c>
      <c r="Z920" s="18" t="n">
        <f aca="false">IF(D920="","",MAX(0,IF(P920&gt;=0,P920,IF(K920+P920&gt;=0,0,P920+K920))))</f>
        <v>115.284433570516</v>
      </c>
      <c r="AA920" s="18" t="n">
        <f aca="false">IF(D920="","",IF(H920&lt;=$B$16,1,IF(H920&gt;=$B$17,$B$21,MATCH(H920,Aux_CAV!$A$2:$A$121,1))))</f>
        <v>22</v>
      </c>
      <c r="AB920" s="18" t="n">
        <f aca="false">IF(D920="","",IF(L920&lt;=$B$16,1,IF(L920&gt;=$B$17,$B$21,MATCH(L920,Aux_CAV!$A$2:$A$121,1))))</f>
        <v>22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0.591348571161467</v>
      </c>
      <c r="E921" s="16" t="n">
        <f aca="false">IF(D921="","",D921*$B$15)</f>
        <v>1.53277549645052</v>
      </c>
      <c r="F921" s="16" t="n">
        <f aca="false" t="array" ref="F921:F921">IF(D921="","",IFERROR(INDEX(Dados_Evap!$C$2:$N$15,MATCH($B$9,Dados_Evap!$A$2:$A$15,0),C921),0))</f>
        <v>282.3</v>
      </c>
      <c r="G921" s="16" t="n">
        <f aca="false">IF(F921="","",F921/1000)</f>
        <v>0.2823</v>
      </c>
      <c r="H921" s="16" t="n">
        <f aca="false">IF(D921="","",MAX(0,MIN($B$8,IFERROR(LOOKUP(2,1/($U$24:U920&lt;&gt;""),$U$24:U920),$B$11))))</f>
        <v>115.284433570516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12.3817907120624</v>
      </c>
      <c r="J921" s="16" t="n">
        <f aca="false">IF(D921="","",$B$12)</f>
        <v>0.432</v>
      </c>
      <c r="K921" s="16" t="n">
        <f aca="false">IF(J921="","",J921*$B$15)</f>
        <v>1.119744</v>
      </c>
      <c r="L921" s="16" t="n">
        <f aca="false">IF(D921="","",H921+E921-K921-G921*I921)</f>
        <v>112.202085548951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12.1573749226183</v>
      </c>
      <c r="N921" s="16" t="n">
        <f aca="false">IF(D921="","",(I921+M921)/2)</f>
        <v>12.2695828173404</v>
      </c>
      <c r="O921" s="16" t="n">
        <f aca="false">IF(D921="","",G921*N921)</f>
        <v>3.46370322933518</v>
      </c>
      <c r="P921" s="16" t="n">
        <f aca="false">IF(D921="","",H921+E921-K921-O921)</f>
        <v>112.233761837631</v>
      </c>
      <c r="Q921" s="16" t="n">
        <f aca="false">IF(D921="","",IF(P921&gt;=0,K921,MAX(0,K921+P921)))</f>
        <v>1.119744</v>
      </c>
      <c r="R921" s="16" t="n">
        <f aca="false">IF(D921="","",Q921/$B$15)</f>
        <v>0.432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112.233761837631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69.2800998997723</v>
      </c>
      <c r="Z921" s="18" t="n">
        <f aca="false">IF(D921="","",MAX(0,IF(P921&gt;=0,P921,IF(K921+P921&gt;=0,0,P921+K921))))</f>
        <v>112.233761837631</v>
      </c>
      <c r="AA921" s="18" t="n">
        <f aca="false">IF(D921="","",IF(H921&lt;=$B$16,1,IF(H921&gt;=$B$17,$B$21,MATCH(H921,Aux_CAV!$A$2:$A$121,1))))</f>
        <v>22</v>
      </c>
      <c r="AB921" s="18" t="n">
        <f aca="false">IF(D921="","",IF(L921&lt;=$B$16,1,IF(L921&gt;=$B$17,$B$21,MATCH(L921,Aux_CAV!$A$2:$A$121,1))))</f>
        <v>22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0.353660801945937</v>
      </c>
      <c r="E922" s="16" t="n">
        <f aca="false">IF(D922="","",D922*$B$15)</f>
        <v>0.916688798643869</v>
      </c>
      <c r="F922" s="16" t="n">
        <f aca="false" t="array" ref="F922:F922">IF(D922="","",IFERROR(INDEX(Dados_Evap!$C$2:$N$15,MATCH($B$9,Dados_Evap!$A$2:$A$15,0),C922),0))</f>
        <v>241.3</v>
      </c>
      <c r="G922" s="16" t="n">
        <f aca="false">IF(F922="","",F922/1000)</f>
        <v>0.2413</v>
      </c>
      <c r="H922" s="16" t="n">
        <f aca="false">IF(D922="","",MAX(0,MIN($B$8,IFERROR(LOOKUP(2,1/($U$24:U921&lt;&gt;""),$U$24:U921),$B$11))))</f>
        <v>112.233761837631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12.1596811707386</v>
      </c>
      <c r="J922" s="16" t="n">
        <f aca="false">IF(D922="","",$B$12)</f>
        <v>0.432</v>
      </c>
      <c r="K922" s="16" t="n">
        <f aca="false">IF(J922="","",J922*$B$15)</f>
        <v>1.119744</v>
      </c>
      <c r="L922" s="16" t="n">
        <f aca="false">IF(D922="","",H922+E922-K922-G922*I922)</f>
        <v>109.096575569776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11.931272785959</v>
      </c>
      <c r="N922" s="16" t="n">
        <f aca="false">IF(D922="","",(I922+M922)/2)</f>
        <v>12.0454769783488</v>
      </c>
      <c r="O922" s="16" t="n">
        <f aca="false">IF(D922="","",G922*N922)</f>
        <v>2.90657359487557</v>
      </c>
      <c r="P922" s="16" t="n">
        <f aca="false">IF(D922="","",H922+E922-K922-O922)</f>
        <v>109.124133041399</v>
      </c>
      <c r="Q922" s="16" t="n">
        <f aca="false">IF(D922="","",IF(P922&gt;=0,K922,MAX(0,K922+P922)))</f>
        <v>1.119744</v>
      </c>
      <c r="R922" s="16" t="n">
        <f aca="false">IF(D922="","",Q922/$B$15)</f>
        <v>0.432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109.124133041399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67.3605759514811</v>
      </c>
      <c r="Z922" s="18" t="n">
        <f aca="false">IF(D922="","",MAX(0,IF(P922&gt;=0,P922,IF(K922+P922&gt;=0,0,P922+K922))))</f>
        <v>109.124133041399</v>
      </c>
      <c r="AA922" s="18" t="n">
        <f aca="false">IF(D922="","",IF(H922&lt;=$B$16,1,IF(H922&gt;=$B$17,$B$21,MATCH(H922,Aux_CAV!$A$2:$A$121,1))))</f>
        <v>22</v>
      </c>
      <c r="AB922" s="18" t="n">
        <f aca="false">IF(D922="","",IF(L922&lt;=$B$16,1,IF(L922&gt;=$B$17,$B$21,MATCH(L922,Aux_CAV!$A$2:$A$121,1))))</f>
        <v>22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0.383260749961648</v>
      </c>
      <c r="E923" s="16" t="n">
        <f aca="false">IF(D923="","",D923*$B$15)</f>
        <v>0.993411863900592</v>
      </c>
      <c r="F923" s="16" t="n">
        <f aca="false" t="array" ref="F923:F923">IF(D923="","",IFERROR(INDEX(Dados_Evap!$C$2:$N$15,MATCH($B$9,Dados_Evap!$A$2:$A$15,0),C923),0))</f>
        <v>241.8</v>
      </c>
      <c r="G923" s="16" t="n">
        <f aca="false">IF(F923="","",F923/1000)</f>
        <v>0.2418</v>
      </c>
      <c r="H923" s="16" t="n">
        <f aca="false">IF(D923="","",MAX(0,MIN($B$8,IFERROR(LOOKUP(2,1/($U$24:U922&lt;&gt;""),$U$24:U922),$B$11))))</f>
        <v>109.124133041399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11.933279156332</v>
      </c>
      <c r="J923" s="16" t="n">
        <f aca="false">IF(D923="","",$B$12)</f>
        <v>0.432</v>
      </c>
      <c r="K923" s="16" t="n">
        <f aca="false">IF(J923="","",J923*$B$15)</f>
        <v>1.119744</v>
      </c>
      <c r="L923" s="16" t="n">
        <f aca="false">IF(D923="","",H923+E923-K923-G923*I923)</f>
        <v>106.112334005299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11.7139998103253</v>
      </c>
      <c r="N923" s="16" t="n">
        <f aca="false">IF(D923="","",(I923+M923)/2)</f>
        <v>11.8236394833287</v>
      </c>
      <c r="O923" s="16" t="n">
        <f aca="false">IF(D923="","",G923*N923)</f>
        <v>2.85895602706887</v>
      </c>
      <c r="P923" s="16" t="n">
        <f aca="false">IF(D923="","",H923+E923-K923-O923)</f>
        <v>106.138844878231</v>
      </c>
      <c r="Q923" s="16" t="n">
        <f aca="false">IF(D923="","",IF(P923&gt;=0,K923,MAX(0,K923+P923)))</f>
        <v>1.119744</v>
      </c>
      <c r="R923" s="16" t="n">
        <f aca="false">IF(D923="","",Q923/$B$15)</f>
        <v>0.432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106.138844878231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65.5178054803896</v>
      </c>
      <c r="Z923" s="18" t="n">
        <f aca="false">IF(D923="","",MAX(0,IF(P923&gt;=0,P923,IF(K923+P923&gt;=0,0,P923+K923))))</f>
        <v>106.138844878231</v>
      </c>
      <c r="AA923" s="18" t="n">
        <f aca="false">IF(D923="","",IF(H923&lt;=$B$16,1,IF(H923&gt;=$B$17,$B$21,MATCH(H923,Aux_CAV!$A$2:$A$121,1))))</f>
        <v>22</v>
      </c>
      <c r="AB923" s="18" t="n">
        <f aca="false">IF(D923="","",IF(L923&lt;=$B$16,1,IF(L923&gt;=$B$17,$B$21,MATCH(L923,Aux_CAV!$A$2:$A$121,1))))</f>
        <v>22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1.81092834787837</v>
      </c>
      <c r="E924" s="16" t="n">
        <f aca="false">IF(D924="","",D924*$B$15)</f>
        <v>4.69392627770074</v>
      </c>
      <c r="F924" s="16" t="n">
        <f aca="false" t="array" ref="F924:F924">IF(D924="","",IFERROR(INDEX(Dados_Evap!$C$2:$N$15,MATCH($B$9,Dados_Evap!$A$2:$A$15,0),C924),0))</f>
        <v>189</v>
      </c>
      <c r="G924" s="16" t="n">
        <f aca="false">IF(F924="","",F924/1000)</f>
        <v>0.189</v>
      </c>
      <c r="H924" s="16" t="n">
        <f aca="false">IF(D924="","",MAX(0,MIN($B$8,IFERROR(LOOKUP(2,1/($U$24:U923&lt;&gt;""),$U$24:U923),$B$11))))</f>
        <v>106.138844878231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11.7159299812328</v>
      </c>
      <c r="J924" s="16" t="n">
        <f aca="false">IF(D924="","",$B$12)</f>
        <v>0.432</v>
      </c>
      <c r="K924" s="16" t="n">
        <f aca="false">IF(J924="","",J924*$B$15)</f>
        <v>1.119744</v>
      </c>
      <c r="L924" s="16" t="n">
        <f aca="false">IF(D924="","",H924+E924-K924-G924*I924)</f>
        <v>107.498716389479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11.8149378273956</v>
      </c>
      <c r="N924" s="16" t="n">
        <f aca="false">IF(D924="","",(I924+M924)/2)</f>
        <v>11.7654339043142</v>
      </c>
      <c r="O924" s="16" t="n">
        <f aca="false">IF(D924="","",G924*N924)</f>
        <v>2.22366700791539</v>
      </c>
      <c r="P924" s="16" t="n">
        <f aca="false">IF(D924="","",H924+E924-K924-O924)</f>
        <v>107.489360148016</v>
      </c>
      <c r="Q924" s="16" t="n">
        <f aca="false">IF(D924="","",IF(P924&gt;=0,K924,MAX(0,K924+P924)))</f>
        <v>1.119744</v>
      </c>
      <c r="R924" s="16" t="n">
        <f aca="false">IF(D924="","",Q924/$B$15)</f>
        <v>0.432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107.489360148016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66.3514568814917</v>
      </c>
      <c r="Z924" s="18" t="n">
        <f aca="false">IF(D924="","",MAX(0,IF(P924&gt;=0,P924,IF(K924+P924&gt;=0,0,P924+K924))))</f>
        <v>107.489360148016</v>
      </c>
      <c r="AA924" s="18" t="n">
        <f aca="false">IF(D924="","",IF(H924&lt;=$B$16,1,IF(H924&gt;=$B$17,$B$21,MATCH(H924,Aux_CAV!$A$2:$A$121,1))))</f>
        <v>22</v>
      </c>
      <c r="AB924" s="18" t="n">
        <f aca="false">IF(D924="","",IF(L924&lt;=$B$16,1,IF(L924&gt;=$B$17,$B$21,MATCH(L924,Aux_CAV!$A$2:$A$121,1))))</f>
        <v>22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5.85606814750571</v>
      </c>
      <c r="E925" s="16" t="n">
        <f aca="false">IF(D925="","",D925*$B$15)</f>
        <v>15.1789286383348</v>
      </c>
      <c r="F925" s="16" t="n">
        <f aca="false" t="array" ref="F925:F925">IF(D925="","",IFERROR(INDEX(Dados_Evap!$C$2:$N$15,MATCH($B$9,Dados_Evap!$A$2:$A$15,0),C925),0))</f>
        <v>136.9</v>
      </c>
      <c r="G925" s="16" t="n">
        <f aca="false">IF(F925="","",F925/1000)</f>
        <v>0.1369</v>
      </c>
      <c r="H925" s="16" t="n">
        <f aca="false">IF(D925="","",MAX(0,MIN($B$8,IFERROR(LOOKUP(2,1/($U$24:U924&lt;&gt;""),$U$24:U924),$B$11))))</f>
        <v>107.489360148016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11.8142566297179</v>
      </c>
      <c r="J925" s="16" t="n">
        <f aca="false">IF(D925="","",$B$12)</f>
        <v>0.432</v>
      </c>
      <c r="K925" s="16" t="n">
        <f aca="false">IF(J925="","",J925*$B$15)</f>
        <v>1.119744</v>
      </c>
      <c r="L925" s="16" t="n">
        <f aca="false">IF(D925="","",H925+E925-K925-G925*I925)</f>
        <v>119.931173053743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12.7201047837292</v>
      </c>
      <c r="N925" s="16" t="n">
        <f aca="false">IF(D925="","",(I925+M925)/2)</f>
        <v>12.2671807067236</v>
      </c>
      <c r="O925" s="16" t="n">
        <f aca="false">IF(D925="","",G925*N925)</f>
        <v>1.67937703875046</v>
      </c>
      <c r="P925" s="16" t="n">
        <f aca="false">IF(D925="","",H925+E925-K925-O925)</f>
        <v>119.869167747601</v>
      </c>
      <c r="Q925" s="16" t="n">
        <f aca="false">IF(D925="","",IF(P925&gt;=0,K925,MAX(0,K925+P925)))</f>
        <v>1.119744</v>
      </c>
      <c r="R925" s="16" t="n">
        <f aca="false">IF(D925="","",Q925/$B$15)</f>
        <v>0.432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119.869167747601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73.993313424445</v>
      </c>
      <c r="Z925" s="18" t="n">
        <f aca="false">IF(D925="","",MAX(0,IF(P925&gt;=0,P925,IF(K925+P925&gt;=0,0,P925+K925))))</f>
        <v>119.869167747601</v>
      </c>
      <c r="AA925" s="18" t="n">
        <f aca="false">IF(D925="","",IF(H925&lt;=$B$16,1,IF(H925&gt;=$B$17,$B$21,MATCH(H925,Aux_CAV!$A$2:$A$121,1))))</f>
        <v>22</v>
      </c>
      <c r="AB925" s="18" t="n">
        <f aca="false">IF(D925="","",IF(L925&lt;=$B$16,1,IF(L925&gt;=$B$17,$B$21,MATCH(L925,Aux_CAV!$A$2:$A$121,1))))</f>
        <v>22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17.3564445978158</v>
      </c>
      <c r="E926" s="16" t="n">
        <f aca="false">IF(D926="","",D926*$B$15)</f>
        <v>44.9879043975386</v>
      </c>
      <c r="F926" s="16" t="n">
        <f aca="false" t="array" ref="F926:F926">IF(D926="","",IFERROR(INDEX(Dados_Evap!$C$2:$N$15,MATCH($B$9,Dados_Evap!$A$2:$A$15,0),C926),0))</f>
        <v>102.9</v>
      </c>
      <c r="G926" s="16" t="n">
        <f aca="false">IF(F926="","",F926/1000)</f>
        <v>0.1029</v>
      </c>
      <c r="H926" s="16" t="n">
        <f aca="false">IF(D926="","",MAX(0,MIN($B$8,IFERROR(LOOKUP(2,1/($U$24:U925&lt;&gt;""),$U$24:U925),$B$11))))</f>
        <v>119.869167747601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12.7155903779482</v>
      </c>
      <c r="J926" s="16" t="n">
        <f aca="false">IF(D926="","",$B$12)</f>
        <v>0.432</v>
      </c>
      <c r="K926" s="16" t="n">
        <f aca="false">IF(J926="","",J926*$B$15)</f>
        <v>1.119744</v>
      </c>
      <c r="L926" s="16" t="n">
        <f aca="false">IF(D926="","",H926+E926-K926-G926*I926)</f>
        <v>162.428893895249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15.8086519396396</v>
      </c>
      <c r="N926" s="16" t="n">
        <f aca="false">IF(D926="","",(I926+M926)/2)</f>
        <v>14.2621211587939</v>
      </c>
      <c r="O926" s="16" t="n">
        <f aca="false">IF(D926="","",G926*N926)</f>
        <v>1.46757226723989</v>
      </c>
      <c r="P926" s="16" t="n">
        <f aca="false">IF(D926="","",H926+E926-K926-O926)</f>
        <v>162.269755877899</v>
      </c>
      <c r="Q926" s="16" t="n">
        <f aca="false">IF(D926="","",IF(P926&gt;=0,K926,MAX(0,K926+P926)))</f>
        <v>1.119744</v>
      </c>
      <c r="R926" s="16" t="n">
        <f aca="false">IF(D926="","",Q926/$B$15)</f>
        <v>0.432</v>
      </c>
      <c r="S926" s="16" t="n">
        <f aca="false">IF(D926="","",MAX(0,J926-R926))</f>
        <v>0</v>
      </c>
      <c r="T926" s="16" t="n">
        <f aca="false">IF(D926="","",MAX(0,Z926-$B$8))</f>
        <v>0.269755877899485</v>
      </c>
      <c r="U926" s="16" t="n">
        <f aca="false">IF(D926="","",MAX(0,MIN($B$8,Z926)))</f>
        <v>162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162.269755877899</v>
      </c>
      <c r="AA926" s="18" t="n">
        <f aca="false">IF(D926="","",IF(H926&lt;=$B$16,1,IF(H926&gt;=$B$17,$B$21,MATCH(H926,Aux_CAV!$A$2:$A$121,1))))</f>
        <v>22</v>
      </c>
      <c r="AB926" s="18" t="n">
        <f aca="false">IF(D926="","",IF(L926&lt;=$B$16,1,IF(L926&gt;=$B$17,$B$21,MATCH(L926,Aux_CAV!$A$2:$A$121,1))))</f>
        <v>23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25.4678986473846</v>
      </c>
      <c r="E927" s="16" t="n">
        <f aca="false">IF(D927="","",D927*$B$15)</f>
        <v>66.0127932940209</v>
      </c>
      <c r="F927" s="16" t="n">
        <f aca="false" t="array" ref="F927:F927">IF(D927="","",IFERROR(INDEX(Dados_Evap!$C$2:$N$15,MATCH($B$9,Dados_Evap!$A$2:$A$15,0),C927),0))</f>
        <v>81.8</v>
      </c>
      <c r="G927" s="16" t="n">
        <f aca="false">IF(F927="","",F927/1000)</f>
        <v>0.0818</v>
      </c>
      <c r="H927" s="16" t="n">
        <f aca="false">IF(D927="","",MAX(0,MIN($B$8,IFERROR(LOOKUP(2,1/($U$24:U926&lt;&gt;""),$U$24:U926),$B$11))))</f>
        <v>162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15.783</v>
      </c>
      <c r="J927" s="16" t="n">
        <f aca="false">IF(D927="","",$B$12)</f>
        <v>0.432</v>
      </c>
      <c r="K927" s="16" t="n">
        <f aca="false">IF(J927="","",J927*$B$15)</f>
        <v>1.119744</v>
      </c>
      <c r="L927" s="16" t="n">
        <f aca="false">IF(D927="","",H927+E927-K927-G927*I927)</f>
        <v>225.601999894021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19.5870053269948</v>
      </c>
      <c r="N927" s="16" t="n">
        <f aca="false">IF(D927="","",(I927+M927)/2)</f>
        <v>17.6850026634974</v>
      </c>
      <c r="O927" s="16" t="n">
        <f aca="false">IF(D927="","",G927*N927)</f>
        <v>1.44663321787409</v>
      </c>
      <c r="P927" s="16" t="n">
        <f aca="false">IF(D927="","",H927+E927-K927-O927)</f>
        <v>225.446416076147</v>
      </c>
      <c r="Q927" s="16" t="n">
        <f aca="false">IF(D927="","",IF(P927&gt;=0,K927,MAX(0,K927+P927)))</f>
        <v>1.119744</v>
      </c>
      <c r="R927" s="16" t="n">
        <f aca="false">IF(D927="","",Q927/$B$15)</f>
        <v>0.432</v>
      </c>
      <c r="S927" s="16" t="n">
        <f aca="false">IF(D927="","",MAX(0,J927-R927))</f>
        <v>0</v>
      </c>
      <c r="T927" s="16" t="n">
        <f aca="false">IF(D927="","",MAX(0,Z927-$B$8))</f>
        <v>63.4464160761468</v>
      </c>
      <c r="U927" s="16" t="n">
        <f aca="false">IF(D927="","",MAX(0,MIN($B$8,Z927)))</f>
        <v>162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225.446416076147</v>
      </c>
      <c r="AA927" s="18" t="n">
        <f aca="false">IF(D927="","",IF(H927&lt;=$B$16,1,IF(H927&gt;=$B$17,$B$21,MATCH(H927,Aux_CAV!$A$2:$A$121,1))))</f>
        <v>23</v>
      </c>
      <c r="AB927" s="18" t="n">
        <f aca="false">IF(D927="","",IF(L927&lt;=$B$16,1,IF(L927&gt;=$B$17,$B$21,MATCH(L927,Aux_CAV!$A$2:$A$121,1))))</f>
        <v>23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27.1997293921959</v>
      </c>
      <c r="E928" s="16" t="n">
        <f aca="false">IF(D928="","",D928*$B$15)</f>
        <v>70.5016985845718</v>
      </c>
      <c r="F928" s="16" t="n">
        <f aca="false" t="array" ref="F928:F928">IF(D928="","",IFERROR(INDEX(Dados_Evap!$C$2:$N$15,MATCH($B$9,Dados_Evap!$A$2:$A$15,0),C928),0))</f>
        <v>83.6</v>
      </c>
      <c r="G928" s="16" t="n">
        <f aca="false">IF(F928="","",F928/1000)</f>
        <v>0.0836</v>
      </c>
      <c r="H928" s="16" t="n">
        <f aca="false">IF(D928="","",MAX(0,MIN($B$8,IFERROR(LOOKUP(2,1/($U$24:U927&lt;&gt;""),$U$24:U927),$B$11))))</f>
        <v>162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15.783</v>
      </c>
      <c r="J928" s="16" t="n">
        <f aca="false">IF(D928="","",$B$12)</f>
        <v>0.432</v>
      </c>
      <c r="K928" s="16" t="n">
        <f aca="false">IF(J928="","",J928*$B$15)</f>
        <v>1.119744</v>
      </c>
      <c r="L928" s="16" t="n">
        <f aca="false">IF(D928="","",H928+E928-K928-G928*I928)</f>
        <v>230.062495784572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19.853785462163</v>
      </c>
      <c r="N928" s="16" t="n">
        <f aca="false">IF(D928="","",(I928+M928)/2)</f>
        <v>17.8183927310815</v>
      </c>
      <c r="O928" s="16" t="n">
        <f aca="false">IF(D928="","",G928*N928)</f>
        <v>1.48961763231841</v>
      </c>
      <c r="P928" s="16" t="n">
        <f aca="false">IF(D928="","",H928+E928-K928-O928)</f>
        <v>229.892336952253</v>
      </c>
      <c r="Q928" s="16" t="n">
        <f aca="false">IF(D928="","",IF(P928&gt;=0,K928,MAX(0,K928+P928)))</f>
        <v>1.119744</v>
      </c>
      <c r="R928" s="16" t="n">
        <f aca="false">IF(D928="","",Q928/$B$15)</f>
        <v>0.432</v>
      </c>
      <c r="S928" s="16" t="n">
        <f aca="false">IF(D928="","",MAX(0,J928-R928))</f>
        <v>0</v>
      </c>
      <c r="T928" s="16" t="n">
        <f aca="false">IF(D928="","",MAX(0,Z928-$B$8))</f>
        <v>67.8923369522534</v>
      </c>
      <c r="U928" s="16" t="n">
        <f aca="false">IF(D928="","",MAX(0,MIN($B$8,Z928)))</f>
        <v>162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229.892336952253</v>
      </c>
      <c r="AA928" s="18" t="n">
        <f aca="false">IF(D928="","",IF(H928&lt;=$B$16,1,IF(H928&gt;=$B$17,$B$21,MATCH(H928,Aux_CAV!$A$2:$A$121,1))))</f>
        <v>23</v>
      </c>
      <c r="AB928" s="18" t="n">
        <f aca="false">IF(D928="","",IF(L928&lt;=$B$16,1,IF(L928&gt;=$B$17,$B$21,MATCH(L928,Aux_CAV!$A$2:$A$121,1))))</f>
        <v>23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22.6065112458752</v>
      </c>
      <c r="E929" s="16" t="n">
        <f aca="false">IF(D929="","",D929*$B$15)</f>
        <v>58.5960771493085</v>
      </c>
      <c r="F929" s="16" t="n">
        <f aca="false" t="array" ref="F929:F929">IF(D929="","",IFERROR(INDEX(Dados_Evap!$C$2:$N$15,MATCH($B$9,Dados_Evap!$A$2:$A$15,0),C929),0))</f>
        <v>108.2</v>
      </c>
      <c r="G929" s="16" t="n">
        <f aca="false">IF(F929="","",F929/1000)</f>
        <v>0.1082</v>
      </c>
      <c r="H929" s="16" t="n">
        <f aca="false">IF(D929="","",MAX(0,MIN($B$8,IFERROR(LOOKUP(2,1/($U$24:U928&lt;&gt;""),$U$24:U928),$B$11))))</f>
        <v>162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15.783</v>
      </c>
      <c r="J929" s="16" t="n">
        <f aca="false">IF(D929="","",$B$12)</f>
        <v>0.432</v>
      </c>
      <c r="K929" s="16" t="n">
        <f aca="false">IF(J929="","",J929*$B$15)</f>
        <v>1.119744</v>
      </c>
      <c r="L929" s="16" t="n">
        <f aca="false">IF(D929="","",H929+E929-K929-G929*I929)</f>
        <v>217.768612549309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19.118494160092</v>
      </c>
      <c r="N929" s="16" t="n">
        <f aca="false">IF(D929="","",(I929+M929)/2)</f>
        <v>17.450747080046</v>
      </c>
      <c r="O929" s="16" t="n">
        <f aca="false">IF(D929="","",G929*N929)</f>
        <v>1.88817083406098</v>
      </c>
      <c r="P929" s="16" t="n">
        <f aca="false">IF(D929="","",H929+E929-K929-O929)</f>
        <v>217.588162315248</v>
      </c>
      <c r="Q929" s="16" t="n">
        <f aca="false">IF(D929="","",IF(P929&gt;=0,K929,MAX(0,K929+P929)))</f>
        <v>1.119744</v>
      </c>
      <c r="R929" s="16" t="n">
        <f aca="false">IF(D929="","",Q929/$B$15)</f>
        <v>0.432</v>
      </c>
      <c r="S929" s="16" t="n">
        <f aca="false">IF(D929="","",MAX(0,J929-R929))</f>
        <v>0</v>
      </c>
      <c r="T929" s="16" t="n">
        <f aca="false">IF(D929="","",MAX(0,Z929-$B$8))</f>
        <v>55.5881623152475</v>
      </c>
      <c r="U929" s="16" t="n">
        <f aca="false">IF(D929="","",MAX(0,MIN($B$8,Z929)))</f>
        <v>162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217.588162315248</v>
      </c>
      <c r="AA929" s="18" t="n">
        <f aca="false">IF(D929="","",IF(H929&lt;=$B$16,1,IF(H929&gt;=$B$17,$B$21,MATCH(H929,Aux_CAV!$A$2:$A$121,1))))</f>
        <v>23</v>
      </c>
      <c r="AB929" s="18" t="n">
        <f aca="false">IF(D929="","",IF(L929&lt;=$B$16,1,IF(L929&gt;=$B$17,$B$21,MATCH(L929,Aux_CAV!$A$2:$A$121,1))))</f>
        <v>23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17.7188467765867</v>
      </c>
      <c r="E930" s="16" t="n">
        <f aca="false">IF(D930="","",D930*$B$15)</f>
        <v>45.9272508449127</v>
      </c>
      <c r="F930" s="16" t="n">
        <f aca="false" t="array" ref="F930:F930">IF(D930="","",IFERROR(INDEX(Dados_Evap!$C$2:$N$15,MATCH($B$9,Dados_Evap!$A$2:$A$15,0),C930),0))</f>
        <v>149</v>
      </c>
      <c r="G930" s="16" t="n">
        <f aca="false">IF(F930="","",F930/1000)</f>
        <v>0.149</v>
      </c>
      <c r="H930" s="16" t="n">
        <f aca="false">IF(D930="","",MAX(0,MIN($B$8,IFERROR(LOOKUP(2,1/($U$24:U929&lt;&gt;""),$U$24:U929),$B$11))))</f>
        <v>162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15.783</v>
      </c>
      <c r="J930" s="16" t="n">
        <f aca="false">IF(D930="","",$B$12)</f>
        <v>0.432</v>
      </c>
      <c r="K930" s="16" t="n">
        <f aca="false">IF(J930="","",J930*$B$15)</f>
        <v>1.119744</v>
      </c>
      <c r="L930" s="16" t="n">
        <f aca="false">IF(D930="","",H930+E930-K930-G930*I930)</f>
        <v>204.455839844913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18.3222635640576</v>
      </c>
      <c r="N930" s="16" t="n">
        <f aca="false">IF(D930="","",(I930+M930)/2)</f>
        <v>17.0526317820288</v>
      </c>
      <c r="O930" s="16" t="n">
        <f aca="false">IF(D930="","",G930*N930)</f>
        <v>2.54084213552229</v>
      </c>
      <c r="P930" s="16" t="n">
        <f aca="false">IF(D930="","",H930+E930-K930-O930)</f>
        <v>204.26666470939</v>
      </c>
      <c r="Q930" s="16" t="n">
        <f aca="false">IF(D930="","",IF(P930&gt;=0,K930,MAX(0,K930+P930)))</f>
        <v>1.119744</v>
      </c>
      <c r="R930" s="16" t="n">
        <f aca="false">IF(D930="","",Q930/$B$15)</f>
        <v>0.432</v>
      </c>
      <c r="S930" s="16" t="n">
        <f aca="false">IF(D930="","",MAX(0,J930-R930))</f>
        <v>0</v>
      </c>
      <c r="T930" s="16" t="n">
        <f aca="false">IF(D930="","",MAX(0,Z930-$B$8))</f>
        <v>42.2666647093905</v>
      </c>
      <c r="U930" s="16" t="n">
        <f aca="false">IF(D930="","",MAX(0,MIN($B$8,Z930)))</f>
        <v>162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204.26666470939</v>
      </c>
      <c r="AA930" s="18" t="n">
        <f aca="false">IF(D930="","",IF(H930&lt;=$B$16,1,IF(H930&gt;=$B$17,$B$21,MATCH(H930,Aux_CAV!$A$2:$A$121,1))))</f>
        <v>23</v>
      </c>
      <c r="AB930" s="18" t="n">
        <f aca="false">IF(D930="","",IF(L930&lt;=$B$16,1,IF(L930&gt;=$B$17,$B$21,MATCH(L930,Aux_CAV!$A$2:$A$121,1))))</f>
        <v>23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4.00215704089532</v>
      </c>
      <c r="E931" s="16" t="n">
        <f aca="false">IF(D931="","",D931*$B$15)</f>
        <v>10.3735910500007</v>
      </c>
      <c r="F931" s="16" t="n">
        <f aca="false" t="array" ref="F931:F931">IF(D931="","",IFERROR(INDEX(Dados_Evap!$C$2:$N$15,MATCH($B$9,Dados_Evap!$A$2:$A$15,0),C931),0))</f>
        <v>206.8</v>
      </c>
      <c r="G931" s="16" t="n">
        <f aca="false">IF(F931="","",F931/1000)</f>
        <v>0.2068</v>
      </c>
      <c r="H931" s="16" t="n">
        <f aca="false">IF(D931="","",MAX(0,MIN($B$8,IFERROR(LOOKUP(2,1/($U$24:U930&lt;&gt;""),$U$24:U930),$B$11))))</f>
        <v>162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15.783</v>
      </c>
      <c r="J931" s="16" t="n">
        <f aca="false">IF(D931="","",$B$12)</f>
        <v>0.432</v>
      </c>
      <c r="K931" s="16" t="n">
        <f aca="false">IF(J931="","",J931*$B$15)</f>
        <v>1.119744</v>
      </c>
      <c r="L931" s="16" t="n">
        <f aca="false">IF(D931="","",H931+E931-K931-G931*I931)</f>
        <v>167.989922650001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16.1412544213524</v>
      </c>
      <c r="N931" s="16" t="n">
        <f aca="false">IF(D931="","",(I931+M931)/2)</f>
        <v>15.9621272106762</v>
      </c>
      <c r="O931" s="16" t="n">
        <f aca="false">IF(D931="","",G931*N931)</f>
        <v>3.30096790716784</v>
      </c>
      <c r="P931" s="16" t="n">
        <f aca="false">IF(D931="","",H931+E931-K931-O931)</f>
        <v>167.952879142833</v>
      </c>
      <c r="Q931" s="16" t="n">
        <f aca="false">IF(D931="","",IF(P931&gt;=0,K931,MAX(0,K931+P931)))</f>
        <v>1.119744</v>
      </c>
      <c r="R931" s="16" t="n">
        <f aca="false">IF(D931="","",Q931/$B$15)</f>
        <v>0.432</v>
      </c>
      <c r="S931" s="16" t="n">
        <f aca="false">IF(D931="","",MAX(0,J931-R931))</f>
        <v>0</v>
      </c>
      <c r="T931" s="16" t="n">
        <f aca="false">IF(D931="","",MAX(0,Z931-$B$8))</f>
        <v>5.95287914283284</v>
      </c>
      <c r="U931" s="16" t="n">
        <f aca="false">IF(D931="","",MAX(0,MIN($B$8,Z931)))</f>
        <v>162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100</v>
      </c>
      <c r="Z931" s="18" t="n">
        <f aca="false">IF(D931="","",MAX(0,IF(P931&gt;=0,P931,IF(K931+P931&gt;=0,0,P931+K931))))</f>
        <v>167.952879142833</v>
      </c>
      <c r="AA931" s="18" t="n">
        <f aca="false">IF(D931="","",IF(H931&lt;=$B$16,1,IF(H931&gt;=$B$17,$B$21,MATCH(H931,Aux_CAV!$A$2:$A$121,1))))</f>
        <v>23</v>
      </c>
      <c r="AB931" s="18" t="n">
        <f aca="false">IF(D931="","",IF(L931&lt;=$B$16,1,IF(L931&gt;=$B$17,$B$21,MATCH(L931,Aux_CAV!$A$2:$A$121,1))))</f>
        <v>23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1.72210974557879</v>
      </c>
      <c r="E932" s="16" t="n">
        <f aca="false">IF(D932="","",D932*$B$15)</f>
        <v>4.46370846054022</v>
      </c>
      <c r="F932" s="16" t="n">
        <f aca="false" t="array" ref="F932:F932">IF(D932="","",IFERROR(INDEX(Dados_Evap!$C$2:$N$15,MATCH($B$9,Dados_Evap!$A$2:$A$15,0),C932),0))</f>
        <v>245.9</v>
      </c>
      <c r="G932" s="16" t="n">
        <f aca="false">IF(F932="","",F932/1000)</f>
        <v>0.2459</v>
      </c>
      <c r="H932" s="16" t="n">
        <f aca="false">IF(D932="","",MAX(0,MIN($B$8,IFERROR(LOOKUP(2,1/($U$24:U931&lt;&gt;""),$U$24:U931),$B$11))))</f>
        <v>162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15.783</v>
      </c>
      <c r="J932" s="16" t="n">
        <f aca="false">IF(D932="","",$B$12)</f>
        <v>0.432</v>
      </c>
      <c r="K932" s="16" t="n">
        <f aca="false">IF(J932="","",J932*$B$15)</f>
        <v>1.119744</v>
      </c>
      <c r="L932" s="16" t="n">
        <f aca="false">IF(D932="","",H932+E932-K932-G932*I932)</f>
        <v>161.46292476054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15.7438972890112</v>
      </c>
      <c r="N932" s="16" t="n">
        <f aca="false">IF(D932="","",(I932+M932)/2)</f>
        <v>15.7634486445056</v>
      </c>
      <c r="O932" s="16" t="n">
        <f aca="false">IF(D932="","",G932*N932)</f>
        <v>3.87623202168392</v>
      </c>
      <c r="P932" s="16" t="n">
        <f aca="false">IF(D932="","",H932+E932-K932-O932)</f>
        <v>161.467732438856</v>
      </c>
      <c r="Q932" s="16" t="n">
        <f aca="false">IF(D932="","",IF(P932&gt;=0,K932,MAX(0,K932+P932)))</f>
        <v>1.119744</v>
      </c>
      <c r="R932" s="16" t="n">
        <f aca="false">IF(D932="","",Q932/$B$15)</f>
        <v>0.432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161.467732438856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99.6714397770718</v>
      </c>
      <c r="Z932" s="18" t="n">
        <f aca="false">IF(D932="","",MAX(0,IF(P932&gt;=0,P932,IF(K932+P932&gt;=0,0,P932+K932))))</f>
        <v>161.467732438856</v>
      </c>
      <c r="AA932" s="18" t="n">
        <f aca="false">IF(D932="","",IF(H932&lt;=$B$16,1,IF(H932&gt;=$B$17,$B$21,MATCH(H932,Aux_CAV!$A$2:$A$121,1))))</f>
        <v>23</v>
      </c>
      <c r="AB932" s="18" t="n">
        <f aca="false">IF(D932="","",IF(L932&lt;=$B$16,1,IF(L932&gt;=$B$17,$B$21,MATCH(L932,Aux_CAV!$A$2:$A$121,1))))</f>
        <v>22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1.11490229492007</v>
      </c>
      <c r="E933" s="16" t="n">
        <f aca="false">IF(D933="","",D933*$B$15)</f>
        <v>2.88982674843282</v>
      </c>
      <c r="F933" s="16" t="n">
        <f aca="false" t="array" ref="F933:F933">IF(D933="","",IFERROR(INDEX(Dados_Evap!$C$2:$N$15,MATCH($B$9,Dados_Evap!$A$2:$A$15,0),C933),0))</f>
        <v>282.3</v>
      </c>
      <c r="G933" s="16" t="n">
        <f aca="false">IF(F933="","",F933/1000)</f>
        <v>0.2823</v>
      </c>
      <c r="H933" s="16" t="n">
        <f aca="false">IF(D933="","",MAX(0,MIN($B$8,IFERROR(LOOKUP(2,1/($U$24:U932&lt;&gt;""),$U$24:U932),$B$11))))</f>
        <v>161.467732438856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15.7442473205187</v>
      </c>
      <c r="J933" s="16" t="n">
        <f aca="false">IF(D933="","",$B$12)</f>
        <v>0.432</v>
      </c>
      <c r="K933" s="16" t="n">
        <f aca="false">IF(J933="","",J933*$B$15)</f>
        <v>1.119744</v>
      </c>
      <c r="L933" s="16" t="n">
        <f aca="false">IF(D933="","",H933+E933-K933-G933*I933)</f>
        <v>158.793214168707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15.5495242961297</v>
      </c>
      <c r="N933" s="16" t="n">
        <f aca="false">IF(D933="","",(I933+M933)/2)</f>
        <v>15.6468858083242</v>
      </c>
      <c r="O933" s="16" t="n">
        <f aca="false">IF(D933="","",G933*N933)</f>
        <v>4.41711586368993</v>
      </c>
      <c r="P933" s="16" t="n">
        <f aca="false">IF(D933="","",H933+E933-K933-O933)</f>
        <v>158.820699323599</v>
      </c>
      <c r="Q933" s="16" t="n">
        <f aca="false">IF(D933="","",IF(P933&gt;=0,K933,MAX(0,K933+P933)))</f>
        <v>1.119744</v>
      </c>
      <c r="R933" s="16" t="n">
        <f aca="false">IF(D933="","",Q933/$B$15)</f>
        <v>0.432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158.820699323599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98.0374687182711</v>
      </c>
      <c r="Z933" s="18" t="n">
        <f aca="false">IF(D933="","",MAX(0,IF(P933&gt;=0,P933,IF(K933+P933&gt;=0,0,P933+K933))))</f>
        <v>158.820699323599</v>
      </c>
      <c r="AA933" s="18" t="n">
        <f aca="false">IF(D933="","",IF(H933&lt;=$B$16,1,IF(H933&gt;=$B$17,$B$21,MATCH(H933,Aux_CAV!$A$2:$A$121,1))))</f>
        <v>22</v>
      </c>
      <c r="AB933" s="18" t="n">
        <f aca="false">IF(D933="","",IF(L933&lt;=$B$16,1,IF(L933&gt;=$B$17,$B$21,MATCH(L933,Aux_CAV!$A$2:$A$121,1))))</f>
        <v>22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1.06501420474011</v>
      </c>
      <c r="E934" s="16" t="n">
        <f aca="false">IF(D934="","",D934*$B$15)</f>
        <v>2.76051681868637</v>
      </c>
      <c r="F934" s="16" t="n">
        <f aca="false" t="array" ref="F934:F934">IF(D934="","",IFERROR(INDEX(Dados_Evap!$C$2:$N$15,MATCH($B$9,Dados_Evap!$A$2:$A$15,0),C934),0))</f>
        <v>241.3</v>
      </c>
      <c r="G934" s="16" t="n">
        <f aca="false">IF(F934="","",F934/1000)</f>
        <v>0.2413</v>
      </c>
      <c r="H934" s="16" t="n">
        <f aca="false">IF(D934="","",MAX(0,MIN($B$8,IFERROR(LOOKUP(2,1/($U$24:U933&lt;&gt;""),$U$24:U933),$B$11))))</f>
        <v>158.820699323599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15.5515254013554</v>
      </c>
      <c r="J934" s="16" t="n">
        <f aca="false">IF(D934="","",$B$12)</f>
        <v>0.432</v>
      </c>
      <c r="K934" s="16" t="n">
        <f aca="false">IF(J934="","",J934*$B$15)</f>
        <v>1.119744</v>
      </c>
      <c r="L934" s="16" t="n">
        <f aca="false">IF(D934="","",H934+E934-K934-G934*I934)</f>
        <v>156.708889062939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15.3977713270307</v>
      </c>
      <c r="N934" s="16" t="n">
        <f aca="false">IF(D934="","",(I934+M934)/2)</f>
        <v>15.474648364193</v>
      </c>
      <c r="O934" s="16" t="n">
        <f aca="false">IF(D934="","",G934*N934)</f>
        <v>3.73403265027978</v>
      </c>
      <c r="P934" s="16" t="n">
        <f aca="false">IF(D934="","",H934+E934-K934-O934)</f>
        <v>156.727439492006</v>
      </c>
      <c r="Q934" s="16" t="n">
        <f aca="false">IF(D934="","",IF(P934&gt;=0,K934,MAX(0,K934+P934)))</f>
        <v>1.119744</v>
      </c>
      <c r="R934" s="16" t="n">
        <f aca="false">IF(D934="","",Q934/$B$15)</f>
        <v>0.432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156.727439492006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96.7453330197567</v>
      </c>
      <c r="Z934" s="18" t="n">
        <f aca="false">IF(D934="","",MAX(0,IF(P934&gt;=0,P934,IF(K934+P934&gt;=0,0,P934+K934))))</f>
        <v>156.727439492006</v>
      </c>
      <c r="AA934" s="18" t="n">
        <f aca="false">IF(D934="","",IF(H934&lt;=$B$16,1,IF(H934&gt;=$B$17,$B$21,MATCH(H934,Aux_CAV!$A$2:$A$121,1))))</f>
        <v>22</v>
      </c>
      <c r="AB934" s="18" t="n">
        <f aca="false">IF(D934="","",IF(L934&lt;=$B$16,1,IF(L934&gt;=$B$17,$B$21,MATCH(L934,Aux_CAV!$A$2:$A$121,1))))</f>
        <v>22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2.46095932927369</v>
      </c>
      <c r="E935" s="16" t="n">
        <f aca="false">IF(D935="","",D935*$B$15)</f>
        <v>6.37880658147741</v>
      </c>
      <c r="F935" s="16" t="n">
        <f aca="false" t="array" ref="F935:F935">IF(D935="","",IFERROR(INDEX(Dados_Evap!$C$2:$N$15,MATCH($B$9,Dados_Evap!$A$2:$A$15,0),C935),0))</f>
        <v>241.8</v>
      </c>
      <c r="G935" s="16" t="n">
        <f aca="false">IF(F935="","",F935/1000)</f>
        <v>0.2418</v>
      </c>
      <c r="H935" s="16" t="n">
        <f aca="false">IF(D935="","",MAX(0,MIN($B$8,IFERROR(LOOKUP(2,1/($U$24:U934&lt;&gt;""),$U$24:U934),$B$11))))</f>
        <v>156.727439492006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15.3991219237688</v>
      </c>
      <c r="J935" s="16" t="n">
        <f aca="false">IF(D935="","",$B$12)</f>
        <v>0.432</v>
      </c>
      <c r="K935" s="16" t="n">
        <f aca="false">IF(J935="","",J935*$B$15)</f>
        <v>1.119744</v>
      </c>
      <c r="L935" s="16" t="n">
        <f aca="false">IF(D935="","",H935+E935-K935-G935*I935)</f>
        <v>158.262994392316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15.5109207092326</v>
      </c>
      <c r="N935" s="16" t="n">
        <f aca="false">IF(D935="","",(I935+M935)/2)</f>
        <v>15.4550213165007</v>
      </c>
      <c r="O935" s="16" t="n">
        <f aca="false">IF(D935="","",G935*N935)</f>
        <v>3.73702415432987</v>
      </c>
      <c r="P935" s="16" t="n">
        <f aca="false">IF(D935="","",H935+E935-K935-O935)</f>
        <v>158.249477919153</v>
      </c>
      <c r="Q935" s="16" t="n">
        <f aca="false">IF(D935="","",IF(P935&gt;=0,K935,MAX(0,K935+P935)))</f>
        <v>1.119744</v>
      </c>
      <c r="R935" s="16" t="n">
        <f aca="false">IF(D935="","",Q935/$B$15)</f>
        <v>0.432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158.249477919153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97.6848629130576</v>
      </c>
      <c r="Z935" s="18" t="n">
        <f aca="false">IF(D935="","",MAX(0,IF(P935&gt;=0,P935,IF(K935+P935&gt;=0,0,P935+K935))))</f>
        <v>158.249477919153</v>
      </c>
      <c r="AA935" s="18" t="n">
        <f aca="false">IF(D935="","",IF(H935&lt;=$B$16,1,IF(H935&gt;=$B$17,$B$21,MATCH(H935,Aux_CAV!$A$2:$A$121,1))))</f>
        <v>22</v>
      </c>
      <c r="AB935" s="18" t="n">
        <f aca="false">IF(D935="","",IF(L935&lt;=$B$16,1,IF(L935&gt;=$B$17,$B$21,MATCH(L935,Aux_CAV!$A$2:$A$121,1))))</f>
        <v>22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2.78724363380455</v>
      </c>
      <c r="E936" s="16" t="n">
        <f aca="false">IF(D936="","",D936*$B$15)</f>
        <v>7.22453549882139</v>
      </c>
      <c r="F936" s="16" t="n">
        <f aca="false" t="array" ref="F936:F936">IF(D936="","",IFERROR(INDEX(Dados_Evap!$C$2:$N$15,MATCH($B$9,Dados_Evap!$A$2:$A$15,0),C936),0))</f>
        <v>189</v>
      </c>
      <c r="G936" s="16" t="n">
        <f aca="false">IF(F936="","",F936/1000)</f>
        <v>0.189</v>
      </c>
      <c r="H936" s="16" t="n">
        <f aca="false">IF(D936="","",MAX(0,MIN($B$8,IFERROR(LOOKUP(2,1/($U$24:U935&lt;&gt;""),$U$24:U935),$B$11))))</f>
        <v>158.249477919153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15.5099366185414</v>
      </c>
      <c r="J936" s="16" t="n">
        <f aca="false">IF(D936="","",$B$12)</f>
        <v>0.432</v>
      </c>
      <c r="K936" s="16" t="n">
        <f aca="false">IF(J936="","",J936*$B$15)</f>
        <v>1.119744</v>
      </c>
      <c r="L936" s="16" t="n">
        <f aca="false">IF(D936="","",H936+E936-K936-G936*I936)</f>
        <v>161.42289139707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15.7409825893068</v>
      </c>
      <c r="N936" s="16" t="n">
        <f aca="false">IF(D936="","",(I936+M936)/2)</f>
        <v>15.6254596039241</v>
      </c>
      <c r="O936" s="16" t="n">
        <f aca="false">IF(D936="","",G936*N936)</f>
        <v>2.95321186514165</v>
      </c>
      <c r="P936" s="16" t="n">
        <f aca="false">IF(D936="","",H936+E936-K936-O936)</f>
        <v>161.401057552833</v>
      </c>
      <c r="Q936" s="16" t="n">
        <f aca="false">IF(D936="","",IF(P936&gt;=0,K936,MAX(0,K936+P936)))</f>
        <v>1.119744</v>
      </c>
      <c r="R936" s="16" t="n">
        <f aca="false">IF(D936="","",Q936/$B$15)</f>
        <v>0.432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161.401057552833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99.6302824400204</v>
      </c>
      <c r="Z936" s="18" t="n">
        <f aca="false">IF(D936="","",MAX(0,IF(P936&gt;=0,P936,IF(K936+P936&gt;=0,0,P936+K936))))</f>
        <v>161.401057552833</v>
      </c>
      <c r="AA936" s="18" t="n">
        <f aca="false">IF(D936="","",IF(H936&lt;=$B$16,1,IF(H936&gt;=$B$17,$B$21,MATCH(H936,Aux_CAV!$A$2:$A$121,1))))</f>
        <v>22</v>
      </c>
      <c r="AB936" s="18" t="n">
        <f aca="false">IF(D936="","",IF(L936&lt;=$B$16,1,IF(L936&gt;=$B$17,$B$21,MATCH(L936,Aux_CAV!$A$2:$A$121,1))))</f>
        <v>22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6.12917428353797</v>
      </c>
      <c r="E937" s="16" t="n">
        <f aca="false">IF(D937="","",D937*$B$15)</f>
        <v>15.8868197429304</v>
      </c>
      <c r="F937" s="16" t="n">
        <f aca="false" t="array" ref="F937:F937">IF(D937="","",IFERROR(INDEX(Dados_Evap!$C$2:$N$15,MATCH($B$9,Dados_Evap!$A$2:$A$15,0),C937),0))</f>
        <v>136.9</v>
      </c>
      <c r="G937" s="16" t="n">
        <f aca="false">IF(F937="","",F937/1000)</f>
        <v>0.1369</v>
      </c>
      <c r="H937" s="16" t="n">
        <f aca="false">IF(D937="","",MAX(0,MIN($B$8,IFERROR(LOOKUP(2,1/($U$24:U936&lt;&gt;""),$U$24:U936),$B$11))))</f>
        <v>161.401057552833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15.7393929377305</v>
      </c>
      <c r="J937" s="16" t="n">
        <f aca="false">IF(D937="","",$B$12)</f>
        <v>0.432</v>
      </c>
      <c r="K937" s="16" t="n">
        <f aca="false">IF(J937="","",J937*$B$15)</f>
        <v>1.119744</v>
      </c>
      <c r="L937" s="16" t="n">
        <f aca="false">IF(D937="","",H937+E937-K937-G937*I937)</f>
        <v>174.013410402588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16.5015163555072</v>
      </c>
      <c r="N937" s="16" t="n">
        <f aca="false">IF(D937="","",(I937+M937)/2)</f>
        <v>16.1204546466189</v>
      </c>
      <c r="O937" s="16" t="n">
        <f aca="false">IF(D937="","",G937*N937)</f>
        <v>2.20689024112212</v>
      </c>
      <c r="P937" s="16" t="n">
        <f aca="false">IF(D937="","",H937+E937-K937-O937)</f>
        <v>173.961243054641</v>
      </c>
      <c r="Q937" s="16" t="n">
        <f aca="false">IF(D937="","",IF(P937&gt;=0,K937,MAX(0,K937+P937)))</f>
        <v>1.119744</v>
      </c>
      <c r="R937" s="16" t="n">
        <f aca="false">IF(D937="","",Q937/$B$15)</f>
        <v>0.432</v>
      </c>
      <c r="S937" s="16" t="n">
        <f aca="false">IF(D937="","",MAX(0,J937-R937))</f>
        <v>0</v>
      </c>
      <c r="T937" s="16" t="n">
        <f aca="false">IF(D937="","",MAX(0,Z937-$B$8))</f>
        <v>11.9612430546414</v>
      </c>
      <c r="U937" s="16" t="n">
        <f aca="false">IF(D937="","",MAX(0,MIN($B$8,Z937)))</f>
        <v>162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100</v>
      </c>
      <c r="Z937" s="18" t="n">
        <f aca="false">IF(D937="","",MAX(0,IF(P937&gt;=0,P937,IF(K937+P937&gt;=0,0,P937+K937))))</f>
        <v>173.961243054641</v>
      </c>
      <c r="AA937" s="18" t="n">
        <f aca="false">IF(D937="","",IF(H937&lt;=$B$16,1,IF(H937&gt;=$B$17,$B$21,MATCH(H937,Aux_CAV!$A$2:$A$121,1))))</f>
        <v>22</v>
      </c>
      <c r="AB937" s="18" t="n">
        <f aca="false">IF(D937="","",IF(L937&lt;=$B$16,1,IF(L937&gt;=$B$17,$B$21,MATCH(L937,Aux_CAV!$A$2:$A$121,1))))</f>
        <v>23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16.233447264145</v>
      </c>
      <c r="E938" s="16" t="n">
        <f aca="false">IF(D938="","",D938*$B$15)</f>
        <v>42.0770953086638</v>
      </c>
      <c r="F938" s="16" t="n">
        <f aca="false" t="array" ref="F938:F938">IF(D938="","",IFERROR(INDEX(Dados_Evap!$C$2:$N$15,MATCH($B$9,Dados_Evap!$A$2:$A$15,0),C938),0))</f>
        <v>102.9</v>
      </c>
      <c r="G938" s="16" t="n">
        <f aca="false">IF(F938="","",F938/1000)</f>
        <v>0.1029</v>
      </c>
      <c r="H938" s="16" t="n">
        <f aca="false">IF(D938="","",MAX(0,MIN($B$8,IFERROR(LOOKUP(2,1/($U$24:U937&lt;&gt;""),$U$24:U937),$B$11))))</f>
        <v>162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15.783</v>
      </c>
      <c r="J938" s="16" t="n">
        <f aca="false">IF(D938="","",$B$12)</f>
        <v>0.432</v>
      </c>
      <c r="K938" s="16" t="n">
        <f aca="false">IF(J938="","",J938*$B$15)</f>
        <v>1.119744</v>
      </c>
      <c r="L938" s="16" t="n">
        <f aca="false">IF(D938="","",H938+E938-K938-G938*I938)</f>
        <v>201.333280608664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18.1355047830706</v>
      </c>
      <c r="N938" s="16" t="n">
        <f aca="false">IF(D938="","",(I938+M938)/2)</f>
        <v>16.9592523915353</v>
      </c>
      <c r="O938" s="16" t="n">
        <f aca="false">IF(D938="","",G938*N938)</f>
        <v>1.74510707108898</v>
      </c>
      <c r="P938" s="16" t="n">
        <f aca="false">IF(D938="","",H938+E938-K938-O938)</f>
        <v>201.212244237575</v>
      </c>
      <c r="Q938" s="16" t="n">
        <f aca="false">IF(D938="","",IF(P938&gt;=0,K938,MAX(0,K938+P938)))</f>
        <v>1.119744</v>
      </c>
      <c r="R938" s="16" t="n">
        <f aca="false">IF(D938="","",Q938/$B$15)</f>
        <v>0.432</v>
      </c>
      <c r="S938" s="16" t="n">
        <f aca="false">IF(D938="","",MAX(0,J938-R938))</f>
        <v>0</v>
      </c>
      <c r="T938" s="16" t="n">
        <f aca="false">IF(D938="","",MAX(0,Z938-$B$8))</f>
        <v>39.2122442375749</v>
      </c>
      <c r="U938" s="16" t="n">
        <f aca="false">IF(D938="","",MAX(0,MIN($B$8,Z938)))</f>
        <v>162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201.212244237575</v>
      </c>
      <c r="AA938" s="18" t="n">
        <f aca="false">IF(D938="","",IF(H938&lt;=$B$16,1,IF(H938&gt;=$B$17,$B$21,MATCH(H938,Aux_CAV!$A$2:$A$121,1))))</f>
        <v>23</v>
      </c>
      <c r="AB938" s="18" t="n">
        <f aca="false">IF(D938="","",IF(L938&lt;=$B$16,1,IF(L938&gt;=$B$17,$B$21,MATCH(L938,Aux_CAV!$A$2:$A$121,1))))</f>
        <v>23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36.4190757310772</v>
      </c>
      <c r="E939" s="16" t="n">
        <f aca="false">IF(D939="","",D939*$B$15)</f>
        <v>94.3982442949521</v>
      </c>
      <c r="F939" s="16" t="n">
        <f aca="false" t="array" ref="F939:F939">IF(D939="","",IFERROR(INDEX(Dados_Evap!$C$2:$N$15,MATCH($B$9,Dados_Evap!$A$2:$A$15,0),C939),0))</f>
        <v>81.8</v>
      </c>
      <c r="G939" s="16" t="n">
        <f aca="false">IF(F939="","",F939/1000)</f>
        <v>0.0818</v>
      </c>
      <c r="H939" s="16" t="n">
        <f aca="false">IF(D939="","",MAX(0,MIN($B$8,IFERROR(LOOKUP(2,1/($U$24:U938&lt;&gt;""),$U$24:U938),$B$11))))</f>
        <v>162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15.783</v>
      </c>
      <c r="J939" s="16" t="n">
        <f aca="false">IF(D939="","",$B$12)</f>
        <v>0.432</v>
      </c>
      <c r="K939" s="16" t="n">
        <f aca="false">IF(J939="","",J939*$B$15)</f>
        <v>1.119744</v>
      </c>
      <c r="L939" s="16" t="n">
        <f aca="false">IF(D939="","",H939+E939-K939-G939*I939)</f>
        <v>253.987450894952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21.284725634479</v>
      </c>
      <c r="N939" s="16" t="n">
        <f aca="false">IF(D939="","",(I939+M939)/2)</f>
        <v>18.5338628172395</v>
      </c>
      <c r="O939" s="16" t="n">
        <f aca="false">IF(D939="","",G939*N939)</f>
        <v>1.51606997845019</v>
      </c>
      <c r="P939" s="16" t="n">
        <f aca="false">IF(D939="","",H939+E939-K939-O939)</f>
        <v>253.762430316502</v>
      </c>
      <c r="Q939" s="16" t="n">
        <f aca="false">IF(D939="","",IF(P939&gt;=0,K939,MAX(0,K939+P939)))</f>
        <v>1.119744</v>
      </c>
      <c r="R939" s="16" t="n">
        <f aca="false">IF(D939="","",Q939/$B$15)</f>
        <v>0.432</v>
      </c>
      <c r="S939" s="16" t="n">
        <f aca="false">IF(D939="","",MAX(0,J939-R939))</f>
        <v>0</v>
      </c>
      <c r="T939" s="16" t="n">
        <f aca="false">IF(D939="","",MAX(0,Z939-$B$8))</f>
        <v>91.7624303165019</v>
      </c>
      <c r="U939" s="16" t="n">
        <f aca="false">IF(D939="","",MAX(0,MIN($B$8,Z939)))</f>
        <v>162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253.762430316502</v>
      </c>
      <c r="AA939" s="18" t="n">
        <f aca="false">IF(D939="","",IF(H939&lt;=$B$16,1,IF(H939&gt;=$B$17,$B$21,MATCH(H939,Aux_CAV!$A$2:$A$121,1))))</f>
        <v>23</v>
      </c>
      <c r="AB939" s="18" t="n">
        <f aca="false">IF(D939="","",IF(L939&lt;=$B$16,1,IF(L939&gt;=$B$17,$B$21,MATCH(L939,Aux_CAV!$A$2:$A$121,1))))</f>
        <v>23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21.3717008776131</v>
      </c>
      <c r="E940" s="16" t="n">
        <f aca="false">IF(D940="","",D940*$B$15)</f>
        <v>55.3954486747732</v>
      </c>
      <c r="F940" s="16" t="n">
        <f aca="false" t="array" ref="F940:F940">IF(D940="","",IFERROR(INDEX(Dados_Evap!$C$2:$N$15,MATCH($B$9,Dados_Evap!$A$2:$A$15,0),C940),0))</f>
        <v>83.6</v>
      </c>
      <c r="G940" s="16" t="n">
        <f aca="false">IF(F940="","",F940/1000)</f>
        <v>0.0836</v>
      </c>
      <c r="H940" s="16" t="n">
        <f aca="false">IF(D940="","",MAX(0,MIN($B$8,IFERROR(LOOKUP(2,1/($U$24:U939&lt;&gt;""),$U$24:U939),$B$11))))</f>
        <v>162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15.783</v>
      </c>
      <c r="J940" s="16" t="n">
        <f aca="false">IF(D940="","",$B$12)</f>
        <v>0.432</v>
      </c>
      <c r="K940" s="16" t="n">
        <f aca="false">IF(J940="","",J940*$B$15)</f>
        <v>1.119744</v>
      </c>
      <c r="L940" s="16" t="n">
        <f aca="false">IF(D940="","",H940+E940-K940-G940*I940)</f>
        <v>214.956245874773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18.9502878485102</v>
      </c>
      <c r="N940" s="16" t="n">
        <f aca="false">IF(D940="","",(I940+M940)/2)</f>
        <v>17.3666439242551</v>
      </c>
      <c r="O940" s="16" t="n">
        <f aca="false">IF(D940="","",G940*N940)</f>
        <v>1.45185143206773</v>
      </c>
      <c r="P940" s="16" t="n">
        <f aca="false">IF(D940="","",H940+E940-K940-O940)</f>
        <v>214.823853242705</v>
      </c>
      <c r="Q940" s="16" t="n">
        <f aca="false">IF(D940="","",IF(P940&gt;=0,K940,MAX(0,K940+P940)))</f>
        <v>1.119744</v>
      </c>
      <c r="R940" s="16" t="n">
        <f aca="false">IF(D940="","",Q940/$B$15)</f>
        <v>0.432</v>
      </c>
      <c r="S940" s="16" t="n">
        <f aca="false">IF(D940="","",MAX(0,J940-R940))</f>
        <v>0</v>
      </c>
      <c r="T940" s="16" t="n">
        <f aca="false">IF(D940="","",MAX(0,Z940-$B$8))</f>
        <v>52.8238532427054</v>
      </c>
      <c r="U940" s="16" t="n">
        <f aca="false">IF(D940="","",MAX(0,MIN($B$8,Z940)))</f>
        <v>162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214.823853242705</v>
      </c>
      <c r="AA940" s="18" t="n">
        <f aca="false">IF(D940="","",IF(H940&lt;=$B$16,1,IF(H940&gt;=$B$17,$B$21,MATCH(H940,Aux_CAV!$A$2:$A$121,1))))</f>
        <v>23</v>
      </c>
      <c r="AB940" s="18" t="n">
        <f aca="false">IF(D940="","",IF(L940&lt;=$B$16,1,IF(L940&gt;=$B$17,$B$21,MATCH(L940,Aux_CAV!$A$2:$A$121,1))))</f>
        <v>23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17.4933117486075</v>
      </c>
      <c r="E941" s="16" t="n">
        <f aca="false">IF(D941="","",D941*$B$15)</f>
        <v>45.3426640523906</v>
      </c>
      <c r="F941" s="16" t="n">
        <f aca="false" t="array" ref="F941:F941">IF(D941="","",IFERROR(INDEX(Dados_Evap!$C$2:$N$15,MATCH($B$9,Dados_Evap!$A$2:$A$15,0),C941),0))</f>
        <v>108.2</v>
      </c>
      <c r="G941" s="16" t="n">
        <f aca="false">IF(F941="","",F941/1000)</f>
        <v>0.1082</v>
      </c>
      <c r="H941" s="16" t="n">
        <f aca="false">IF(D941="","",MAX(0,MIN($B$8,IFERROR(LOOKUP(2,1/($U$24:U940&lt;&gt;""),$U$24:U940),$B$11))))</f>
        <v>162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15.783</v>
      </c>
      <c r="J941" s="16" t="n">
        <f aca="false">IF(D941="","",$B$12)</f>
        <v>0.432</v>
      </c>
      <c r="K941" s="16" t="n">
        <f aca="false">IF(J941="","",J941*$B$15)</f>
        <v>1.119744</v>
      </c>
      <c r="L941" s="16" t="n">
        <f aca="false">IF(D941="","",H941+E941-K941-G941*I941)</f>
        <v>204.515199452391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18.3258138339144</v>
      </c>
      <c r="N941" s="16" t="n">
        <f aca="false">IF(D941="","",(I941+M941)/2)</f>
        <v>17.0544069169572</v>
      </c>
      <c r="O941" s="16" t="n">
        <f aca="false">IF(D941="","",G941*N941)</f>
        <v>1.84528682841477</v>
      </c>
      <c r="P941" s="16" t="n">
        <f aca="false">IF(D941="","",H941+E941-K941-O941)</f>
        <v>204.377633223976</v>
      </c>
      <c r="Q941" s="16" t="n">
        <f aca="false">IF(D941="","",IF(P941&gt;=0,K941,MAX(0,K941+P941)))</f>
        <v>1.119744</v>
      </c>
      <c r="R941" s="16" t="n">
        <f aca="false">IF(D941="","",Q941/$B$15)</f>
        <v>0.432</v>
      </c>
      <c r="S941" s="16" t="n">
        <f aca="false">IF(D941="","",MAX(0,J941-R941))</f>
        <v>0</v>
      </c>
      <c r="T941" s="16" t="n">
        <f aca="false">IF(D941="","",MAX(0,Z941-$B$8))</f>
        <v>42.3776332239759</v>
      </c>
      <c r="U941" s="16" t="n">
        <f aca="false">IF(D941="","",MAX(0,MIN($B$8,Z941)))</f>
        <v>162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204.377633223976</v>
      </c>
      <c r="AA941" s="18" t="n">
        <f aca="false">IF(D941="","",IF(H941&lt;=$B$16,1,IF(H941&gt;=$B$17,$B$21,MATCH(H941,Aux_CAV!$A$2:$A$121,1))))</f>
        <v>23</v>
      </c>
      <c r="AB941" s="18" t="n">
        <f aca="false">IF(D941="","",IF(L941&lt;=$B$16,1,IF(L941&gt;=$B$17,$B$21,MATCH(L941,Aux_CAV!$A$2:$A$121,1))))</f>
        <v>23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4.87132975540215</v>
      </c>
      <c r="E942" s="16" t="n">
        <f aca="false">IF(D942="","",D942*$B$15)</f>
        <v>12.6264867260024</v>
      </c>
      <c r="F942" s="16" t="n">
        <f aca="false" t="array" ref="F942:F942">IF(D942="","",IFERROR(INDEX(Dados_Evap!$C$2:$N$15,MATCH($B$9,Dados_Evap!$A$2:$A$15,0),C942),0))</f>
        <v>149</v>
      </c>
      <c r="G942" s="16" t="n">
        <f aca="false">IF(F942="","",F942/1000)</f>
        <v>0.149</v>
      </c>
      <c r="H942" s="16" t="n">
        <f aca="false">IF(D942="","",MAX(0,MIN($B$8,IFERROR(LOOKUP(2,1/($U$24:U941&lt;&gt;""),$U$24:U941),$B$11))))</f>
        <v>162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15.783</v>
      </c>
      <c r="J942" s="16" t="n">
        <f aca="false">IF(D942="","",$B$12)</f>
        <v>0.432</v>
      </c>
      <c r="K942" s="16" t="n">
        <f aca="false">IF(J942="","",J942*$B$15)</f>
        <v>1.119744</v>
      </c>
      <c r="L942" s="16" t="n">
        <f aca="false">IF(D942="","",H942+E942-K942-G942*I942)</f>
        <v>171.155075726002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16.3305607196123</v>
      </c>
      <c r="N942" s="16" t="n">
        <f aca="false">IF(D942="","",(I942+M942)/2)</f>
        <v>16.0567803598062</v>
      </c>
      <c r="O942" s="16" t="n">
        <f aca="false">IF(D942="","",G942*N942)</f>
        <v>2.39246027361112</v>
      </c>
      <c r="P942" s="16" t="n">
        <f aca="false">IF(D942="","",H942+E942-K942-O942)</f>
        <v>171.114282452391</v>
      </c>
      <c r="Q942" s="16" t="n">
        <f aca="false">IF(D942="","",IF(P942&gt;=0,K942,MAX(0,K942+P942)))</f>
        <v>1.119744</v>
      </c>
      <c r="R942" s="16" t="n">
        <f aca="false">IF(D942="","",Q942/$B$15)</f>
        <v>0.432</v>
      </c>
      <c r="S942" s="16" t="n">
        <f aca="false">IF(D942="","",MAX(0,J942-R942))</f>
        <v>0</v>
      </c>
      <c r="T942" s="16" t="n">
        <f aca="false">IF(D942="","",MAX(0,Z942-$B$8))</f>
        <v>9.11428245239128</v>
      </c>
      <c r="U942" s="16" t="n">
        <f aca="false">IF(D942="","",MAX(0,MIN($B$8,Z942)))</f>
        <v>162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171.114282452391</v>
      </c>
      <c r="AA942" s="18" t="n">
        <f aca="false">IF(D942="","",IF(H942&lt;=$B$16,1,IF(H942&gt;=$B$17,$B$21,MATCH(H942,Aux_CAV!$A$2:$A$121,1))))</f>
        <v>23</v>
      </c>
      <c r="AB942" s="18" t="n">
        <f aca="false">IF(D942="","",IF(L942&lt;=$B$16,1,IF(L942&gt;=$B$17,$B$21,MATCH(L942,Aux_CAV!$A$2:$A$121,1))))</f>
        <v>23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3.32193997808692</v>
      </c>
      <c r="E943" s="16" t="n">
        <f aca="false">IF(D943="","",D943*$B$15)</f>
        <v>8.6104684232013</v>
      </c>
      <c r="F943" s="16" t="n">
        <f aca="false" t="array" ref="F943:F943">IF(D943="","",IFERROR(INDEX(Dados_Evap!$C$2:$N$15,MATCH($B$9,Dados_Evap!$A$2:$A$15,0),C943),0))</f>
        <v>206.8</v>
      </c>
      <c r="G943" s="16" t="n">
        <f aca="false">IF(F943="","",F943/1000)</f>
        <v>0.2068</v>
      </c>
      <c r="H943" s="16" t="n">
        <f aca="false">IF(D943="","",MAX(0,MIN($B$8,IFERROR(LOOKUP(2,1/($U$24:U942&lt;&gt;""),$U$24:U942),$B$11))))</f>
        <v>162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15.783</v>
      </c>
      <c r="J943" s="16" t="n">
        <f aca="false">IF(D943="","",$B$12)</f>
        <v>0.432</v>
      </c>
      <c r="K943" s="16" t="n">
        <f aca="false">IF(J943="","",J943*$B$15)</f>
        <v>1.119744</v>
      </c>
      <c r="L943" s="16" t="n">
        <f aca="false">IF(D943="","",H943+E943-K943-G943*I943)</f>
        <v>166.226800023201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16.0358028966258</v>
      </c>
      <c r="N943" s="16" t="n">
        <f aca="false">IF(D943="","",(I943+M943)/2)</f>
        <v>15.9094014483129</v>
      </c>
      <c r="O943" s="16" t="n">
        <f aca="false">IF(D943="","",G943*N943)</f>
        <v>3.2900642195111</v>
      </c>
      <c r="P943" s="16" t="n">
        <f aca="false">IF(D943="","",H943+E943-K943-O943)</f>
        <v>166.20066020369</v>
      </c>
      <c r="Q943" s="16" t="n">
        <f aca="false">IF(D943="","",IF(P943&gt;=0,K943,MAX(0,K943+P943)))</f>
        <v>1.119744</v>
      </c>
      <c r="R943" s="16" t="n">
        <f aca="false">IF(D943="","",Q943/$B$15)</f>
        <v>0.432</v>
      </c>
      <c r="S943" s="16" t="n">
        <f aca="false">IF(D943="","",MAX(0,J943-R943))</f>
        <v>0</v>
      </c>
      <c r="T943" s="16" t="n">
        <f aca="false">IF(D943="","",MAX(0,Z943-$B$8))</f>
        <v>4.20066020369021</v>
      </c>
      <c r="U943" s="16" t="n">
        <f aca="false">IF(D943="","",MAX(0,MIN($B$8,Z943)))</f>
        <v>162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100</v>
      </c>
      <c r="Z943" s="18" t="n">
        <f aca="false">IF(D943="","",MAX(0,IF(P943&gt;=0,P943,IF(K943+P943&gt;=0,0,P943+K943))))</f>
        <v>166.20066020369</v>
      </c>
      <c r="AA943" s="18" t="n">
        <f aca="false">IF(D943="","",IF(H943&lt;=$B$16,1,IF(H943&gt;=$B$17,$B$21,MATCH(H943,Aux_CAV!$A$2:$A$121,1))))</f>
        <v>23</v>
      </c>
      <c r="AB943" s="18" t="n">
        <f aca="false">IF(D943="","",IF(L943&lt;=$B$16,1,IF(L943&gt;=$B$17,$B$21,MATCH(L943,Aux_CAV!$A$2:$A$121,1))))</f>
        <v>23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2.04425055637508</v>
      </c>
      <c r="E944" s="16" t="n">
        <f aca="false">IF(D944="","",D944*$B$15)</f>
        <v>5.29869744212421</v>
      </c>
      <c r="F944" s="16" t="n">
        <f aca="false" t="array" ref="F944:F944">IF(D944="","",IFERROR(INDEX(Dados_Evap!$C$2:$N$15,MATCH($B$9,Dados_Evap!$A$2:$A$15,0),C944),0))</f>
        <v>245.9</v>
      </c>
      <c r="G944" s="16" t="n">
        <f aca="false">IF(F944="","",F944/1000)</f>
        <v>0.2459</v>
      </c>
      <c r="H944" s="16" t="n">
        <f aca="false">IF(D944="","",MAX(0,MIN($B$8,IFERROR(LOOKUP(2,1/($U$24:U943&lt;&gt;""),$U$24:U943),$B$11))))</f>
        <v>162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15.783</v>
      </c>
      <c r="J944" s="16" t="n">
        <f aca="false">IF(D944="","",$B$12)</f>
        <v>0.432</v>
      </c>
      <c r="K944" s="16" t="n">
        <f aca="false">IF(J944="","",J944*$B$15)</f>
        <v>1.119744</v>
      </c>
      <c r="L944" s="16" t="n">
        <f aca="false">IF(D944="","",H944+E944-K944-G944*I944)</f>
        <v>162.297913742124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15.8008180790528</v>
      </c>
      <c r="N944" s="16" t="n">
        <f aca="false">IF(D944="","",(I944+M944)/2)</f>
        <v>15.7919090395264</v>
      </c>
      <c r="O944" s="16" t="n">
        <f aca="false">IF(D944="","",G944*N944)</f>
        <v>3.88323043281954</v>
      </c>
      <c r="P944" s="16" t="n">
        <f aca="false">IF(D944="","",H944+E944-K944-O944)</f>
        <v>162.295723009305</v>
      </c>
      <c r="Q944" s="16" t="n">
        <f aca="false">IF(D944="","",IF(P944&gt;=0,K944,MAX(0,K944+P944)))</f>
        <v>1.119744</v>
      </c>
      <c r="R944" s="16" t="n">
        <f aca="false">IF(D944="","",Q944/$B$15)</f>
        <v>0.432</v>
      </c>
      <c r="S944" s="16" t="n">
        <f aca="false">IF(D944="","",MAX(0,J944-R944))</f>
        <v>0</v>
      </c>
      <c r="T944" s="16" t="n">
        <f aca="false">IF(D944="","",MAX(0,Z944-$B$8))</f>
        <v>0.295723009304652</v>
      </c>
      <c r="U944" s="16" t="n">
        <f aca="false">IF(D944="","",MAX(0,MIN($B$8,Z944)))</f>
        <v>162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100</v>
      </c>
      <c r="Z944" s="18" t="n">
        <f aca="false">IF(D944="","",MAX(0,IF(P944&gt;=0,P944,IF(K944+P944&gt;=0,0,P944+K944))))</f>
        <v>162.295723009305</v>
      </c>
      <c r="AA944" s="18" t="n">
        <f aca="false">IF(D944="","",IF(H944&lt;=$B$16,1,IF(H944&gt;=$B$17,$B$21,MATCH(H944,Aux_CAV!$A$2:$A$121,1))))</f>
        <v>23</v>
      </c>
      <c r="AB944" s="18" t="n">
        <f aca="false">IF(D944="","",IF(L944&lt;=$B$16,1,IF(L944&gt;=$B$17,$B$21,MATCH(L944,Aux_CAV!$A$2:$A$121,1))))</f>
        <v>23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1.96287415726419</v>
      </c>
      <c r="E945" s="16" t="n">
        <f aca="false">IF(D945="","",D945*$B$15)</f>
        <v>5.08776981562878</v>
      </c>
      <c r="F945" s="16" t="n">
        <f aca="false" t="array" ref="F945:F945">IF(D945="","",IFERROR(INDEX(Dados_Evap!$C$2:$N$15,MATCH($B$9,Dados_Evap!$A$2:$A$15,0),C945),0))</f>
        <v>282.3</v>
      </c>
      <c r="G945" s="16" t="n">
        <f aca="false">IF(F945="","",F945/1000)</f>
        <v>0.2823</v>
      </c>
      <c r="H945" s="16" t="n">
        <f aca="false">IF(D945="","",MAX(0,MIN($B$8,IFERROR(LOOKUP(2,1/($U$24:U944&lt;&gt;""),$U$24:U944),$B$11))))</f>
        <v>162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15.783</v>
      </c>
      <c r="J945" s="16" t="n">
        <f aca="false">IF(D945="","",$B$12)</f>
        <v>0.432</v>
      </c>
      <c r="K945" s="16" t="n">
        <f aca="false">IF(J945="","",J945*$B$15)</f>
        <v>1.119744</v>
      </c>
      <c r="L945" s="16" t="n">
        <f aca="false">IF(D945="","",H945+E945-K945-G945*I945)</f>
        <v>161.512484915629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15.7475056035984</v>
      </c>
      <c r="N945" s="16" t="n">
        <f aca="false">IF(D945="","",(I945+M945)/2)</f>
        <v>15.7652528017992</v>
      </c>
      <c r="O945" s="16" t="n">
        <f aca="false">IF(D945="","",G945*N945)</f>
        <v>4.45053086594792</v>
      </c>
      <c r="P945" s="16" t="n">
        <f aca="false">IF(D945="","",H945+E945-K945-O945)</f>
        <v>161.517494949681</v>
      </c>
      <c r="Q945" s="16" t="n">
        <f aca="false">IF(D945="","",IF(P945&gt;=0,K945,MAX(0,K945+P945)))</f>
        <v>1.119744</v>
      </c>
      <c r="R945" s="16" t="n">
        <f aca="false">IF(D945="","",Q945/$B$15)</f>
        <v>0.432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161.517494949681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99.7021573763462</v>
      </c>
      <c r="Z945" s="18" t="n">
        <f aca="false">IF(D945="","",MAX(0,IF(P945&gt;=0,P945,IF(K945+P945&gt;=0,0,P945+K945))))</f>
        <v>161.517494949681</v>
      </c>
      <c r="AA945" s="18" t="n">
        <f aca="false">IF(D945="","",IF(H945&lt;=$B$16,1,IF(H945&gt;=$B$17,$B$21,MATCH(H945,Aux_CAV!$A$2:$A$121,1))))</f>
        <v>23</v>
      </c>
      <c r="AB945" s="18" t="n">
        <f aca="false">IF(D945="","",IF(L945&lt;=$B$16,1,IF(L945&gt;=$B$17,$B$21,MATCH(L945,Aux_CAV!$A$2:$A$121,1))))</f>
        <v>22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1.79084714561768</v>
      </c>
      <c r="E946" s="16" t="n">
        <f aca="false">IF(D946="","",D946*$B$15)</f>
        <v>4.64187580144103</v>
      </c>
      <c r="F946" s="16" t="n">
        <f aca="false" t="array" ref="F946:F946">IF(D946="","",IFERROR(INDEX(Dados_Evap!$C$2:$N$15,MATCH($B$9,Dados_Evap!$A$2:$A$15,0),C946),0))</f>
        <v>241.3</v>
      </c>
      <c r="G946" s="16" t="n">
        <f aca="false">IF(F946="","",F946/1000)</f>
        <v>0.2413</v>
      </c>
      <c r="H946" s="16" t="n">
        <f aca="false">IF(D946="","",MAX(0,MIN($B$8,IFERROR(LOOKUP(2,1/($U$24:U945&lt;&gt;""),$U$24:U945),$B$11))))</f>
        <v>161.517494949681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15.7478703679725</v>
      </c>
      <c r="J946" s="16" t="n">
        <f aca="false">IF(D946="","",$B$12)</f>
        <v>0.432</v>
      </c>
      <c r="K946" s="16" t="n">
        <f aca="false">IF(J946="","",J946*$B$15)</f>
        <v>1.119744</v>
      </c>
      <c r="L946" s="16" t="n">
        <f aca="false">IF(D946="","",H946+E946-K946-G946*I946)</f>
        <v>161.23966563133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15.727642513956</v>
      </c>
      <c r="N946" s="16" t="n">
        <f aca="false">IF(D946="","",(I946+M946)/2)</f>
        <v>15.7377564409643</v>
      </c>
      <c r="O946" s="16" t="n">
        <f aca="false">IF(D946="","",G946*N946)</f>
        <v>3.79752062920468</v>
      </c>
      <c r="P946" s="16" t="n">
        <f aca="false">IF(D946="","",H946+E946-K946-O946)</f>
        <v>161.242106121917</v>
      </c>
      <c r="Q946" s="16" t="n">
        <f aca="false">IF(D946="","",IF(P946&gt;=0,K946,MAX(0,K946+P946)))</f>
        <v>1.119744</v>
      </c>
      <c r="R946" s="16" t="n">
        <f aca="false">IF(D946="","",Q946/$B$15)</f>
        <v>0.432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161.242106121917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99.5321642727884</v>
      </c>
      <c r="Z946" s="18" t="n">
        <f aca="false">IF(D946="","",MAX(0,IF(P946&gt;=0,P946,IF(K946+P946&gt;=0,0,P946+K946))))</f>
        <v>161.242106121917</v>
      </c>
      <c r="AA946" s="18" t="n">
        <f aca="false">IF(D946="","",IF(H946&lt;=$B$16,1,IF(H946&gt;=$B$17,$B$21,MATCH(H946,Aux_CAV!$A$2:$A$121,1))))</f>
        <v>22</v>
      </c>
      <c r="AB946" s="18" t="n">
        <f aca="false">IF(D946="","",IF(L946&lt;=$B$16,1,IF(L946&gt;=$B$17,$B$21,MATCH(L946,Aux_CAV!$A$2:$A$121,1))))</f>
        <v>22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1.69897969211301</v>
      </c>
      <c r="E947" s="16" t="n">
        <f aca="false">IF(D947="","",D947*$B$15)</f>
        <v>4.40375536195692</v>
      </c>
      <c r="F947" s="16" t="n">
        <f aca="false" t="array" ref="F947:F947">IF(D947="","",IFERROR(INDEX(Dados_Evap!$C$2:$N$15,MATCH($B$9,Dados_Evap!$A$2:$A$15,0),C947),0))</f>
        <v>241.8</v>
      </c>
      <c r="G947" s="16" t="n">
        <f aca="false">IF(F947="","",F947/1000)</f>
        <v>0.2418</v>
      </c>
      <c r="H947" s="16" t="n">
        <f aca="false">IF(D947="","",MAX(0,MIN($B$8,IFERROR(LOOKUP(2,1/($U$24:U946&lt;&gt;""),$U$24:U946),$B$11))))</f>
        <v>161.242106121917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15.7278201981818</v>
      </c>
      <c r="J947" s="16" t="n">
        <f aca="false">IF(D947="","",$B$12)</f>
        <v>0.432</v>
      </c>
      <c r="K947" s="16" t="n">
        <f aca="false">IF(J947="","",J947*$B$15)</f>
        <v>1.119744</v>
      </c>
      <c r="L947" s="16" t="n">
        <f aca="false">IF(D947="","",H947+E947-K947-G947*I947)</f>
        <v>160.723130559954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15.6900352661671</v>
      </c>
      <c r="N947" s="16" t="n">
        <f aca="false">IF(D947="","",(I947+M947)/2)</f>
        <v>15.7089277321744</v>
      </c>
      <c r="O947" s="16" t="n">
        <f aca="false">IF(D947="","",G947*N947)</f>
        <v>3.79841872563978</v>
      </c>
      <c r="P947" s="16" t="n">
        <f aca="false">IF(D947="","",H947+E947-K947-O947)</f>
        <v>160.727698758234</v>
      </c>
      <c r="Q947" s="16" t="n">
        <f aca="false">IF(D947="","",IF(P947&gt;=0,K947,MAX(0,K947+P947)))</f>
        <v>1.119744</v>
      </c>
      <c r="R947" s="16" t="n">
        <f aca="false">IF(D947="","",Q947/$B$15)</f>
        <v>0.432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160.727698758234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99.2146288631076</v>
      </c>
      <c r="Z947" s="18" t="n">
        <f aca="false">IF(D947="","",MAX(0,IF(P947&gt;=0,P947,IF(K947+P947&gt;=0,0,P947+K947))))</f>
        <v>160.727698758234</v>
      </c>
      <c r="AA947" s="18" t="n">
        <f aca="false">IF(D947="","",IF(H947&lt;=$B$16,1,IF(H947&gt;=$B$17,$B$21,MATCH(H947,Aux_CAV!$A$2:$A$121,1))))</f>
        <v>22</v>
      </c>
      <c r="AB947" s="18" t="n">
        <f aca="false">IF(D947="","",IF(L947&lt;=$B$16,1,IF(L947&gt;=$B$17,$B$21,MATCH(L947,Aux_CAV!$A$2:$A$121,1))))</f>
        <v>22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1.44217399916709</v>
      </c>
      <c r="E948" s="16" t="n">
        <f aca="false">IF(D948="","",D948*$B$15)</f>
        <v>3.7381150058411</v>
      </c>
      <c r="F948" s="16" t="n">
        <f aca="false" t="array" ref="F948:F948">IF(D948="","",IFERROR(INDEX(Dados_Evap!$C$2:$N$15,MATCH($B$9,Dados_Evap!$A$2:$A$15,0),C948),0))</f>
        <v>189</v>
      </c>
      <c r="G948" s="16" t="n">
        <f aca="false">IF(F948="","",F948/1000)</f>
        <v>0.189</v>
      </c>
      <c r="H948" s="16" t="n">
        <f aca="false">IF(D948="","",MAX(0,MIN($B$8,IFERROR(LOOKUP(2,1/($U$24:U947&lt;&gt;""),$U$24:U947),$B$11))))</f>
        <v>160.727698758234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15.6903678619079</v>
      </c>
      <c r="J948" s="16" t="n">
        <f aca="false">IF(D948="","",$B$12)</f>
        <v>0.432</v>
      </c>
      <c r="K948" s="16" t="n">
        <f aca="false">IF(J948="","",J948*$B$15)</f>
        <v>1.119744</v>
      </c>
      <c r="L948" s="16" t="n">
        <f aca="false">IF(D948="","",H948+E948-K948-G948*I948)</f>
        <v>160.380590238175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15.6650960133019</v>
      </c>
      <c r="N948" s="16" t="n">
        <f aca="false">IF(D948="","",(I948+M948)/2)</f>
        <v>15.6777319376049</v>
      </c>
      <c r="O948" s="16" t="n">
        <f aca="false">IF(D948="","",G948*N948)</f>
        <v>2.96309133620732</v>
      </c>
      <c r="P948" s="16" t="n">
        <f aca="false">IF(D948="","",H948+E948-K948-O948)</f>
        <v>160.382978427868</v>
      </c>
      <c r="Q948" s="16" t="n">
        <f aca="false">IF(D948="","",IF(P948&gt;=0,K948,MAX(0,K948+P948)))</f>
        <v>1.119744</v>
      </c>
      <c r="R948" s="16" t="n">
        <f aca="false">IF(D948="","",Q948/$B$15)</f>
        <v>0.432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160.382978427868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99.0018385357211</v>
      </c>
      <c r="Z948" s="18" t="n">
        <f aca="false">IF(D948="","",MAX(0,IF(P948&gt;=0,P948,IF(K948+P948&gt;=0,0,P948+K948))))</f>
        <v>160.382978427868</v>
      </c>
      <c r="AA948" s="18" t="n">
        <f aca="false">IF(D948="","",IF(H948&lt;=$B$16,1,IF(H948&gt;=$B$17,$B$21,MATCH(H948,Aux_CAV!$A$2:$A$121,1))))</f>
        <v>22</v>
      </c>
      <c r="AB948" s="18" t="n">
        <f aca="false">IF(D948="","",IF(L948&lt;=$B$16,1,IF(L948&gt;=$B$17,$B$21,MATCH(L948,Aux_CAV!$A$2:$A$121,1))))</f>
        <v>22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1.95225587896653</v>
      </c>
      <c r="E949" s="16" t="n">
        <f aca="false">IF(D949="","",D949*$B$15)</f>
        <v>5.06024723828125</v>
      </c>
      <c r="F949" s="16" t="n">
        <f aca="false" t="array" ref="F949:F949">IF(D949="","",IFERROR(INDEX(Dados_Evap!$C$2:$N$15,MATCH($B$9,Dados_Evap!$A$2:$A$15,0),C949),0))</f>
        <v>136.9</v>
      </c>
      <c r="G949" s="16" t="n">
        <f aca="false">IF(F949="","",F949/1000)</f>
        <v>0.1369</v>
      </c>
      <c r="H949" s="16" t="n">
        <f aca="false">IF(D949="","",MAX(0,MIN($B$8,IFERROR(LOOKUP(2,1/($U$24:U948&lt;&gt;""),$U$24:U948),$B$11))))</f>
        <v>160.382978427868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15.6652698896687</v>
      </c>
      <c r="J949" s="16" t="n">
        <f aca="false">IF(D949="","",$B$12)</f>
        <v>0.432</v>
      </c>
      <c r="K949" s="16" t="n">
        <f aca="false">IF(J949="","",J949*$B$15)</f>
        <v>1.119744</v>
      </c>
      <c r="L949" s="16" t="n">
        <f aca="false">IF(D949="","",H949+E949-K949-G949*I949)</f>
        <v>162.178906218254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15.7937002957203</v>
      </c>
      <c r="N949" s="16" t="n">
        <f aca="false">IF(D949="","",(I949+M949)/2)</f>
        <v>15.7294850926945</v>
      </c>
      <c r="O949" s="16" t="n">
        <f aca="false">IF(D949="","",G949*N949)</f>
        <v>2.15336650918988</v>
      </c>
      <c r="P949" s="16" t="n">
        <f aca="false">IF(D949="","",H949+E949-K949-O949)</f>
        <v>162.17011515696</v>
      </c>
      <c r="Q949" s="16" t="n">
        <f aca="false">IF(D949="","",IF(P949&gt;=0,K949,MAX(0,K949+P949)))</f>
        <v>1.119744</v>
      </c>
      <c r="R949" s="16" t="n">
        <f aca="false">IF(D949="","",Q949/$B$15)</f>
        <v>0.432</v>
      </c>
      <c r="S949" s="16" t="n">
        <f aca="false">IF(D949="","",MAX(0,J949-R949))</f>
        <v>0</v>
      </c>
      <c r="T949" s="16" t="n">
        <f aca="false">IF(D949="","",MAX(0,Z949-$B$8))</f>
        <v>0.170115156959497</v>
      </c>
      <c r="U949" s="16" t="n">
        <f aca="false">IF(D949="","",MAX(0,MIN($B$8,Z949)))</f>
        <v>162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100</v>
      </c>
      <c r="Z949" s="18" t="n">
        <f aca="false">IF(D949="","",MAX(0,IF(P949&gt;=0,P949,IF(K949+P949&gt;=0,0,P949+K949))))</f>
        <v>162.17011515696</v>
      </c>
      <c r="AA949" s="18" t="n">
        <f aca="false">IF(D949="","",IF(H949&lt;=$B$16,1,IF(H949&gt;=$B$17,$B$21,MATCH(H949,Aux_CAV!$A$2:$A$121,1))))</f>
        <v>22</v>
      </c>
      <c r="AB949" s="18" t="n">
        <f aca="false">IF(D949="","",IF(L949&lt;=$B$16,1,IF(L949&gt;=$B$17,$B$21,MATCH(L949,Aux_CAV!$A$2:$A$121,1))))</f>
        <v>23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7.85023715900605</v>
      </c>
      <c r="E950" s="16" t="n">
        <f aca="false">IF(D950="","",D950*$B$15)</f>
        <v>20.3478147161437</v>
      </c>
      <c r="F950" s="16" t="n">
        <f aca="false" t="array" ref="F950:F950">IF(D950="","",IFERROR(INDEX(Dados_Evap!$C$2:$N$15,MATCH($B$9,Dados_Evap!$A$2:$A$15,0),C950),0))</f>
        <v>102.9</v>
      </c>
      <c r="G950" s="16" t="n">
        <f aca="false">IF(F950="","",F950/1000)</f>
        <v>0.1029</v>
      </c>
      <c r="H950" s="16" t="n">
        <f aca="false">IF(D950="","",MAX(0,MIN($B$8,IFERROR(LOOKUP(2,1/($U$24:U949&lt;&gt;""),$U$24:U949),$B$11))))</f>
        <v>162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15.783</v>
      </c>
      <c r="J950" s="16" t="n">
        <f aca="false">IF(D950="","",$B$12)</f>
        <v>0.432</v>
      </c>
      <c r="K950" s="16" t="n">
        <f aca="false">IF(J950="","",J950*$B$15)</f>
        <v>1.119744</v>
      </c>
      <c r="L950" s="16" t="n">
        <f aca="false">IF(D950="","",H950+E950-K950-G950*I950)</f>
        <v>179.604000016144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16.8358868581084</v>
      </c>
      <c r="N950" s="16" t="n">
        <f aca="false">IF(D950="","",(I950+M950)/2)</f>
        <v>16.3094434290542</v>
      </c>
      <c r="O950" s="16" t="n">
        <f aca="false">IF(D950="","",G950*N950)</f>
        <v>1.67824172884968</v>
      </c>
      <c r="P950" s="16" t="n">
        <f aca="false">IF(D950="","",H950+E950-K950-O950)</f>
        <v>179.549828987294</v>
      </c>
      <c r="Q950" s="16" t="n">
        <f aca="false">IF(D950="","",IF(P950&gt;=0,K950,MAX(0,K950+P950)))</f>
        <v>1.119744</v>
      </c>
      <c r="R950" s="16" t="n">
        <f aca="false">IF(D950="","",Q950/$B$15)</f>
        <v>0.432</v>
      </c>
      <c r="S950" s="16" t="n">
        <f aca="false">IF(D950="","",MAX(0,J950-R950))</f>
        <v>0</v>
      </c>
      <c r="T950" s="16" t="n">
        <f aca="false">IF(D950="","",MAX(0,Z950-$B$8))</f>
        <v>17.549828987294</v>
      </c>
      <c r="U950" s="16" t="n">
        <f aca="false">IF(D950="","",MAX(0,MIN($B$8,Z950)))</f>
        <v>162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100</v>
      </c>
      <c r="Z950" s="18" t="n">
        <f aca="false">IF(D950="","",MAX(0,IF(P950&gt;=0,P950,IF(K950+P950&gt;=0,0,P950+K950))))</f>
        <v>179.549828987294</v>
      </c>
      <c r="AA950" s="18" t="n">
        <f aca="false">IF(D950="","",IF(H950&lt;=$B$16,1,IF(H950&gt;=$B$17,$B$21,MATCH(H950,Aux_CAV!$A$2:$A$121,1))))</f>
        <v>23</v>
      </c>
      <c r="AB950" s="18" t="n">
        <f aca="false">IF(D950="","",IF(L950&lt;=$B$16,1,IF(L950&gt;=$B$17,$B$21,MATCH(L950,Aux_CAV!$A$2:$A$121,1))))</f>
        <v>23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9.1376548177284</v>
      </c>
      <c r="E951" s="16" t="n">
        <f aca="false">IF(D951="","",D951*$B$15)</f>
        <v>23.684801287552</v>
      </c>
      <c r="F951" s="16" t="n">
        <f aca="false" t="array" ref="F951:F951">IF(D951="","",IFERROR(INDEX(Dados_Evap!$C$2:$N$15,MATCH($B$9,Dados_Evap!$A$2:$A$15,0),C951),0))</f>
        <v>81.8</v>
      </c>
      <c r="G951" s="16" t="n">
        <f aca="false">IF(F951="","",F951/1000)</f>
        <v>0.0818</v>
      </c>
      <c r="H951" s="16" t="n">
        <f aca="false">IF(D951="","",MAX(0,MIN($B$8,IFERROR(LOOKUP(2,1/($U$24:U950&lt;&gt;""),$U$24:U950),$B$11))))</f>
        <v>162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15.783</v>
      </c>
      <c r="J951" s="16" t="n">
        <f aca="false">IF(D951="","",$B$12)</f>
        <v>0.432</v>
      </c>
      <c r="K951" s="16" t="n">
        <f aca="false">IF(J951="","",J951*$B$15)</f>
        <v>1.119744</v>
      </c>
      <c r="L951" s="16" t="n">
        <f aca="false">IF(D951="","",H951+E951-K951-G951*I951)</f>
        <v>183.274007887552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17.0553882812745</v>
      </c>
      <c r="N951" s="16" t="n">
        <f aca="false">IF(D951="","",(I951+M951)/2)</f>
        <v>16.4191941406373</v>
      </c>
      <c r="O951" s="16" t="n">
        <f aca="false">IF(D951="","",G951*N951)</f>
        <v>1.34309008070413</v>
      </c>
      <c r="P951" s="16" t="n">
        <f aca="false">IF(D951="","",H951+E951-K951-O951)</f>
        <v>183.221967206848</v>
      </c>
      <c r="Q951" s="16" t="n">
        <f aca="false">IF(D951="","",IF(P951&gt;=0,K951,MAX(0,K951+P951)))</f>
        <v>1.119744</v>
      </c>
      <c r="R951" s="16" t="n">
        <f aca="false">IF(D951="","",Q951/$B$15)</f>
        <v>0.432</v>
      </c>
      <c r="S951" s="16" t="n">
        <f aca="false">IF(D951="","",MAX(0,J951-R951))</f>
        <v>0</v>
      </c>
      <c r="T951" s="16" t="n">
        <f aca="false">IF(D951="","",MAX(0,Z951-$B$8))</f>
        <v>21.2219672068479</v>
      </c>
      <c r="U951" s="16" t="n">
        <f aca="false">IF(D951="","",MAX(0,MIN($B$8,Z951)))</f>
        <v>162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183.221967206848</v>
      </c>
      <c r="AA951" s="18" t="n">
        <f aca="false">IF(D951="","",IF(H951&lt;=$B$16,1,IF(H951&gt;=$B$17,$B$21,MATCH(H951,Aux_CAV!$A$2:$A$121,1))))</f>
        <v>23</v>
      </c>
      <c r="AB951" s="18" t="n">
        <f aca="false">IF(D951="","",IF(L951&lt;=$B$16,1,IF(L951&gt;=$B$17,$B$21,MATCH(L951,Aux_CAV!$A$2:$A$121,1))))</f>
        <v>23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2.71692525987092</v>
      </c>
      <c r="E952" s="16" t="n">
        <f aca="false">IF(D952="","",D952*$B$15)</f>
        <v>7.04227027358543</v>
      </c>
      <c r="F952" s="16" t="n">
        <f aca="false" t="array" ref="F952:F952">IF(D952="","",IFERROR(INDEX(Dados_Evap!$C$2:$N$15,MATCH($B$9,Dados_Evap!$A$2:$A$15,0),C952),0))</f>
        <v>83.6</v>
      </c>
      <c r="G952" s="16" t="n">
        <f aca="false">IF(F952="","",F952/1000)</f>
        <v>0.0836</v>
      </c>
      <c r="H952" s="16" t="n">
        <f aca="false">IF(D952="","",MAX(0,MIN($B$8,IFERROR(LOOKUP(2,1/($U$24:U951&lt;&gt;""),$U$24:U951),$B$11))))</f>
        <v>162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15.783</v>
      </c>
      <c r="J952" s="16" t="n">
        <f aca="false">IF(D952="","",$B$12)</f>
        <v>0.432</v>
      </c>
      <c r="K952" s="16" t="n">
        <f aca="false">IF(J952="","",J952*$B$15)</f>
        <v>1.119744</v>
      </c>
      <c r="L952" s="16" t="n">
        <f aca="false">IF(D952="","",H952+E952-K952-G952*I952)</f>
        <v>166.603067473585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16.0583072736583</v>
      </c>
      <c r="N952" s="16" t="n">
        <f aca="false">IF(D952="","",(I952+M952)/2)</f>
        <v>15.9206536368291</v>
      </c>
      <c r="O952" s="16" t="n">
        <f aca="false">IF(D952="","",G952*N952)</f>
        <v>1.33096664403891</v>
      </c>
      <c r="P952" s="16" t="n">
        <f aca="false">IF(D952="","",H952+E952-K952-O952)</f>
        <v>166.591559629547</v>
      </c>
      <c r="Q952" s="16" t="n">
        <f aca="false">IF(D952="","",IF(P952&gt;=0,K952,MAX(0,K952+P952)))</f>
        <v>1.119744</v>
      </c>
      <c r="R952" s="16" t="n">
        <f aca="false">IF(D952="","",Q952/$B$15)</f>
        <v>0.432</v>
      </c>
      <c r="S952" s="16" t="n">
        <f aca="false">IF(D952="","",MAX(0,J952-R952))</f>
        <v>0</v>
      </c>
      <c r="T952" s="16" t="n">
        <f aca="false">IF(D952="","",MAX(0,Z952-$B$8))</f>
        <v>4.59155962954651</v>
      </c>
      <c r="U952" s="16" t="n">
        <f aca="false">IF(D952="","",MAX(0,MIN($B$8,Z952)))</f>
        <v>162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166.591559629547</v>
      </c>
      <c r="AA952" s="18" t="n">
        <f aca="false">IF(D952="","",IF(H952&lt;=$B$16,1,IF(H952&gt;=$B$17,$B$21,MATCH(H952,Aux_CAV!$A$2:$A$121,1))))</f>
        <v>23</v>
      </c>
      <c r="AB952" s="18" t="n">
        <f aca="false">IF(D952="","",IF(L952&lt;=$B$16,1,IF(L952&gt;=$B$17,$B$21,MATCH(L952,Aux_CAV!$A$2:$A$121,1))))</f>
        <v>23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12.6314694427515</v>
      </c>
      <c r="E953" s="16" t="n">
        <f aca="false">IF(D953="","",D953*$B$15)</f>
        <v>32.7407687956119</v>
      </c>
      <c r="F953" s="16" t="n">
        <f aca="false" t="array" ref="F953:F953">IF(D953="","",IFERROR(INDEX(Dados_Evap!$C$2:$N$15,MATCH($B$9,Dados_Evap!$A$2:$A$15,0),C953),0))</f>
        <v>108.2</v>
      </c>
      <c r="G953" s="16" t="n">
        <f aca="false">IF(F953="","",F953/1000)</f>
        <v>0.1082</v>
      </c>
      <c r="H953" s="16" t="n">
        <f aca="false">IF(D953="","",MAX(0,MIN($B$8,IFERROR(LOOKUP(2,1/($U$24:U952&lt;&gt;""),$U$24:U952),$B$11))))</f>
        <v>162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15.783</v>
      </c>
      <c r="J953" s="16" t="n">
        <f aca="false">IF(D953="","",$B$12)</f>
        <v>0.432</v>
      </c>
      <c r="K953" s="16" t="n">
        <f aca="false">IF(J953="","",J953*$B$15)</f>
        <v>1.119744</v>
      </c>
      <c r="L953" s="16" t="n">
        <f aca="false">IF(D953="","",H953+E953-K953-G953*I953)</f>
        <v>191.913304195612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17.572100479509</v>
      </c>
      <c r="N953" s="16" t="n">
        <f aca="false">IF(D953="","",(I953+M953)/2)</f>
        <v>16.6775502397545</v>
      </c>
      <c r="O953" s="16" t="n">
        <f aca="false">IF(D953="","",G953*N953)</f>
        <v>1.80451093594144</v>
      </c>
      <c r="P953" s="16" t="n">
        <f aca="false">IF(D953="","",H953+E953-K953-O953)</f>
        <v>191.81651385967</v>
      </c>
      <c r="Q953" s="16" t="n">
        <f aca="false">IF(D953="","",IF(P953&gt;=0,K953,MAX(0,K953+P953)))</f>
        <v>1.119744</v>
      </c>
      <c r="R953" s="16" t="n">
        <f aca="false">IF(D953="","",Q953/$B$15)</f>
        <v>0.432</v>
      </c>
      <c r="S953" s="16" t="n">
        <f aca="false">IF(D953="","",MAX(0,J953-R953))</f>
        <v>0</v>
      </c>
      <c r="T953" s="16" t="n">
        <f aca="false">IF(D953="","",MAX(0,Z953-$B$8))</f>
        <v>29.8165138596705</v>
      </c>
      <c r="U953" s="16" t="n">
        <f aca="false">IF(D953="","",MAX(0,MIN($B$8,Z953)))</f>
        <v>162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191.81651385967</v>
      </c>
      <c r="AA953" s="18" t="n">
        <f aca="false">IF(D953="","",IF(H953&lt;=$B$16,1,IF(H953&gt;=$B$17,$B$21,MATCH(H953,Aux_CAV!$A$2:$A$121,1))))</f>
        <v>23</v>
      </c>
      <c r="AB953" s="18" t="n">
        <f aca="false">IF(D953="","",IF(L953&lt;=$B$16,1,IF(L953&gt;=$B$17,$B$21,MATCH(L953,Aux_CAV!$A$2:$A$121,1))))</f>
        <v>23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2.11534019556986</v>
      </c>
      <c r="E954" s="16" t="n">
        <f aca="false">IF(D954="","",D954*$B$15)</f>
        <v>5.48296178691708</v>
      </c>
      <c r="F954" s="16" t="n">
        <f aca="false" t="array" ref="F954:F954">IF(D954="","",IFERROR(INDEX(Dados_Evap!$C$2:$N$15,MATCH($B$9,Dados_Evap!$A$2:$A$15,0),C954),0))</f>
        <v>149</v>
      </c>
      <c r="G954" s="16" t="n">
        <f aca="false">IF(F954="","",F954/1000)</f>
        <v>0.149</v>
      </c>
      <c r="H954" s="16" t="n">
        <f aca="false">IF(D954="","",MAX(0,MIN($B$8,IFERROR(LOOKUP(2,1/($U$24:U953&lt;&gt;""),$U$24:U953),$B$11))))</f>
        <v>162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15.783</v>
      </c>
      <c r="J954" s="16" t="n">
        <f aca="false">IF(D954="","",$B$12)</f>
        <v>0.432</v>
      </c>
      <c r="K954" s="16" t="n">
        <f aca="false">IF(J954="","",J954*$B$15)</f>
        <v>1.119744</v>
      </c>
      <c r="L954" s="16" t="n">
        <f aca="false">IF(D954="","",H954+E954-K954-G954*I954)</f>
        <v>164.011550786917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15.9033098946842</v>
      </c>
      <c r="N954" s="16" t="n">
        <f aca="false">IF(D954="","",(I954+M954)/2)</f>
        <v>15.8431549473421</v>
      </c>
      <c r="O954" s="16" t="n">
        <f aca="false">IF(D954="","",G954*N954)</f>
        <v>2.36063008715397</v>
      </c>
      <c r="P954" s="16" t="n">
        <f aca="false">IF(D954="","",H954+E954-K954-O954)</f>
        <v>164.002587699763</v>
      </c>
      <c r="Q954" s="16" t="n">
        <f aca="false">IF(D954="","",IF(P954&gt;=0,K954,MAX(0,K954+P954)))</f>
        <v>1.119744</v>
      </c>
      <c r="R954" s="16" t="n">
        <f aca="false">IF(D954="","",Q954/$B$15)</f>
        <v>0.432</v>
      </c>
      <c r="S954" s="16" t="n">
        <f aca="false">IF(D954="","",MAX(0,J954-R954))</f>
        <v>0</v>
      </c>
      <c r="T954" s="16" t="n">
        <f aca="false">IF(D954="","",MAX(0,Z954-$B$8))</f>
        <v>2.00258769976313</v>
      </c>
      <c r="U954" s="16" t="n">
        <f aca="false">IF(D954="","",MAX(0,MIN($B$8,Z954)))</f>
        <v>162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100</v>
      </c>
      <c r="Z954" s="18" t="n">
        <f aca="false">IF(D954="","",MAX(0,IF(P954&gt;=0,P954,IF(K954+P954&gt;=0,0,P954+K954))))</f>
        <v>164.002587699763</v>
      </c>
      <c r="AA954" s="18" t="n">
        <f aca="false">IF(D954="","",IF(H954&lt;=$B$16,1,IF(H954&gt;=$B$17,$B$21,MATCH(H954,Aux_CAV!$A$2:$A$121,1))))</f>
        <v>23</v>
      </c>
      <c r="AB954" s="18" t="n">
        <f aca="false">IF(D954="","",IF(L954&lt;=$B$16,1,IF(L954&gt;=$B$17,$B$21,MATCH(L954,Aux_CAV!$A$2:$A$121,1))))</f>
        <v>23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0.815367309883378</v>
      </c>
      <c r="E955" s="16" t="n">
        <f aca="false">IF(D955="","",D955*$B$15)</f>
        <v>2.11343206721772</v>
      </c>
      <c r="F955" s="16" t="n">
        <f aca="false" t="array" ref="F955:F955">IF(D955="","",IFERROR(INDEX(Dados_Evap!$C$2:$N$15,MATCH($B$9,Dados_Evap!$A$2:$A$15,0),C955),0))</f>
        <v>206.8</v>
      </c>
      <c r="G955" s="16" t="n">
        <f aca="false">IF(F955="","",F955/1000)</f>
        <v>0.2068</v>
      </c>
      <c r="H955" s="16" t="n">
        <f aca="false">IF(D955="","",MAX(0,MIN($B$8,IFERROR(LOOKUP(2,1/($U$24:U954&lt;&gt;""),$U$24:U954),$B$11))))</f>
        <v>162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15.783</v>
      </c>
      <c r="J955" s="16" t="n">
        <f aca="false">IF(D955="","",$B$12)</f>
        <v>0.432</v>
      </c>
      <c r="K955" s="16" t="n">
        <f aca="false">IF(J955="","",J955*$B$15)</f>
        <v>1.119744</v>
      </c>
      <c r="L955" s="16" t="n">
        <f aca="false">IF(D955="","",H955+E955-K955-G955*I955)</f>
        <v>159.729763667218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15.617711435801</v>
      </c>
      <c r="N955" s="16" t="n">
        <f aca="false">IF(D955="","",(I955+M955)/2)</f>
        <v>15.7003557179005</v>
      </c>
      <c r="O955" s="16" t="n">
        <f aca="false">IF(D955="","",G955*N955)</f>
        <v>3.24683356246182</v>
      </c>
      <c r="P955" s="16" t="n">
        <f aca="false">IF(D955="","",H955+E955-K955-O955)</f>
        <v>159.746854504756</v>
      </c>
      <c r="Q955" s="16" t="n">
        <f aca="false">IF(D955="","",IF(P955&gt;=0,K955,MAX(0,K955+P955)))</f>
        <v>1.119744</v>
      </c>
      <c r="R955" s="16" t="n">
        <f aca="false">IF(D955="","",Q955/$B$15)</f>
        <v>0.432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159.746854504756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98.6091694473802</v>
      </c>
      <c r="Z955" s="18" t="n">
        <f aca="false">IF(D955="","",MAX(0,IF(P955&gt;=0,P955,IF(K955+P955&gt;=0,0,P955+K955))))</f>
        <v>159.746854504756</v>
      </c>
      <c r="AA955" s="18" t="n">
        <f aca="false">IF(D955="","",IF(H955&lt;=$B$16,1,IF(H955&gt;=$B$17,$B$21,MATCH(H955,Aux_CAV!$A$2:$A$121,1))))</f>
        <v>23</v>
      </c>
      <c r="AB955" s="18" t="n">
        <f aca="false">IF(D955="","",IF(L955&lt;=$B$16,1,IF(L955&gt;=$B$17,$B$21,MATCH(L955,Aux_CAV!$A$2:$A$121,1))))</f>
        <v>22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0.723735978962017</v>
      </c>
      <c r="E956" s="16" t="n">
        <f aca="false">IF(D956="","",D956*$B$15)</f>
        <v>1.87592365746955</v>
      </c>
      <c r="F956" s="16" t="n">
        <f aca="false" t="array" ref="F956:F956">IF(D956="","",IFERROR(INDEX(Dados_Evap!$C$2:$N$15,MATCH($B$9,Dados_Evap!$A$2:$A$15,0),C956),0))</f>
        <v>245.9</v>
      </c>
      <c r="G956" s="16" t="n">
        <f aca="false">IF(F956="","",F956/1000)</f>
        <v>0.2459</v>
      </c>
      <c r="H956" s="16" t="n">
        <f aca="false">IF(D956="","",MAX(0,MIN($B$8,IFERROR(LOOKUP(2,1/($U$24:U955&lt;&gt;""),$U$24:U955),$B$11))))</f>
        <v>159.746854504756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15.618955764401</v>
      </c>
      <c r="J956" s="16" t="n">
        <f aca="false">IF(D956="","",$B$12)</f>
        <v>0.432</v>
      </c>
      <c r="K956" s="16" t="n">
        <f aca="false">IF(J956="","",J956*$B$15)</f>
        <v>1.119744</v>
      </c>
      <c r="L956" s="16" t="n">
        <f aca="false">IF(D956="","",H956+E956-K956-G956*I956)</f>
        <v>156.662332939759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15.39438172629</v>
      </c>
      <c r="N956" s="16" t="n">
        <f aca="false">IF(D956="","",(I956+M956)/2)</f>
        <v>15.5066687453455</v>
      </c>
      <c r="O956" s="16" t="n">
        <f aca="false">IF(D956="","",G956*N956)</f>
        <v>3.81308984448046</v>
      </c>
      <c r="P956" s="16" t="n">
        <f aca="false">IF(D956="","",H956+E956-K956-O956)</f>
        <v>156.689944317745</v>
      </c>
      <c r="Q956" s="16" t="n">
        <f aca="false">IF(D956="","",IF(P956&gt;=0,K956,MAX(0,K956+P956)))</f>
        <v>1.119744</v>
      </c>
      <c r="R956" s="16" t="n">
        <f aca="false">IF(D956="","",Q956/$B$15)</f>
        <v>0.432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156.689944317745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96.7221878504599</v>
      </c>
      <c r="Z956" s="18" t="n">
        <f aca="false">IF(D956="","",MAX(0,IF(P956&gt;=0,P956,IF(K956+P956&gt;=0,0,P956+K956))))</f>
        <v>156.689944317745</v>
      </c>
      <c r="AA956" s="18" t="n">
        <f aca="false">IF(D956="","",IF(H956&lt;=$B$16,1,IF(H956&gt;=$B$17,$B$21,MATCH(H956,Aux_CAV!$A$2:$A$121,1))))</f>
        <v>22</v>
      </c>
      <c r="AB956" s="18" t="n">
        <f aca="false">IF(D956="","",IF(L956&lt;=$B$16,1,IF(L956&gt;=$B$17,$B$21,MATCH(L956,Aux_CAV!$A$2:$A$121,1))))</f>
        <v>22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0.631372399874403</v>
      </c>
      <c r="E957" s="16" t="n">
        <f aca="false">IF(D957="","",D957*$B$15)</f>
        <v>1.63651726047445</v>
      </c>
      <c r="F957" s="16" t="n">
        <f aca="false" t="array" ref="F957:F957">IF(D957="","",IFERROR(INDEX(Dados_Evap!$C$2:$N$15,MATCH($B$9,Dados_Evap!$A$2:$A$15,0),C957),0))</f>
        <v>282.3</v>
      </c>
      <c r="G957" s="16" t="n">
        <f aca="false">IF(F957="","",F957/1000)</f>
        <v>0.2823</v>
      </c>
      <c r="H957" s="16" t="n">
        <f aca="false">IF(D957="","",MAX(0,MIN($B$8,IFERROR(LOOKUP(2,1/($U$24:U956&lt;&gt;""),$U$24:U956),$B$11))))</f>
        <v>156.689944317745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15.3963920214108</v>
      </c>
      <c r="J957" s="16" t="n">
        <f aca="false">IF(D957="","",$B$12)</f>
        <v>0.432</v>
      </c>
      <c r="K957" s="16" t="n">
        <f aca="false">IF(J957="","",J957*$B$15)</f>
        <v>1.119744</v>
      </c>
      <c r="L957" s="16" t="n">
        <f aca="false">IF(D957="","",H957+E957-K957-G957*I957)</f>
        <v>152.860316110575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15.1175691787672</v>
      </c>
      <c r="N957" s="16" t="n">
        <f aca="false">IF(D957="","",(I957+M957)/2)</f>
        <v>15.256980600089</v>
      </c>
      <c r="O957" s="16" t="n">
        <f aca="false">IF(D957="","",G957*N957)</f>
        <v>4.30704562340513</v>
      </c>
      <c r="P957" s="16" t="n">
        <f aca="false">IF(D957="","",H957+E957-K957-O957)</f>
        <v>152.899671954814</v>
      </c>
      <c r="Q957" s="16" t="n">
        <f aca="false">IF(D957="","",IF(P957&gt;=0,K957,MAX(0,K957+P957)))</f>
        <v>1.119744</v>
      </c>
      <c r="R957" s="16" t="n">
        <f aca="false">IF(D957="","",Q957/$B$15)</f>
        <v>0.432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152.899671954814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94.3825135523545</v>
      </c>
      <c r="Z957" s="18" t="n">
        <f aca="false">IF(D957="","",MAX(0,IF(P957&gt;=0,P957,IF(K957+P957&gt;=0,0,P957+K957))))</f>
        <v>152.899671954814</v>
      </c>
      <c r="AA957" s="18" t="n">
        <f aca="false">IF(D957="","",IF(H957&lt;=$B$16,1,IF(H957&gt;=$B$17,$B$21,MATCH(H957,Aux_CAV!$A$2:$A$121,1))))</f>
        <v>22</v>
      </c>
      <c r="AB957" s="18" t="n">
        <f aca="false">IF(D957="","",IF(L957&lt;=$B$16,1,IF(L957&gt;=$B$17,$B$21,MATCH(L957,Aux_CAV!$A$2:$A$121,1))))</f>
        <v>22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0.613803037266223</v>
      </c>
      <c r="E958" s="16" t="n">
        <f aca="false">IF(D958="","",D958*$B$15)</f>
        <v>1.59097747259405</v>
      </c>
      <c r="F958" s="16" t="n">
        <f aca="false" t="array" ref="F958:F958">IF(D958="","",IFERROR(INDEX(Dados_Evap!$C$2:$N$15,MATCH($B$9,Dados_Evap!$A$2:$A$15,0),C958),0))</f>
        <v>241.3</v>
      </c>
      <c r="G958" s="16" t="n">
        <f aca="false">IF(F958="","",F958/1000)</f>
        <v>0.2413</v>
      </c>
      <c r="H958" s="16" t="n">
        <f aca="false">IF(D958="","",MAX(0,MIN($B$8,IFERROR(LOOKUP(2,1/($U$24:U957&lt;&gt;""),$U$24:U957),$B$11))))</f>
        <v>152.899671954814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15.1204345504879</v>
      </c>
      <c r="J958" s="16" t="n">
        <f aca="false">IF(D958="","",$B$12)</f>
        <v>0.432</v>
      </c>
      <c r="K958" s="16" t="n">
        <f aca="false">IF(J958="","",J958*$B$15)</f>
        <v>1.119744</v>
      </c>
      <c r="L958" s="16" t="n">
        <f aca="false">IF(D958="","",H958+E958-K958-G958*I958)</f>
        <v>149.722344570376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14.8891036208483</v>
      </c>
      <c r="N958" s="16" t="n">
        <f aca="false">IF(D958="","",(I958+M958)/2)</f>
        <v>15.0047690856681</v>
      </c>
      <c r="O958" s="16" t="n">
        <f aca="false">IF(D958="","",G958*N958)</f>
        <v>3.62065078037171</v>
      </c>
      <c r="P958" s="16" t="n">
        <f aca="false">IF(D958="","",H958+E958-K958-O958)</f>
        <v>149.750254647037</v>
      </c>
      <c r="Q958" s="16" t="n">
        <f aca="false">IF(D958="","",IF(P958&gt;=0,K958,MAX(0,K958+P958)))</f>
        <v>1.119744</v>
      </c>
      <c r="R958" s="16" t="n">
        <f aca="false">IF(D958="","",Q958/$B$15)</f>
        <v>0.432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149.750254647037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92.4384287944671</v>
      </c>
      <c r="Z958" s="18" t="n">
        <f aca="false">IF(D958="","",MAX(0,IF(P958&gt;=0,P958,IF(K958+P958&gt;=0,0,P958+K958))))</f>
        <v>149.750254647037</v>
      </c>
      <c r="AA958" s="18" t="n">
        <f aca="false">IF(D958="","",IF(H958&lt;=$B$16,1,IF(H958&gt;=$B$17,$B$21,MATCH(H958,Aux_CAV!$A$2:$A$121,1))))</f>
        <v>22</v>
      </c>
      <c r="AB958" s="18" t="n">
        <f aca="false">IF(D958="","",IF(L958&lt;=$B$16,1,IF(L958&gt;=$B$17,$B$21,MATCH(L958,Aux_CAV!$A$2:$A$121,1))))</f>
        <v>22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0.452822015821375</v>
      </c>
      <c r="E959" s="16" t="n">
        <f aca="false">IF(D959="","",D959*$B$15)</f>
        <v>1.173714665009</v>
      </c>
      <c r="F959" s="16" t="n">
        <f aca="false" t="array" ref="F959:F959">IF(D959="","",IFERROR(INDEX(Dados_Evap!$C$2:$N$15,MATCH($B$9,Dados_Evap!$A$2:$A$15,0),C959),0))</f>
        <v>241.8</v>
      </c>
      <c r="G959" s="16" t="n">
        <f aca="false">IF(F959="","",F959/1000)</f>
        <v>0.2418</v>
      </c>
      <c r="H959" s="16" t="n">
        <f aca="false">IF(D959="","",MAX(0,MIN($B$8,IFERROR(LOOKUP(2,1/($U$24:U958&lt;&gt;""),$U$24:U958),$B$11))))</f>
        <v>149.750254647037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14.8911356632535</v>
      </c>
      <c r="J959" s="16" t="n">
        <f aca="false">IF(D959="","",$B$12)</f>
        <v>0.432</v>
      </c>
      <c r="K959" s="16" t="n">
        <f aca="false">IF(J959="","",J959*$B$15)</f>
        <v>1.119744</v>
      </c>
      <c r="L959" s="16" t="n">
        <f aca="false">IF(D959="","",H959+E959-K959-G959*I959)</f>
        <v>146.203548708671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14.6329114758756</v>
      </c>
      <c r="N959" s="16" t="n">
        <f aca="false">IF(D959="","",(I959+M959)/2)</f>
        <v>14.7620235695645</v>
      </c>
      <c r="O959" s="16" t="n">
        <f aca="false">IF(D959="","",G959*N959)</f>
        <v>3.56945729912071</v>
      </c>
      <c r="P959" s="16" t="n">
        <f aca="false">IF(D959="","",H959+E959-K959-O959)</f>
        <v>146.234768012925</v>
      </c>
      <c r="Q959" s="16" t="n">
        <f aca="false">IF(D959="","",IF(P959&gt;=0,K959,MAX(0,K959+P959)))</f>
        <v>1.119744</v>
      </c>
      <c r="R959" s="16" t="n">
        <f aca="false">IF(D959="","",Q959/$B$15)</f>
        <v>0.432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146.234768012925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90.2683753166204</v>
      </c>
      <c r="Z959" s="18" t="n">
        <f aca="false">IF(D959="","",MAX(0,IF(P959&gt;=0,P959,IF(K959+P959&gt;=0,0,P959+K959))))</f>
        <v>146.234768012925</v>
      </c>
      <c r="AA959" s="18" t="n">
        <f aca="false">IF(D959="","",IF(H959&lt;=$B$16,1,IF(H959&gt;=$B$17,$B$21,MATCH(H959,Aux_CAV!$A$2:$A$121,1))))</f>
        <v>22</v>
      </c>
      <c r="AB959" s="18" t="n">
        <f aca="false">IF(D959="","",IF(L959&lt;=$B$16,1,IF(L959&gt;=$B$17,$B$21,MATCH(L959,Aux_CAV!$A$2:$A$121,1))))</f>
        <v>22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1.19843523758863</v>
      </c>
      <c r="E960" s="16" t="n">
        <f aca="false">IF(D960="","",D960*$B$15)</f>
        <v>3.10634413582973</v>
      </c>
      <c r="F960" s="16" t="n">
        <f aca="false" t="array" ref="F960:F960">IF(D960="","",IFERROR(INDEX(Dados_Evap!$C$2:$N$15,MATCH($B$9,Dados_Evap!$A$2:$A$15,0),C960),0))</f>
        <v>189</v>
      </c>
      <c r="G960" s="16" t="n">
        <f aca="false">IF(F960="","",F960/1000)</f>
        <v>0.189</v>
      </c>
      <c r="H960" s="16" t="n">
        <f aca="false">IF(D960="","",MAX(0,MIN($B$8,IFERROR(LOOKUP(2,1/($U$24:U959&lt;&gt;""),$U$24:U959),$B$11))))</f>
        <v>146.234768012925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14.6351844524379</v>
      </c>
      <c r="J960" s="16" t="n">
        <f aca="false">IF(D960="","",$B$12)</f>
        <v>0.432</v>
      </c>
      <c r="K960" s="16" t="n">
        <f aca="false">IF(J960="","",J960*$B$15)</f>
        <v>1.119744</v>
      </c>
      <c r="L960" s="16" t="n">
        <f aca="false">IF(D960="","",H960+E960-K960-G960*I960)</f>
        <v>145.455318287244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14.5784352390795</v>
      </c>
      <c r="N960" s="16" t="n">
        <f aca="false">IF(D960="","",(I960+M960)/2)</f>
        <v>14.6068098457587</v>
      </c>
      <c r="O960" s="16" t="n">
        <f aca="false">IF(D960="","",G960*N960)</f>
        <v>2.7606870608484</v>
      </c>
      <c r="P960" s="16" t="n">
        <f aca="false">IF(D960="","",H960+E960-K960-O960)</f>
        <v>145.460681087906</v>
      </c>
      <c r="Q960" s="16" t="n">
        <f aca="false">IF(D960="","",IF(P960&gt;=0,K960,MAX(0,K960+P960)))</f>
        <v>1.119744</v>
      </c>
      <c r="R960" s="16" t="n">
        <f aca="false">IF(D960="","",Q960/$B$15)</f>
        <v>0.432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145.460681087906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89.7905438814236</v>
      </c>
      <c r="Z960" s="18" t="n">
        <f aca="false">IF(D960="","",MAX(0,IF(P960&gt;=0,P960,IF(K960+P960&gt;=0,0,P960+K960))))</f>
        <v>145.460681087906</v>
      </c>
      <c r="AA960" s="18" t="n">
        <f aca="false">IF(D960="","",IF(H960&lt;=$B$16,1,IF(H960&gt;=$B$17,$B$21,MATCH(H960,Aux_CAV!$A$2:$A$121,1))))</f>
        <v>22</v>
      </c>
      <c r="AB960" s="18" t="n">
        <f aca="false">IF(D960="","",IF(L960&lt;=$B$16,1,IF(L960&gt;=$B$17,$B$21,MATCH(L960,Aux_CAV!$A$2:$A$121,1))))</f>
        <v>22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1.42789556358959</v>
      </c>
      <c r="E961" s="16" t="n">
        <f aca="false">IF(D961="","",D961*$B$15)</f>
        <v>3.70110530082422</v>
      </c>
      <c r="F961" s="16" t="n">
        <f aca="false" t="array" ref="F961:F961">IF(D961="","",IFERROR(INDEX(Dados_Evap!$C$2:$N$15,MATCH($B$9,Dados_Evap!$A$2:$A$15,0),C961),0))</f>
        <v>136.9</v>
      </c>
      <c r="G961" s="16" t="n">
        <f aca="false">IF(F961="","",F961/1000)</f>
        <v>0.1369</v>
      </c>
      <c r="H961" s="16" t="n">
        <f aca="false">IF(D961="","",MAX(0,MIN($B$8,IFERROR(LOOKUP(2,1/($U$24:U960&lt;&gt;""),$U$24:U960),$B$11))))</f>
        <v>145.460681087906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14.5788256872495</v>
      </c>
      <c r="J961" s="16" t="n">
        <f aca="false">IF(D961="","",$B$12)</f>
        <v>0.432</v>
      </c>
      <c r="K961" s="16" t="n">
        <f aca="false">IF(J961="","",J961*$B$15)</f>
        <v>1.119744</v>
      </c>
      <c r="L961" s="16" t="n">
        <f aca="false">IF(D961="","",H961+E961-K961-G961*I961)</f>
        <v>146.046201152146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14.6214555092334</v>
      </c>
      <c r="N961" s="16" t="n">
        <f aca="false">IF(D961="","",(I961+M961)/2)</f>
        <v>14.6001405982414</v>
      </c>
      <c r="O961" s="16" t="n">
        <f aca="false">IF(D961="","",G961*N961)</f>
        <v>1.99875924789925</v>
      </c>
      <c r="P961" s="16" t="n">
        <f aca="false">IF(D961="","",H961+E961-K961-O961)</f>
        <v>146.043283140831</v>
      </c>
      <c r="Q961" s="16" t="n">
        <f aca="false">IF(D961="","",IF(P961&gt;=0,K961,MAX(0,K961+P961)))</f>
        <v>1.119744</v>
      </c>
      <c r="R961" s="16" t="n">
        <f aca="false">IF(D961="","",Q961/$B$15)</f>
        <v>0.432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146.043283140831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90.1501747782909</v>
      </c>
      <c r="Z961" s="18" t="n">
        <f aca="false">IF(D961="","",MAX(0,IF(P961&gt;=0,P961,IF(K961+P961&gt;=0,0,P961+K961))))</f>
        <v>146.043283140831</v>
      </c>
      <c r="AA961" s="18" t="n">
        <f aca="false">IF(D961="","",IF(H961&lt;=$B$16,1,IF(H961&gt;=$B$17,$B$21,MATCH(H961,Aux_CAV!$A$2:$A$121,1))))</f>
        <v>22</v>
      </c>
      <c r="AB961" s="18" t="n">
        <f aca="false">IF(D961="","",IF(L961&lt;=$B$16,1,IF(L961&gt;=$B$17,$B$21,MATCH(L961,Aux_CAV!$A$2:$A$121,1))))</f>
        <v>22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3.15622402227875</v>
      </c>
      <c r="E962" s="16" t="n">
        <f aca="false">IF(D962="","",D962*$B$15)</f>
        <v>8.18093266574652</v>
      </c>
      <c r="F962" s="16" t="n">
        <f aca="false" t="array" ref="F962:F962">IF(D962="","",IFERROR(INDEX(Dados_Evap!$C$2:$N$15,MATCH($B$9,Dados_Evap!$A$2:$A$15,0),C962),0))</f>
        <v>102.9</v>
      </c>
      <c r="G962" s="16" t="n">
        <f aca="false">IF(F962="","",F962/1000)</f>
        <v>0.1029</v>
      </c>
      <c r="H962" s="16" t="n">
        <f aca="false">IF(D962="","",MAX(0,MIN($B$8,IFERROR(LOOKUP(2,1/($U$24:U961&lt;&gt;""),$U$24:U961),$B$11))))</f>
        <v>146.043283140831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14.621243058268</v>
      </c>
      <c r="J962" s="16" t="n">
        <f aca="false">IF(D962="","",$B$12)</f>
        <v>0.432</v>
      </c>
      <c r="K962" s="16" t="n">
        <f aca="false">IF(J962="","",J962*$B$15)</f>
        <v>1.119744</v>
      </c>
      <c r="L962" s="16" t="n">
        <f aca="false">IF(D962="","",H962+E962-K962-G962*I962)</f>
        <v>151.599945895882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15.0258057001648</v>
      </c>
      <c r="N962" s="16" t="n">
        <f aca="false">IF(D962="","",(I962+M962)/2)</f>
        <v>14.8235243792164</v>
      </c>
      <c r="O962" s="16" t="n">
        <f aca="false">IF(D962="","",G962*N962)</f>
        <v>1.52534065862137</v>
      </c>
      <c r="P962" s="16" t="n">
        <f aca="false">IF(D962="","",H962+E962-K962-O962)</f>
        <v>151.579131147956</v>
      </c>
      <c r="Q962" s="16" t="n">
        <f aca="false">IF(D962="","",IF(P962&gt;=0,K962,MAX(0,K962+P962)))</f>
        <v>1.119744</v>
      </c>
      <c r="R962" s="16" t="n">
        <f aca="false">IF(D962="","",Q962/$B$15)</f>
        <v>0.432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151.579131147956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93.567364906146</v>
      </c>
      <c r="Z962" s="18" t="n">
        <f aca="false">IF(D962="","",MAX(0,IF(P962&gt;=0,P962,IF(K962+P962&gt;=0,0,P962+K962))))</f>
        <v>151.579131147956</v>
      </c>
      <c r="AA962" s="18" t="n">
        <f aca="false">IF(D962="","",IF(H962&lt;=$B$16,1,IF(H962&gt;=$B$17,$B$21,MATCH(H962,Aux_CAV!$A$2:$A$121,1))))</f>
        <v>22</v>
      </c>
      <c r="AB962" s="18" t="n">
        <f aca="false">IF(D962="","",IF(L962&lt;=$B$16,1,IF(L962&gt;=$B$17,$B$21,MATCH(L962,Aux_CAV!$A$2:$A$121,1))))</f>
        <v>22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13.0249313304537</v>
      </c>
      <c r="E963" s="16" t="n">
        <f aca="false">IF(D963="","",D963*$B$15)</f>
        <v>33.760622008536</v>
      </c>
      <c r="F963" s="16" t="n">
        <f aca="false" t="array" ref="F963:F963">IF(D963="","",IFERROR(INDEX(Dados_Evap!$C$2:$N$15,MATCH($B$9,Dados_Evap!$A$2:$A$15,0),C963),0))</f>
        <v>81.8</v>
      </c>
      <c r="G963" s="16" t="n">
        <f aca="false">IF(F963="","",F963/1000)</f>
        <v>0.0818</v>
      </c>
      <c r="H963" s="16" t="n">
        <f aca="false">IF(D963="","",MAX(0,MIN($B$8,IFERROR(LOOKUP(2,1/($U$24:U962&lt;&gt;""),$U$24:U962),$B$11))))</f>
        <v>151.579131147956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15.0242902456946</v>
      </c>
      <c r="J963" s="16" t="n">
        <f aca="false">IF(D963="","",$B$12)</f>
        <v>0.432</v>
      </c>
      <c r="K963" s="16" t="n">
        <f aca="false">IF(J963="","",J963*$B$15)</f>
        <v>1.119744</v>
      </c>
      <c r="L963" s="16" t="n">
        <f aca="false">IF(D963="","",H963+E963-K963-G963*I963)</f>
        <v>182.991022214395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17.0384630429181</v>
      </c>
      <c r="N963" s="16" t="n">
        <f aca="false">IF(D963="","",(I963+M963)/2)</f>
        <v>16.0313766443064</v>
      </c>
      <c r="O963" s="16" t="n">
        <f aca="false">IF(D963="","",G963*N963)</f>
        <v>1.31136660950426</v>
      </c>
      <c r="P963" s="16" t="n">
        <f aca="false">IF(D963="","",H963+E963-K963-O963)</f>
        <v>182.908642546988</v>
      </c>
      <c r="Q963" s="16" t="n">
        <f aca="false">IF(D963="","",IF(P963&gt;=0,K963,MAX(0,K963+P963)))</f>
        <v>1.119744</v>
      </c>
      <c r="R963" s="16" t="n">
        <f aca="false">IF(D963="","",Q963/$B$15)</f>
        <v>0.432</v>
      </c>
      <c r="S963" s="16" t="n">
        <f aca="false">IF(D963="","",MAX(0,J963-R963))</f>
        <v>0</v>
      </c>
      <c r="T963" s="16" t="n">
        <f aca="false">IF(D963="","",MAX(0,Z963-$B$8))</f>
        <v>20.9086425469882</v>
      </c>
      <c r="U963" s="16" t="n">
        <f aca="false">IF(D963="","",MAX(0,MIN($B$8,Z963)))</f>
        <v>162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182.908642546988</v>
      </c>
      <c r="AA963" s="18" t="n">
        <f aca="false">IF(D963="","",IF(H963&lt;=$B$16,1,IF(H963&gt;=$B$17,$B$21,MATCH(H963,Aux_CAV!$A$2:$A$121,1))))</f>
        <v>22</v>
      </c>
      <c r="AB963" s="18" t="n">
        <f aca="false">IF(D963="","",IF(L963&lt;=$B$16,1,IF(L963&gt;=$B$17,$B$21,MATCH(L963,Aux_CAV!$A$2:$A$121,1))))</f>
        <v>23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16.6140101862655</v>
      </c>
      <c r="E964" s="16" t="n">
        <f aca="false">IF(D964="","",D964*$B$15)</f>
        <v>43.0635144028002</v>
      </c>
      <c r="F964" s="16" t="n">
        <f aca="false" t="array" ref="F964:F964">IF(D964="","",IFERROR(INDEX(Dados_Evap!$C$2:$N$15,MATCH($B$9,Dados_Evap!$A$2:$A$15,0),C964),0))</f>
        <v>83.6</v>
      </c>
      <c r="G964" s="16" t="n">
        <f aca="false">IF(F964="","",F964/1000)</f>
        <v>0.0836</v>
      </c>
      <c r="H964" s="16" t="n">
        <f aca="false">IF(D964="","",MAX(0,MIN($B$8,IFERROR(LOOKUP(2,1/($U$24:U963&lt;&gt;""),$U$24:U963),$B$11))))</f>
        <v>162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15.783</v>
      </c>
      <c r="J964" s="16" t="n">
        <f aca="false">IF(D964="","",$B$12)</f>
        <v>0.432</v>
      </c>
      <c r="K964" s="16" t="n">
        <f aca="false">IF(J964="","",J964*$B$15)</f>
        <v>1.119744</v>
      </c>
      <c r="L964" s="16" t="n">
        <f aca="false">IF(D964="","",H964+E964-K964-G964*I964)</f>
        <v>202.6243116028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18.2127207320532</v>
      </c>
      <c r="N964" s="16" t="n">
        <f aca="false">IF(D964="","",(I964+M964)/2)</f>
        <v>16.9978603660266</v>
      </c>
      <c r="O964" s="16" t="n">
        <f aca="false">IF(D964="","",G964*N964)</f>
        <v>1.42102112659982</v>
      </c>
      <c r="P964" s="16" t="n">
        <f aca="false">IF(D964="","",H964+E964-K964-O964)</f>
        <v>202.5227492762</v>
      </c>
      <c r="Q964" s="16" t="n">
        <f aca="false">IF(D964="","",IF(P964&gt;=0,K964,MAX(0,K964+P964)))</f>
        <v>1.119744</v>
      </c>
      <c r="R964" s="16" t="n">
        <f aca="false">IF(D964="","",Q964/$B$15)</f>
        <v>0.432</v>
      </c>
      <c r="S964" s="16" t="n">
        <f aca="false">IF(D964="","",MAX(0,J964-R964))</f>
        <v>0</v>
      </c>
      <c r="T964" s="16" t="n">
        <f aca="false">IF(D964="","",MAX(0,Z964-$B$8))</f>
        <v>40.5227492762004</v>
      </c>
      <c r="U964" s="16" t="n">
        <f aca="false">IF(D964="","",MAX(0,MIN($B$8,Z964)))</f>
        <v>162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202.5227492762</v>
      </c>
      <c r="AA964" s="18" t="n">
        <f aca="false">IF(D964="","",IF(H964&lt;=$B$16,1,IF(H964&gt;=$B$17,$B$21,MATCH(H964,Aux_CAV!$A$2:$A$121,1))))</f>
        <v>23</v>
      </c>
      <c r="AB964" s="18" t="n">
        <f aca="false">IF(D964="","",IF(L964&lt;=$B$16,1,IF(L964&gt;=$B$17,$B$21,MATCH(L964,Aux_CAV!$A$2:$A$121,1))))</f>
        <v>23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7.72922749708885</v>
      </c>
      <c r="E965" s="16" t="n">
        <f aca="false">IF(D965="","",D965*$B$15)</f>
        <v>20.0341576724543</v>
      </c>
      <c r="F965" s="16" t="n">
        <f aca="false" t="array" ref="F965:F965">IF(D965="","",IFERROR(INDEX(Dados_Evap!$C$2:$N$15,MATCH($B$9,Dados_Evap!$A$2:$A$15,0),C965),0))</f>
        <v>108.2</v>
      </c>
      <c r="G965" s="16" t="n">
        <f aca="false">IF(F965="","",F965/1000)</f>
        <v>0.1082</v>
      </c>
      <c r="H965" s="16" t="n">
        <f aca="false">IF(D965="","",MAX(0,MIN($B$8,IFERROR(LOOKUP(2,1/($U$24:U964&lt;&gt;""),$U$24:U964),$B$11))))</f>
        <v>162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15.783</v>
      </c>
      <c r="J965" s="16" t="n">
        <f aca="false">IF(D965="","",$B$12)</f>
        <v>0.432</v>
      </c>
      <c r="K965" s="16" t="n">
        <f aca="false">IF(J965="","",J965*$B$15)</f>
        <v>1.119744</v>
      </c>
      <c r="L965" s="16" t="n">
        <f aca="false">IF(D965="","",H965+E965-K965-G965*I965)</f>
        <v>179.206693072454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16.8121241190001</v>
      </c>
      <c r="N965" s="16" t="n">
        <f aca="false">IF(D965="","",(I965+M965)/2)</f>
        <v>16.2975620595001</v>
      </c>
      <c r="O965" s="16" t="n">
        <f aca="false">IF(D965="","",G965*N965)</f>
        <v>1.76339621483791</v>
      </c>
      <c r="P965" s="16" t="n">
        <f aca="false">IF(D965="","",H965+E965-K965-O965)</f>
        <v>179.151017457616</v>
      </c>
      <c r="Q965" s="16" t="n">
        <f aca="false">IF(D965="","",IF(P965&gt;=0,K965,MAX(0,K965+P965)))</f>
        <v>1.119744</v>
      </c>
      <c r="R965" s="16" t="n">
        <f aca="false">IF(D965="","",Q965/$B$15)</f>
        <v>0.432</v>
      </c>
      <c r="S965" s="16" t="n">
        <f aca="false">IF(D965="","",MAX(0,J965-R965))</f>
        <v>0</v>
      </c>
      <c r="T965" s="16" t="n">
        <f aca="false">IF(D965="","",MAX(0,Z965-$B$8))</f>
        <v>17.1510174576164</v>
      </c>
      <c r="U965" s="16" t="n">
        <f aca="false">IF(D965="","",MAX(0,MIN($B$8,Z965)))</f>
        <v>162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179.151017457616</v>
      </c>
      <c r="AA965" s="18" t="n">
        <f aca="false">IF(D965="","",IF(H965&lt;=$B$16,1,IF(H965&gt;=$B$17,$B$21,MATCH(H965,Aux_CAV!$A$2:$A$121,1))))</f>
        <v>23</v>
      </c>
      <c r="AB965" s="18" t="n">
        <f aca="false">IF(D965="","",IF(L965&lt;=$B$16,1,IF(L965&gt;=$B$17,$B$21,MATCH(L965,Aux_CAV!$A$2:$A$121,1))))</f>
        <v>23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4.07631869387362</v>
      </c>
      <c r="E966" s="16" t="n">
        <f aca="false">IF(D966="","",D966*$B$15)</f>
        <v>10.5658180545204</v>
      </c>
      <c r="F966" s="16" t="n">
        <f aca="false" t="array" ref="F966:F966">IF(D966="","",IFERROR(INDEX(Dados_Evap!$C$2:$N$15,MATCH($B$9,Dados_Evap!$A$2:$A$15,0),C966),0))</f>
        <v>149</v>
      </c>
      <c r="G966" s="16" t="n">
        <f aca="false">IF(F966="","",F966/1000)</f>
        <v>0.149</v>
      </c>
      <c r="H966" s="16" t="n">
        <f aca="false">IF(D966="","",MAX(0,MIN($B$8,IFERROR(LOOKUP(2,1/($U$24:U965&lt;&gt;""),$U$24:U965),$B$11))))</f>
        <v>162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15.783</v>
      </c>
      <c r="J966" s="16" t="n">
        <f aca="false">IF(D966="","",$B$12)</f>
        <v>0.432</v>
      </c>
      <c r="K966" s="16" t="n">
        <f aca="false">IF(J966="","",J966*$B$15)</f>
        <v>1.119744</v>
      </c>
      <c r="L966" s="16" t="n">
        <f aca="false">IF(D966="","",H966+E966-K966-G966*I966)</f>
        <v>169.09440705452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16.2073131076418</v>
      </c>
      <c r="N966" s="16" t="n">
        <f aca="false">IF(D966="","",(I966+M966)/2)</f>
        <v>15.9951565538209</v>
      </c>
      <c r="O966" s="16" t="n">
        <f aca="false">IF(D966="","",G966*N966)</f>
        <v>2.38327832651931</v>
      </c>
      <c r="P966" s="16" t="n">
        <f aca="false">IF(D966="","",H966+E966-K966-O966)</f>
        <v>169.062795728001</v>
      </c>
      <c r="Q966" s="16" t="n">
        <f aca="false">IF(D966="","",IF(P966&gt;=0,K966,MAX(0,K966+P966)))</f>
        <v>1.119744</v>
      </c>
      <c r="R966" s="16" t="n">
        <f aca="false">IF(D966="","",Q966/$B$15)</f>
        <v>0.432</v>
      </c>
      <c r="S966" s="16" t="n">
        <f aca="false">IF(D966="","",MAX(0,J966-R966))</f>
        <v>0</v>
      </c>
      <c r="T966" s="16" t="n">
        <f aca="false">IF(D966="","",MAX(0,Z966-$B$8))</f>
        <v>7.06279572800113</v>
      </c>
      <c r="U966" s="16" t="n">
        <f aca="false">IF(D966="","",MAX(0,MIN($B$8,Z966)))</f>
        <v>162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100</v>
      </c>
      <c r="Z966" s="18" t="n">
        <f aca="false">IF(D966="","",MAX(0,IF(P966&gt;=0,P966,IF(K966+P966&gt;=0,0,P966+K966))))</f>
        <v>169.062795728001</v>
      </c>
      <c r="AA966" s="18" t="n">
        <f aca="false">IF(D966="","",IF(H966&lt;=$B$16,1,IF(H966&gt;=$B$17,$B$21,MATCH(H966,Aux_CAV!$A$2:$A$121,1))))</f>
        <v>23</v>
      </c>
      <c r="AB966" s="18" t="n">
        <f aca="false">IF(D966="","",IF(L966&lt;=$B$16,1,IF(L966&gt;=$B$17,$B$21,MATCH(L966,Aux_CAV!$A$2:$A$121,1))))</f>
        <v>23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0.868997227673593</v>
      </c>
      <c r="E967" s="16" t="n">
        <f aca="false">IF(D967="","",D967*$B$15)</f>
        <v>2.25244081412995</v>
      </c>
      <c r="F967" s="16" t="n">
        <f aca="false" t="array" ref="F967:F967">IF(D967="","",IFERROR(INDEX(Dados_Evap!$C$2:$N$15,MATCH($B$9,Dados_Evap!$A$2:$A$15,0),C967),0))</f>
        <v>206.8</v>
      </c>
      <c r="G967" s="16" t="n">
        <f aca="false">IF(F967="","",F967/1000)</f>
        <v>0.2068</v>
      </c>
      <c r="H967" s="16" t="n">
        <f aca="false">IF(D967="","",MAX(0,MIN($B$8,IFERROR(LOOKUP(2,1/($U$24:U966&lt;&gt;""),$U$24:U966),$B$11))))</f>
        <v>162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15.783</v>
      </c>
      <c r="J967" s="16" t="n">
        <f aca="false">IF(D967="","",$B$12)</f>
        <v>0.432</v>
      </c>
      <c r="K967" s="16" t="n">
        <f aca="false">IF(J967="","",J967*$B$15)</f>
        <v>1.119744</v>
      </c>
      <c r="L967" s="16" t="n">
        <f aca="false">IF(D967="","",H967+E967-K967-G967*I967)</f>
        <v>159.86877241413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15.6278322130331</v>
      </c>
      <c r="N967" s="16" t="n">
        <f aca="false">IF(D967="","",(I967+M967)/2)</f>
        <v>15.7054161065165</v>
      </c>
      <c r="O967" s="16" t="n">
        <f aca="false">IF(D967="","",G967*N967)</f>
        <v>3.24788005082762</v>
      </c>
      <c r="P967" s="16" t="n">
        <f aca="false">IF(D967="","",H967+E967-K967-O967)</f>
        <v>159.884816763302</v>
      </c>
      <c r="Q967" s="16" t="n">
        <f aca="false">IF(D967="","",IF(P967&gt;=0,K967,MAX(0,K967+P967)))</f>
        <v>1.119744</v>
      </c>
      <c r="R967" s="16" t="n">
        <f aca="false">IF(D967="","",Q967/$B$15)</f>
        <v>0.432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159.884816763302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98.6943313353718</v>
      </c>
      <c r="Z967" s="18" t="n">
        <f aca="false">IF(D967="","",MAX(0,IF(P967&gt;=0,P967,IF(K967+P967&gt;=0,0,P967+K967))))</f>
        <v>159.884816763302</v>
      </c>
      <c r="AA967" s="18" t="n">
        <f aca="false">IF(D967="","",IF(H967&lt;=$B$16,1,IF(H967&gt;=$B$17,$B$21,MATCH(H967,Aux_CAV!$A$2:$A$121,1))))</f>
        <v>23</v>
      </c>
      <c r="AB967" s="18" t="n">
        <f aca="false">IF(D967="","",IF(L967&lt;=$B$16,1,IF(L967&gt;=$B$17,$B$21,MATCH(L967,Aux_CAV!$A$2:$A$121,1))))</f>
        <v>22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1.09005075328193</v>
      </c>
      <c r="E968" s="16" t="n">
        <f aca="false">IF(D968="","",D968*$B$15)</f>
        <v>2.82541155250676</v>
      </c>
      <c r="F968" s="16" t="n">
        <f aca="false" t="array" ref="F968:F968">IF(D968="","",IFERROR(INDEX(Dados_Evap!$C$2:$N$15,MATCH($B$9,Dados_Evap!$A$2:$A$15,0),C968),0))</f>
        <v>245.9</v>
      </c>
      <c r="G968" s="16" t="n">
        <f aca="false">IF(F968="","",F968/1000)</f>
        <v>0.2459</v>
      </c>
      <c r="H968" s="16" t="n">
        <f aca="false">IF(D968="","",MAX(0,MIN($B$8,IFERROR(LOOKUP(2,1/($U$24:U967&lt;&gt;""),$U$24:U967),$B$11))))</f>
        <v>159.884816763302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15.6290003502001</v>
      </c>
      <c r="J968" s="16" t="n">
        <f aca="false">IF(D968="","",$B$12)</f>
        <v>0.432</v>
      </c>
      <c r="K968" s="16" t="n">
        <f aca="false">IF(J968="","",J968*$B$15)</f>
        <v>1.119744</v>
      </c>
      <c r="L968" s="16" t="n">
        <f aca="false">IF(D968="","",H968+E968-K968-G968*I968)</f>
        <v>157.747313129695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15.4733756244976</v>
      </c>
      <c r="N968" s="16" t="n">
        <f aca="false">IF(D968="","",(I968+M968)/2)</f>
        <v>15.5511879873488</v>
      </c>
      <c r="O968" s="16" t="n">
        <f aca="false">IF(D968="","",G968*N968)</f>
        <v>3.82403712608907</v>
      </c>
      <c r="P968" s="16" t="n">
        <f aca="false">IF(D968="","",H968+E968-K968-O968)</f>
        <v>157.76644718972</v>
      </c>
      <c r="Q968" s="16" t="n">
        <f aca="false">IF(D968="","",IF(P968&gt;=0,K968,MAX(0,K968+P968)))</f>
        <v>1.119744</v>
      </c>
      <c r="R968" s="16" t="n">
        <f aca="false">IF(D968="","",Q968/$B$15)</f>
        <v>0.432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157.76644718972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97.3866957961235</v>
      </c>
      <c r="Z968" s="18" t="n">
        <f aca="false">IF(D968="","",MAX(0,IF(P968&gt;=0,P968,IF(K968+P968&gt;=0,0,P968+K968))))</f>
        <v>157.76644718972</v>
      </c>
      <c r="AA968" s="18" t="n">
        <f aca="false">IF(D968="","",IF(H968&lt;=$B$16,1,IF(H968&gt;=$B$17,$B$21,MATCH(H968,Aux_CAV!$A$2:$A$121,1))))</f>
        <v>22</v>
      </c>
      <c r="AB968" s="18" t="n">
        <f aca="false">IF(D968="","",IF(L968&lt;=$B$16,1,IF(L968&gt;=$B$17,$B$21,MATCH(L968,Aux_CAV!$A$2:$A$121,1))))</f>
        <v>22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0.799783181487472</v>
      </c>
      <c r="E969" s="16" t="n">
        <f aca="false">IF(D969="","",D969*$B$15)</f>
        <v>2.07303800641553</v>
      </c>
      <c r="F969" s="16" t="n">
        <f aca="false" t="array" ref="F969:F969">IF(D969="","",IFERROR(INDEX(Dados_Evap!$C$2:$N$15,MATCH($B$9,Dados_Evap!$A$2:$A$15,0),C969),0))</f>
        <v>282.3</v>
      </c>
      <c r="G969" s="16" t="n">
        <f aca="false">IF(F969="","",F969/1000)</f>
        <v>0.2823</v>
      </c>
      <c r="H969" s="16" t="n">
        <f aca="false">IF(D969="","",MAX(0,MIN($B$8,IFERROR(LOOKUP(2,1/($U$24:U968&lt;&gt;""),$U$24:U968),$B$11))))</f>
        <v>157.76644718972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15.4747687135179</v>
      </c>
      <c r="J969" s="16" t="n">
        <f aca="false">IF(D969="","",$B$12)</f>
        <v>0.432</v>
      </c>
      <c r="K969" s="16" t="n">
        <f aca="false">IF(J969="","",J969*$B$15)</f>
        <v>1.119744</v>
      </c>
      <c r="L969" s="16" t="n">
        <f aca="false">IF(D969="","",H969+E969-K969-G969*I969)</f>
        <v>154.351213988309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15.2261166308627</v>
      </c>
      <c r="N969" s="16" t="n">
        <f aca="false">IF(D969="","",(I969+M969)/2)</f>
        <v>15.3504426721903</v>
      </c>
      <c r="O969" s="16" t="n">
        <f aca="false">IF(D969="","",G969*N969)</f>
        <v>4.33342996635932</v>
      </c>
      <c r="P969" s="16" t="n">
        <f aca="false">IF(D969="","",H969+E969-K969-O969)</f>
        <v>154.386311229776</v>
      </c>
      <c r="Q969" s="16" t="n">
        <f aca="false">IF(D969="","",IF(P969&gt;=0,K969,MAX(0,K969+P969)))</f>
        <v>1.119744</v>
      </c>
      <c r="R969" s="16" t="n">
        <f aca="false">IF(D969="","",Q969/$B$15)</f>
        <v>0.432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154.386311229776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95.3001921171458</v>
      </c>
      <c r="Z969" s="18" t="n">
        <f aca="false">IF(D969="","",MAX(0,IF(P969&gt;=0,P969,IF(K969+P969&gt;=0,0,P969+K969))))</f>
        <v>154.386311229776</v>
      </c>
      <c r="AA969" s="18" t="n">
        <f aca="false">IF(D969="","",IF(H969&lt;=$B$16,1,IF(H969&gt;=$B$17,$B$21,MATCH(H969,Aux_CAV!$A$2:$A$121,1))))</f>
        <v>22</v>
      </c>
      <c r="AB969" s="18" t="n">
        <f aca="false">IF(D969="","",IF(L969&lt;=$B$16,1,IF(L969&gt;=$B$17,$B$21,MATCH(L969,Aux_CAV!$A$2:$A$121,1))))</f>
        <v>22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0.82659636502091</v>
      </c>
      <c r="E970" s="16" t="n">
        <f aca="false">IF(D970="","",D970*$B$15)</f>
        <v>2.1425377781342</v>
      </c>
      <c r="F970" s="16" t="n">
        <f aca="false" t="array" ref="F970:F970">IF(D970="","",IFERROR(INDEX(Dados_Evap!$C$2:$N$15,MATCH($B$9,Dados_Evap!$A$2:$A$15,0),C970),0))</f>
        <v>241.3</v>
      </c>
      <c r="G970" s="16" t="n">
        <f aca="false">IF(F970="","",F970/1000)</f>
        <v>0.2413</v>
      </c>
      <c r="H970" s="16" t="n">
        <f aca="false">IF(D970="","",MAX(0,MIN($B$8,IFERROR(LOOKUP(2,1/($U$24:U969&lt;&gt;""),$U$24:U969),$B$11))))</f>
        <v>154.386311229776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15.2286719474901</v>
      </c>
      <c r="J970" s="16" t="n">
        <f aca="false">IF(D970="","",$B$12)</f>
        <v>0.432</v>
      </c>
      <c r="K970" s="16" t="n">
        <f aca="false">IF(J970="","",J970*$B$15)</f>
        <v>1.119744</v>
      </c>
      <c r="L970" s="16" t="n">
        <f aca="false">IF(D970="","",H970+E970-K970-G970*I970)</f>
        <v>151.734426466981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15.0355967955625</v>
      </c>
      <c r="N970" s="16" t="n">
        <f aca="false">IF(D970="","",(I970+M970)/2)</f>
        <v>15.1321343715263</v>
      </c>
      <c r="O970" s="16" t="n">
        <f aca="false">IF(D970="","",G970*N970)</f>
        <v>3.6513840238493</v>
      </c>
      <c r="P970" s="16" t="n">
        <f aca="false">IF(D970="","",H970+E970-K970-O970)</f>
        <v>151.757720984061</v>
      </c>
      <c r="Q970" s="16" t="n">
        <f aca="false">IF(D970="","",IF(P970&gt;=0,K970,MAX(0,K970+P970)))</f>
        <v>1.119744</v>
      </c>
      <c r="R970" s="16" t="n">
        <f aca="false">IF(D970="","",Q970/$B$15)</f>
        <v>0.432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151.757720984061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93.6776055457167</v>
      </c>
      <c r="Z970" s="18" t="n">
        <f aca="false">IF(D970="","",MAX(0,IF(P970&gt;=0,P970,IF(K970+P970&gt;=0,0,P970+K970))))</f>
        <v>151.757720984061</v>
      </c>
      <c r="AA970" s="18" t="n">
        <f aca="false">IF(D970="","",IF(H970&lt;=$B$16,1,IF(H970&gt;=$B$17,$B$21,MATCH(H970,Aux_CAV!$A$2:$A$121,1))))</f>
        <v>22</v>
      </c>
      <c r="AB970" s="18" t="n">
        <f aca="false">IF(D970="","",IF(L970&lt;=$B$16,1,IF(L970&gt;=$B$17,$B$21,MATCH(L970,Aux_CAV!$A$2:$A$121,1))))</f>
        <v>22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1.43465910932793</v>
      </c>
      <c r="E971" s="16" t="n">
        <f aca="false">IF(D971="","",D971*$B$15)</f>
        <v>3.71863641137799</v>
      </c>
      <c r="F971" s="16" t="n">
        <f aca="false" t="array" ref="F971:F971">IF(D971="","",IFERROR(INDEX(Dados_Evap!$C$2:$N$15,MATCH($B$9,Dados_Evap!$A$2:$A$15,0),C971),0))</f>
        <v>241.8</v>
      </c>
      <c r="G971" s="16" t="n">
        <f aca="false">IF(F971="","",F971/1000)</f>
        <v>0.2418</v>
      </c>
      <c r="H971" s="16" t="n">
        <f aca="false">IF(D971="","",MAX(0,MIN($B$8,IFERROR(LOOKUP(2,1/($U$24:U970&lt;&gt;""),$U$24:U970),$B$11))))</f>
        <v>151.757720984061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15.0372927940038</v>
      </c>
      <c r="J971" s="16" t="n">
        <f aca="false">IF(D971="","",$B$12)</f>
        <v>0.432</v>
      </c>
      <c r="K971" s="16" t="n">
        <f aca="false">IF(J971="","",J971*$B$15)</f>
        <v>1.119744</v>
      </c>
      <c r="L971" s="16" t="n">
        <f aca="false">IF(D971="","",H971+E971-K971-G971*I971)</f>
        <v>150.720595997849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14.9617830783894</v>
      </c>
      <c r="N971" s="16" t="n">
        <f aca="false">IF(D971="","",(I971+M971)/2)</f>
        <v>14.9995379361966</v>
      </c>
      <c r="O971" s="16" t="n">
        <f aca="false">IF(D971="","",G971*N971)</f>
        <v>3.62688827297234</v>
      </c>
      <c r="P971" s="16" t="n">
        <f aca="false">IF(D971="","",H971+E971-K971-O971)</f>
        <v>150.729725122467</v>
      </c>
      <c r="Q971" s="16" t="n">
        <f aca="false">IF(D971="","",IF(P971&gt;=0,K971,MAX(0,K971+P971)))</f>
        <v>1.119744</v>
      </c>
      <c r="R971" s="16" t="n">
        <f aca="false">IF(D971="","",Q971/$B$15)</f>
        <v>0.432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150.729725122467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93.0430401990536</v>
      </c>
      <c r="Z971" s="18" t="n">
        <f aca="false">IF(D971="","",MAX(0,IF(P971&gt;=0,P971,IF(K971+P971&gt;=0,0,P971+K971))))</f>
        <v>150.729725122467</v>
      </c>
      <c r="AA971" s="18" t="n">
        <f aca="false">IF(D971="","",IF(H971&lt;=$B$16,1,IF(H971&gt;=$B$17,$B$21,MATCH(H971,Aux_CAV!$A$2:$A$121,1))))</f>
        <v>22</v>
      </c>
      <c r="AB971" s="18" t="n">
        <f aca="false">IF(D971="","",IF(L971&lt;=$B$16,1,IF(L971&gt;=$B$17,$B$21,MATCH(L971,Aux_CAV!$A$2:$A$121,1))))</f>
        <v>22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1.83520924625482</v>
      </c>
      <c r="E972" s="16" t="n">
        <f aca="false">IF(D972="","",D972*$B$15)</f>
        <v>4.75686236629249</v>
      </c>
      <c r="F972" s="16" t="n">
        <f aca="false" t="array" ref="F972:F972">IF(D972="","",IFERROR(INDEX(Dados_Evap!$C$2:$N$15,MATCH($B$9,Dados_Evap!$A$2:$A$15,0),C972),0))</f>
        <v>189</v>
      </c>
      <c r="G972" s="16" t="n">
        <f aca="false">IF(F972="","",F972/1000)</f>
        <v>0.189</v>
      </c>
      <c r="H972" s="16" t="n">
        <f aca="false">IF(D972="","",MAX(0,MIN($B$8,IFERROR(LOOKUP(2,1/($U$24:U971&lt;&gt;""),$U$24:U971),$B$11))))</f>
        <v>150.729725122467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14.9624477404242</v>
      </c>
      <c r="J972" s="16" t="n">
        <f aca="false">IF(D972="","",$B$12)</f>
        <v>0.432</v>
      </c>
      <c r="K972" s="16" t="n">
        <f aca="false">IF(J972="","",J972*$B$15)</f>
        <v>1.119744</v>
      </c>
      <c r="L972" s="16" t="n">
        <f aca="false">IF(D972="","",H972+E972-K972-G972*I972)</f>
        <v>151.538940865819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15.0213641212497</v>
      </c>
      <c r="N972" s="16" t="n">
        <f aca="false">IF(D972="","",(I972+M972)/2)</f>
        <v>14.9919059308369</v>
      </c>
      <c r="O972" s="16" t="n">
        <f aca="false">IF(D972="","",G972*N972)</f>
        <v>2.83347022092818</v>
      </c>
      <c r="P972" s="16" t="n">
        <f aca="false">IF(D972="","",H972+E972-K972-O972)</f>
        <v>151.533373267831</v>
      </c>
      <c r="Q972" s="16" t="n">
        <f aca="false">IF(D972="","",IF(P972&gt;=0,K972,MAX(0,K972+P972)))</f>
        <v>1.119744</v>
      </c>
      <c r="R972" s="16" t="n">
        <f aca="false">IF(D972="","",Q972/$B$15)</f>
        <v>0.432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151.533373267831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93.5391193011303</v>
      </c>
      <c r="Z972" s="18" t="n">
        <f aca="false">IF(D972="","",MAX(0,IF(P972&gt;=0,P972,IF(K972+P972&gt;=0,0,P972+K972))))</f>
        <v>151.533373267831</v>
      </c>
      <c r="AA972" s="18" t="n">
        <f aca="false">IF(D972="","",IF(H972&lt;=$B$16,1,IF(H972&gt;=$B$17,$B$21,MATCH(H972,Aux_CAV!$A$2:$A$121,1))))</f>
        <v>22</v>
      </c>
      <c r="AB972" s="18" t="n">
        <f aca="false">IF(D972="","",IF(L972&lt;=$B$16,1,IF(L972&gt;=$B$17,$B$21,MATCH(L972,Aux_CAV!$A$2:$A$121,1))))</f>
        <v>22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1.03955174695553</v>
      </c>
      <c r="E973" s="16" t="n">
        <f aca="false">IF(D973="","",D973*$B$15)</f>
        <v>2.69451812810873</v>
      </c>
      <c r="F973" s="16" t="n">
        <f aca="false" t="array" ref="F973:F973">IF(D973="","",IFERROR(INDEX(Dados_Evap!$C$2:$N$15,MATCH($B$9,Dados_Evap!$A$2:$A$15,0),C973),0))</f>
        <v>136.9</v>
      </c>
      <c r="G973" s="16" t="n">
        <f aca="false">IF(F973="","",F973/1000)</f>
        <v>0.1369</v>
      </c>
      <c r="H973" s="16" t="n">
        <f aca="false">IF(D973="","",MAX(0,MIN($B$8,IFERROR(LOOKUP(2,1/($U$24:U972&lt;&gt;""),$U$24:U972),$B$11))))</f>
        <v>151.533373267831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15.0209587624488</v>
      </c>
      <c r="J973" s="16" t="n">
        <f aca="false">IF(D973="","",$B$12)</f>
        <v>0.432</v>
      </c>
      <c r="K973" s="16" t="n">
        <f aca="false">IF(J973="","",J973*$B$15)</f>
        <v>1.119744</v>
      </c>
      <c r="L973" s="16" t="n">
        <f aca="false">IF(D973="","",H973+E973-K973-G973*I973)</f>
        <v>151.051778141361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14.9858953790336</v>
      </c>
      <c r="N973" s="16" t="n">
        <f aca="false">IF(D973="","",(I973+M973)/2)</f>
        <v>15.0034270707412</v>
      </c>
      <c r="O973" s="16" t="n">
        <f aca="false">IF(D973="","",G973*N973)</f>
        <v>2.05396916598447</v>
      </c>
      <c r="P973" s="16" t="n">
        <f aca="false">IF(D973="","",H973+E973-K973-O973)</f>
        <v>151.054178229955</v>
      </c>
      <c r="Q973" s="16" t="n">
        <f aca="false">IF(D973="","",IF(P973&gt;=0,K973,MAX(0,K973+P973)))</f>
        <v>1.119744</v>
      </c>
      <c r="R973" s="16" t="n">
        <f aca="false">IF(D973="","",Q973/$B$15)</f>
        <v>0.432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151.054178229955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93.2433198950342</v>
      </c>
      <c r="Z973" s="18" t="n">
        <f aca="false">IF(D973="","",MAX(0,IF(P973&gt;=0,P973,IF(K973+P973&gt;=0,0,P973+K973))))</f>
        <v>151.054178229955</v>
      </c>
      <c r="AA973" s="18" t="n">
        <f aca="false">IF(D973="","",IF(H973&lt;=$B$16,1,IF(H973&gt;=$B$17,$B$21,MATCH(H973,Aux_CAV!$A$2:$A$121,1))))</f>
        <v>22</v>
      </c>
      <c r="AB973" s="18" t="n">
        <f aca="false">IF(D973="","",IF(L973&lt;=$B$16,1,IF(L973&gt;=$B$17,$B$21,MATCH(L973,Aux_CAV!$A$2:$A$121,1))))</f>
        <v>22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3.69508826691743</v>
      </c>
      <c r="E974" s="16" t="n">
        <f aca="false">IF(D974="","",D974*$B$15)</f>
        <v>9.57766878784998</v>
      </c>
      <c r="F974" s="16" t="n">
        <f aca="false" t="array" ref="F974:F974">IF(D974="","",IFERROR(INDEX(Dados_Evap!$C$2:$N$15,MATCH($B$9,Dados_Evap!$A$2:$A$15,0),C974),0))</f>
        <v>102.9</v>
      </c>
      <c r="G974" s="16" t="n">
        <f aca="false">IF(F974="","",F974/1000)</f>
        <v>0.1029</v>
      </c>
      <c r="H974" s="16" t="n">
        <f aca="false">IF(D974="","",MAX(0,MIN($B$8,IFERROR(LOOKUP(2,1/($U$24:U973&lt;&gt;""),$U$24:U973),$B$11))))</f>
        <v>151.054178229955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14.986070121721</v>
      </c>
      <c r="J974" s="16" t="n">
        <f aca="false">IF(D974="","",$B$12)</f>
        <v>0.432</v>
      </c>
      <c r="K974" s="16" t="n">
        <f aca="false">IF(J974="","",J974*$B$15)</f>
        <v>1.119744</v>
      </c>
      <c r="L974" s="16" t="n">
        <f aca="false">IF(D974="","",H974+E974-K974-G974*I974)</f>
        <v>157.97003640228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15.4895913855651</v>
      </c>
      <c r="N974" s="16" t="n">
        <f aca="false">IF(D974="","",(I974+M974)/2)</f>
        <v>15.237830753643</v>
      </c>
      <c r="O974" s="16" t="n">
        <f aca="false">IF(D974="","",G974*N974)</f>
        <v>1.56797278454987</v>
      </c>
      <c r="P974" s="16" t="n">
        <f aca="false">IF(D974="","",H974+E974-K974-O974)</f>
        <v>157.944130233255</v>
      </c>
      <c r="Q974" s="16" t="n">
        <f aca="false">IF(D974="","",IF(P974&gt;=0,K974,MAX(0,K974+P974)))</f>
        <v>1.119744</v>
      </c>
      <c r="R974" s="16" t="n">
        <f aca="false">IF(D974="","",Q974/$B$15)</f>
        <v>0.432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157.944130233255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97.4963766871947</v>
      </c>
      <c r="Z974" s="18" t="n">
        <f aca="false">IF(D974="","",MAX(0,IF(P974&gt;=0,P974,IF(K974+P974&gt;=0,0,P974+K974))))</f>
        <v>157.944130233255</v>
      </c>
      <c r="AA974" s="18" t="n">
        <f aca="false">IF(D974="","",IF(H974&lt;=$B$16,1,IF(H974&gt;=$B$17,$B$21,MATCH(H974,Aux_CAV!$A$2:$A$121,1))))</f>
        <v>22</v>
      </c>
      <c r="AB974" s="18" t="n">
        <f aca="false">IF(D974="","",IF(L974&lt;=$B$16,1,IF(L974&gt;=$B$17,$B$21,MATCH(L974,Aux_CAV!$A$2:$A$121,1))))</f>
        <v>22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10.3322041285282</v>
      </c>
      <c r="E975" s="16" t="n">
        <f aca="false">IF(D975="","",D975*$B$15)</f>
        <v>26.7810731011451</v>
      </c>
      <c r="F975" s="16" t="n">
        <f aca="false" t="array" ref="F975:F975">IF(D975="","",IFERROR(INDEX(Dados_Evap!$C$2:$N$15,MATCH($B$9,Dados_Evap!$A$2:$A$15,0),C975),0))</f>
        <v>81.8</v>
      </c>
      <c r="G975" s="16" t="n">
        <f aca="false">IF(F975="","",F975/1000)</f>
        <v>0.0818</v>
      </c>
      <c r="H975" s="16" t="n">
        <f aca="false">IF(D975="","",MAX(0,MIN($B$8,IFERROR(LOOKUP(2,1/($U$24:U974&lt;&gt;""),$U$24:U974),$B$11))))</f>
        <v>157.944130233255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15.4877052411932</v>
      </c>
      <c r="J975" s="16" t="n">
        <f aca="false">IF(D975="","",$B$12)</f>
        <v>0.432</v>
      </c>
      <c r="K975" s="16" t="n">
        <f aca="false">IF(J975="","",J975*$B$15)</f>
        <v>1.119744</v>
      </c>
      <c r="L975" s="16" t="n">
        <f aca="false">IF(D975="","",H975+E975-K975-G975*I975)</f>
        <v>182.338565045671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16.9994398903506</v>
      </c>
      <c r="N975" s="16" t="n">
        <f aca="false">IF(D975="","",(I975+M975)/2)</f>
        <v>16.2435725657719</v>
      </c>
      <c r="O975" s="16" t="n">
        <f aca="false">IF(D975="","",G975*N975)</f>
        <v>1.32872423588014</v>
      </c>
      <c r="P975" s="16" t="n">
        <f aca="false">IF(D975="","",H975+E975-K975-O975)</f>
        <v>182.27673509852</v>
      </c>
      <c r="Q975" s="16" t="n">
        <f aca="false">IF(D975="","",IF(P975&gt;=0,K975,MAX(0,K975+P975)))</f>
        <v>1.119744</v>
      </c>
      <c r="R975" s="16" t="n">
        <f aca="false">IF(D975="","",Q975/$B$15)</f>
        <v>0.432</v>
      </c>
      <c r="S975" s="16" t="n">
        <f aca="false">IF(D975="","",MAX(0,J975-R975))</f>
        <v>0</v>
      </c>
      <c r="T975" s="16" t="n">
        <f aca="false">IF(D975="","",MAX(0,Z975-$B$8))</f>
        <v>20.2767350985204</v>
      </c>
      <c r="U975" s="16" t="n">
        <f aca="false">IF(D975="","",MAX(0,MIN($B$8,Z975)))</f>
        <v>162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182.27673509852</v>
      </c>
      <c r="AA975" s="18" t="n">
        <f aca="false">IF(D975="","",IF(H975&lt;=$B$16,1,IF(H975&gt;=$B$17,$B$21,MATCH(H975,Aux_CAV!$A$2:$A$121,1))))</f>
        <v>22</v>
      </c>
      <c r="AB975" s="18" t="n">
        <f aca="false">IF(D975="","",IF(L975&lt;=$B$16,1,IF(L975&gt;=$B$17,$B$21,MATCH(L975,Aux_CAV!$A$2:$A$121,1))))</f>
        <v>23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12.5874028935154</v>
      </c>
      <c r="E976" s="16" t="n">
        <f aca="false">IF(D976="","",D976*$B$15)</f>
        <v>32.6265482999919</v>
      </c>
      <c r="F976" s="16" t="n">
        <f aca="false" t="array" ref="F976:F976">IF(D976="","",IFERROR(INDEX(Dados_Evap!$C$2:$N$15,MATCH($B$9,Dados_Evap!$A$2:$A$15,0),C976),0))</f>
        <v>83.6</v>
      </c>
      <c r="G976" s="16" t="n">
        <f aca="false">IF(F976="","",F976/1000)</f>
        <v>0.0836</v>
      </c>
      <c r="H976" s="16" t="n">
        <f aca="false">IF(D976="","",MAX(0,MIN($B$8,IFERROR(LOOKUP(2,1/($U$24:U975&lt;&gt;""),$U$24:U975),$B$11))))</f>
        <v>162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15.783</v>
      </c>
      <c r="J976" s="16" t="n">
        <f aca="false">IF(D976="","",$B$12)</f>
        <v>0.432</v>
      </c>
      <c r="K976" s="16" t="n">
        <f aca="false">IF(J976="","",J976*$B$15)</f>
        <v>1.119744</v>
      </c>
      <c r="L976" s="16" t="n">
        <f aca="false">IF(D976="","",H976+E976-K976-G976*I976)</f>
        <v>192.187345499992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17.5884907594281</v>
      </c>
      <c r="N976" s="16" t="n">
        <f aca="false">IF(D976="","",(I976+M976)/2)</f>
        <v>16.685745379714</v>
      </c>
      <c r="O976" s="16" t="n">
        <f aca="false">IF(D976="","",G976*N976)</f>
        <v>1.39492831374409</v>
      </c>
      <c r="P976" s="16" t="n">
        <f aca="false">IF(D976="","",H976+E976-K976-O976)</f>
        <v>192.111875986248</v>
      </c>
      <c r="Q976" s="16" t="n">
        <f aca="false">IF(D976="","",IF(P976&gt;=0,K976,MAX(0,K976+P976)))</f>
        <v>1.119744</v>
      </c>
      <c r="R976" s="16" t="n">
        <f aca="false">IF(D976="","",Q976/$B$15)</f>
        <v>0.432</v>
      </c>
      <c r="S976" s="16" t="n">
        <f aca="false">IF(D976="","",MAX(0,J976-R976))</f>
        <v>0</v>
      </c>
      <c r="T976" s="16" t="n">
        <f aca="false">IF(D976="","",MAX(0,Z976-$B$8))</f>
        <v>30.1118759862478</v>
      </c>
      <c r="U976" s="16" t="n">
        <f aca="false">IF(D976="","",MAX(0,MIN($B$8,Z976)))</f>
        <v>162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192.111875986248</v>
      </c>
      <c r="AA976" s="18" t="n">
        <f aca="false">IF(D976="","",IF(H976&lt;=$B$16,1,IF(H976&gt;=$B$17,$B$21,MATCH(H976,Aux_CAV!$A$2:$A$121,1))))</f>
        <v>23</v>
      </c>
      <c r="AB976" s="18" t="n">
        <f aca="false">IF(D976="","",IF(L976&lt;=$B$16,1,IF(L976&gt;=$B$17,$B$21,MATCH(L976,Aux_CAV!$A$2:$A$121,1))))</f>
        <v>23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15.9995175990641</v>
      </c>
      <c r="E977" s="16" t="n">
        <f aca="false">IF(D977="","",D977*$B$15)</f>
        <v>41.4707496167742</v>
      </c>
      <c r="F977" s="16" t="n">
        <f aca="false" t="array" ref="F977:F977">IF(D977="","",IFERROR(INDEX(Dados_Evap!$C$2:$N$15,MATCH($B$9,Dados_Evap!$A$2:$A$15,0),C977),0))</f>
        <v>108.2</v>
      </c>
      <c r="G977" s="16" t="n">
        <f aca="false">IF(F977="","",F977/1000)</f>
        <v>0.1082</v>
      </c>
      <c r="H977" s="16" t="n">
        <f aca="false">IF(D977="","",MAX(0,MIN($B$8,IFERROR(LOOKUP(2,1/($U$24:U976&lt;&gt;""),$U$24:U976),$B$11))))</f>
        <v>162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15.783</v>
      </c>
      <c r="J977" s="16" t="n">
        <f aca="false">IF(D977="","",$B$12)</f>
        <v>0.432</v>
      </c>
      <c r="K977" s="16" t="n">
        <f aca="false">IF(J977="","",J977*$B$15)</f>
        <v>1.119744</v>
      </c>
      <c r="L977" s="16" t="n">
        <f aca="false">IF(D977="","",H977+E977-K977-G977*I977)</f>
        <v>200.643285016774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18.094236475289</v>
      </c>
      <c r="N977" s="16" t="n">
        <f aca="false">IF(D977="","",(I977+M977)/2)</f>
        <v>16.9386182376445</v>
      </c>
      <c r="O977" s="16" t="n">
        <f aca="false">IF(D977="","",G977*N977)</f>
        <v>1.83275849331313</v>
      </c>
      <c r="P977" s="16" t="n">
        <f aca="false">IF(D977="","",H977+E977-K977-O977)</f>
        <v>200.518247123461</v>
      </c>
      <c r="Q977" s="16" t="n">
        <f aca="false">IF(D977="","",IF(P977&gt;=0,K977,MAX(0,K977+P977)))</f>
        <v>1.119744</v>
      </c>
      <c r="R977" s="16" t="n">
        <f aca="false">IF(D977="","",Q977/$B$15)</f>
        <v>0.432</v>
      </c>
      <c r="S977" s="16" t="n">
        <f aca="false">IF(D977="","",MAX(0,J977-R977))</f>
        <v>0</v>
      </c>
      <c r="T977" s="16" t="n">
        <f aca="false">IF(D977="","",MAX(0,Z977-$B$8))</f>
        <v>38.518247123461</v>
      </c>
      <c r="U977" s="16" t="n">
        <f aca="false">IF(D977="","",MAX(0,MIN($B$8,Z977)))</f>
        <v>162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200.518247123461</v>
      </c>
      <c r="AA977" s="18" t="n">
        <f aca="false">IF(D977="","",IF(H977&lt;=$B$16,1,IF(H977&gt;=$B$17,$B$21,MATCH(H977,Aux_CAV!$A$2:$A$121,1))))</f>
        <v>23</v>
      </c>
      <c r="AB977" s="18" t="n">
        <f aca="false">IF(D977="","",IF(L977&lt;=$B$16,1,IF(L977&gt;=$B$17,$B$21,MATCH(L977,Aux_CAV!$A$2:$A$121,1))))</f>
        <v>23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16.7147354111806</v>
      </c>
      <c r="E978" s="16" t="n">
        <f aca="false">IF(D978="","",D978*$B$15)</f>
        <v>43.3245941857801</v>
      </c>
      <c r="F978" s="16" t="n">
        <f aca="false" t="array" ref="F978:F978">IF(D978="","",IFERROR(INDEX(Dados_Evap!$C$2:$N$15,MATCH($B$9,Dados_Evap!$A$2:$A$15,0),C978),0))</f>
        <v>149</v>
      </c>
      <c r="G978" s="16" t="n">
        <f aca="false">IF(F978="","",F978/1000)</f>
        <v>0.149</v>
      </c>
      <c r="H978" s="16" t="n">
        <f aca="false">IF(D978="","",MAX(0,MIN($B$8,IFERROR(LOOKUP(2,1/($U$24:U977&lt;&gt;""),$U$24:U977),$B$11))))</f>
        <v>162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15.783</v>
      </c>
      <c r="J978" s="16" t="n">
        <f aca="false">IF(D978="","",$B$12)</f>
        <v>0.432</v>
      </c>
      <c r="K978" s="16" t="n">
        <f aca="false">IF(J978="","",J978*$B$15)</f>
        <v>1.119744</v>
      </c>
      <c r="L978" s="16" t="n">
        <f aca="false">IF(D978="","",H978+E978-K978-G978*I978)</f>
        <v>201.85318318578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18.1665999086352</v>
      </c>
      <c r="N978" s="16" t="n">
        <f aca="false">IF(D978="","",(I978+M978)/2)</f>
        <v>16.9747999543176</v>
      </c>
      <c r="O978" s="16" t="n">
        <f aca="false">IF(D978="","",G978*N978)</f>
        <v>2.52924519319332</v>
      </c>
      <c r="P978" s="16" t="n">
        <f aca="false">IF(D978="","",H978+E978-K978-O978)</f>
        <v>201.675604992587</v>
      </c>
      <c r="Q978" s="16" t="n">
        <f aca="false">IF(D978="","",IF(P978&gt;=0,K978,MAX(0,K978+P978)))</f>
        <v>1.119744</v>
      </c>
      <c r="R978" s="16" t="n">
        <f aca="false">IF(D978="","",Q978/$B$15)</f>
        <v>0.432</v>
      </c>
      <c r="S978" s="16" t="n">
        <f aca="false">IF(D978="","",MAX(0,J978-R978))</f>
        <v>0</v>
      </c>
      <c r="T978" s="16" t="n">
        <f aca="false">IF(D978="","",MAX(0,Z978-$B$8))</f>
        <v>39.6756049925868</v>
      </c>
      <c r="U978" s="16" t="n">
        <f aca="false">IF(D978="","",MAX(0,MIN($B$8,Z978)))</f>
        <v>162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201.675604992587</v>
      </c>
      <c r="AA978" s="18" t="n">
        <f aca="false">IF(D978="","",IF(H978&lt;=$B$16,1,IF(H978&gt;=$B$17,$B$21,MATCH(H978,Aux_CAV!$A$2:$A$121,1))))</f>
        <v>23</v>
      </c>
      <c r="AB978" s="18" t="n">
        <f aca="false">IF(D978="","",IF(L978&lt;=$B$16,1,IF(L978&gt;=$B$17,$B$21,MATCH(L978,Aux_CAV!$A$2:$A$121,1))))</f>
        <v>23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1.73057018569135</v>
      </c>
      <c r="E979" s="16" t="n">
        <f aca="false">IF(D979="","",D979*$B$15)</f>
        <v>4.48563792131198</v>
      </c>
      <c r="F979" s="16" t="n">
        <f aca="false" t="array" ref="F979:F979">IF(D979="","",IFERROR(INDEX(Dados_Evap!$C$2:$N$15,MATCH($B$9,Dados_Evap!$A$2:$A$15,0),C979),0))</f>
        <v>206.8</v>
      </c>
      <c r="G979" s="16" t="n">
        <f aca="false">IF(F979="","",F979/1000)</f>
        <v>0.2068</v>
      </c>
      <c r="H979" s="16" t="n">
        <f aca="false">IF(D979="","",MAX(0,MIN($B$8,IFERROR(LOOKUP(2,1/($U$24:U978&lt;&gt;""),$U$24:U978),$B$11))))</f>
        <v>162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15.783</v>
      </c>
      <c r="J979" s="16" t="n">
        <f aca="false">IF(D979="","",$B$12)</f>
        <v>0.432</v>
      </c>
      <c r="K979" s="16" t="n">
        <f aca="false">IF(J979="","",J979*$B$15)</f>
        <v>1.119744</v>
      </c>
      <c r="L979" s="16" t="n">
        <f aca="false">IF(D979="","",H979+E979-K979-G979*I979)</f>
        <v>162.101969521312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15.7890987485128</v>
      </c>
      <c r="N979" s="16" t="n">
        <f aca="false">IF(D979="","",(I979+M979)/2)</f>
        <v>15.7860493742564</v>
      </c>
      <c r="O979" s="16" t="n">
        <f aca="false">IF(D979="","",G979*N979)</f>
        <v>3.26455501059622</v>
      </c>
      <c r="P979" s="16" t="n">
        <f aca="false">IF(D979="","",H979+E979-K979-O979)</f>
        <v>162.101338910716</v>
      </c>
      <c r="Q979" s="16" t="n">
        <f aca="false">IF(D979="","",IF(P979&gt;=0,K979,MAX(0,K979+P979)))</f>
        <v>1.119744</v>
      </c>
      <c r="R979" s="16" t="n">
        <f aca="false">IF(D979="","",Q979/$B$15)</f>
        <v>0.432</v>
      </c>
      <c r="S979" s="16" t="n">
        <f aca="false">IF(D979="","",MAX(0,J979-R979))</f>
        <v>0</v>
      </c>
      <c r="T979" s="16" t="n">
        <f aca="false">IF(D979="","",MAX(0,Z979-$B$8))</f>
        <v>0.101338910715782</v>
      </c>
      <c r="U979" s="16" t="n">
        <f aca="false">IF(D979="","",MAX(0,MIN($B$8,Z979)))</f>
        <v>162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100</v>
      </c>
      <c r="Z979" s="18" t="n">
        <f aca="false">IF(D979="","",MAX(0,IF(P979&gt;=0,P979,IF(K979+P979&gt;=0,0,P979+K979))))</f>
        <v>162.101338910716</v>
      </c>
      <c r="AA979" s="18" t="n">
        <f aca="false">IF(D979="","",IF(H979&lt;=$B$16,1,IF(H979&gt;=$B$17,$B$21,MATCH(H979,Aux_CAV!$A$2:$A$121,1))))</f>
        <v>23</v>
      </c>
      <c r="AB979" s="18" t="n">
        <f aca="false">IF(D979="","",IF(L979&lt;=$B$16,1,IF(L979&gt;=$B$17,$B$21,MATCH(L979,Aux_CAV!$A$2:$A$121,1))))</f>
        <v>23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1.18498493070267</v>
      </c>
      <c r="E980" s="16" t="n">
        <f aca="false">IF(D980="","",D980*$B$15)</f>
        <v>3.07148094038132</v>
      </c>
      <c r="F980" s="16" t="n">
        <f aca="false" t="array" ref="F980:F980">IF(D980="","",IFERROR(INDEX(Dados_Evap!$C$2:$N$15,MATCH($B$9,Dados_Evap!$A$2:$A$15,0),C980),0))</f>
        <v>245.9</v>
      </c>
      <c r="G980" s="16" t="n">
        <f aca="false">IF(F980="","",F980/1000)</f>
        <v>0.2459</v>
      </c>
      <c r="H980" s="16" t="n">
        <f aca="false">IF(D980="","",MAX(0,MIN($B$8,IFERROR(LOOKUP(2,1/($U$24:U979&lt;&gt;""),$U$24:U979),$B$11))))</f>
        <v>162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15.783</v>
      </c>
      <c r="J980" s="16" t="n">
        <f aca="false">IF(D980="","",$B$12)</f>
        <v>0.432</v>
      </c>
      <c r="K980" s="16" t="n">
        <f aca="false">IF(J980="","",J980*$B$15)</f>
        <v>1.119744</v>
      </c>
      <c r="L980" s="16" t="n">
        <f aca="false">IF(D980="","",H980+E980-K980-G980*I980)</f>
        <v>160.070697240381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15.6425337064967</v>
      </c>
      <c r="N980" s="16" t="n">
        <f aca="false">IF(D980="","",(I980+M980)/2)</f>
        <v>15.7127668532483</v>
      </c>
      <c r="O980" s="16" t="n">
        <f aca="false">IF(D980="","",G980*N980)</f>
        <v>3.86376936921376</v>
      </c>
      <c r="P980" s="16" t="n">
        <f aca="false">IF(D980="","",H980+E980-K980-O980)</f>
        <v>160.087967571168</v>
      </c>
      <c r="Q980" s="16" t="n">
        <f aca="false">IF(D980="","",IF(P980&gt;=0,K980,MAX(0,K980+P980)))</f>
        <v>1.119744</v>
      </c>
      <c r="R980" s="16" t="n">
        <f aca="false">IF(D980="","",Q980/$B$15)</f>
        <v>0.432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160.087967571168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98.819733068622</v>
      </c>
      <c r="Z980" s="18" t="n">
        <f aca="false">IF(D980="","",MAX(0,IF(P980&gt;=0,P980,IF(K980+P980&gt;=0,0,P980+K980))))</f>
        <v>160.087967571168</v>
      </c>
      <c r="AA980" s="18" t="n">
        <f aca="false">IF(D980="","",IF(H980&lt;=$B$16,1,IF(H980&gt;=$B$17,$B$21,MATCH(H980,Aux_CAV!$A$2:$A$121,1))))</f>
        <v>23</v>
      </c>
      <c r="AB980" s="18" t="n">
        <f aca="false">IF(D980="","",IF(L980&lt;=$B$16,1,IF(L980&gt;=$B$17,$B$21,MATCH(L980,Aux_CAV!$A$2:$A$121,1))))</f>
        <v>22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1.00897068846975</v>
      </c>
      <c r="E981" s="16" t="n">
        <f aca="false">IF(D981="","",D981*$B$15)</f>
        <v>2.61525202451359</v>
      </c>
      <c r="F981" s="16" t="n">
        <f aca="false" t="array" ref="F981:F981">IF(D981="","",IFERROR(INDEX(Dados_Evap!$C$2:$N$15,MATCH($B$9,Dados_Evap!$A$2:$A$15,0),C981),0))</f>
        <v>282.3</v>
      </c>
      <c r="G981" s="16" t="n">
        <f aca="false">IF(F981="","",F981/1000)</f>
        <v>0.2823</v>
      </c>
      <c r="H981" s="16" t="n">
        <f aca="false">IF(D981="","",MAX(0,MIN($B$8,IFERROR(LOOKUP(2,1/($U$24:U980&lt;&gt;""),$U$24:U980),$B$11))))</f>
        <v>160.087967571168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15.6437911034195</v>
      </c>
      <c r="J981" s="16" t="n">
        <f aca="false">IF(D981="","",$B$12)</f>
        <v>0.432</v>
      </c>
      <c r="K981" s="16" t="n">
        <f aca="false">IF(J981="","",J981*$B$15)</f>
        <v>1.119744</v>
      </c>
      <c r="L981" s="16" t="n">
        <f aca="false">IF(D981="","",H981+E981-K981-G981*I981)</f>
        <v>157.167233367186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15.4311418932857</v>
      </c>
      <c r="N981" s="16" t="n">
        <f aca="false">IF(D981="","",(I981+M981)/2)</f>
        <v>15.5374664983526</v>
      </c>
      <c r="O981" s="16" t="n">
        <f aca="false">IF(D981="","",G981*N981)</f>
        <v>4.38622679248494</v>
      </c>
      <c r="P981" s="16" t="n">
        <f aca="false">IF(D981="","",H981+E981-K981-O981)</f>
        <v>157.197248803196</v>
      </c>
      <c r="Q981" s="16" t="n">
        <f aca="false">IF(D981="","",IF(P981&gt;=0,K981,MAX(0,K981+P981)))</f>
        <v>1.119744</v>
      </c>
      <c r="R981" s="16" t="n">
        <f aca="false">IF(D981="","",Q981/$B$15)</f>
        <v>0.432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157.197248803196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97.0353387674051</v>
      </c>
      <c r="Z981" s="18" t="n">
        <f aca="false">IF(D981="","",MAX(0,IF(P981&gt;=0,P981,IF(K981+P981&gt;=0,0,P981+K981))))</f>
        <v>157.197248803196</v>
      </c>
      <c r="AA981" s="18" t="n">
        <f aca="false">IF(D981="","",IF(H981&lt;=$B$16,1,IF(H981&gt;=$B$17,$B$21,MATCH(H981,Aux_CAV!$A$2:$A$121,1))))</f>
        <v>22</v>
      </c>
      <c r="AB981" s="18" t="n">
        <f aca="false">IF(D981="","",IF(L981&lt;=$B$16,1,IF(L981&gt;=$B$17,$B$21,MATCH(L981,Aux_CAV!$A$2:$A$121,1))))</f>
        <v>22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0.856553949252444</v>
      </c>
      <c r="E982" s="16" t="n">
        <f aca="false">IF(D982="","",D982*$B$15)</f>
        <v>2.22018783646234</v>
      </c>
      <c r="F982" s="16" t="n">
        <f aca="false" t="array" ref="F982:F982">IF(D982="","",IFERROR(INDEX(Dados_Evap!$C$2:$N$15,MATCH($B$9,Dados_Evap!$A$2:$A$15,0),C982),0))</f>
        <v>241.3</v>
      </c>
      <c r="G982" s="16" t="n">
        <f aca="false">IF(F982="","",F982/1000)</f>
        <v>0.2413</v>
      </c>
      <c r="H982" s="16" t="n">
        <f aca="false">IF(D982="","",MAX(0,MIN($B$8,IFERROR(LOOKUP(2,1/($U$24:U981&lt;&gt;""),$U$24:U981),$B$11))))</f>
        <v>157.197248803196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15.4333272200953</v>
      </c>
      <c r="J982" s="16" t="n">
        <f aca="false">IF(D982="","",$B$12)</f>
        <v>0.432</v>
      </c>
      <c r="K982" s="16" t="n">
        <f aca="false">IF(J982="","",J982*$B$15)</f>
        <v>1.119744</v>
      </c>
      <c r="L982" s="16" t="n">
        <f aca="false">IF(D982="","",H982+E982-K982-G982*I982)</f>
        <v>154.57363078145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15.2423100781532</v>
      </c>
      <c r="N982" s="16" t="n">
        <f aca="false">IF(D982="","",(I982+M982)/2)</f>
        <v>15.3378186491242</v>
      </c>
      <c r="O982" s="16" t="n">
        <f aca="false">IF(D982="","",G982*N982)</f>
        <v>3.70101564003368</v>
      </c>
      <c r="P982" s="16" t="n">
        <f aca="false">IF(D982="","",H982+E982-K982-O982)</f>
        <v>154.596676999625</v>
      </c>
      <c r="Q982" s="16" t="n">
        <f aca="false">IF(D982="","",IF(P982&gt;=0,K982,MAX(0,K982+P982)))</f>
        <v>1.119744</v>
      </c>
      <c r="R982" s="16" t="n">
        <f aca="false">IF(D982="","",Q982/$B$15)</f>
        <v>0.432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154.596676999625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95.4300475306326</v>
      </c>
      <c r="Z982" s="18" t="n">
        <f aca="false">IF(D982="","",MAX(0,IF(P982&gt;=0,P982,IF(K982+P982&gt;=0,0,P982+K982))))</f>
        <v>154.596676999625</v>
      </c>
      <c r="AA982" s="18" t="n">
        <f aca="false">IF(D982="","",IF(H982&lt;=$B$16,1,IF(H982&gt;=$B$17,$B$21,MATCH(H982,Aux_CAV!$A$2:$A$121,1))))</f>
        <v>22</v>
      </c>
      <c r="AB982" s="18" t="n">
        <f aca="false">IF(D982="","",IF(L982&lt;=$B$16,1,IF(L982&gt;=$B$17,$B$21,MATCH(L982,Aux_CAV!$A$2:$A$121,1))))</f>
        <v>22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2.33092082954303</v>
      </c>
      <c r="E983" s="16" t="n">
        <f aca="false">IF(D983="","",D983*$B$15)</f>
        <v>6.04174679017554</v>
      </c>
      <c r="F983" s="16" t="n">
        <f aca="false" t="array" ref="F983:F983">IF(D983="","",IFERROR(INDEX(Dados_Evap!$C$2:$N$15,MATCH($B$9,Dados_Evap!$A$2:$A$15,0),C983),0))</f>
        <v>241.8</v>
      </c>
      <c r="G983" s="16" t="n">
        <f aca="false">IF(F983="","",F983/1000)</f>
        <v>0.2418</v>
      </c>
      <c r="H983" s="16" t="n">
        <f aca="false">IF(D983="","",MAX(0,MIN($B$8,IFERROR(LOOKUP(2,1/($U$24:U982&lt;&gt;""),$U$24:U982),$B$11))))</f>
        <v>154.596676999625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15.2439879987544</v>
      </c>
      <c r="J983" s="16" t="n">
        <f aca="false">IF(D983="","",$B$12)</f>
        <v>0.432</v>
      </c>
      <c r="K983" s="16" t="n">
        <f aca="false">IF(J983="","",J983*$B$15)</f>
        <v>1.119744</v>
      </c>
      <c r="L983" s="16" t="n">
        <f aca="false">IF(D983="","",H983+E983-K983-G983*I983)</f>
        <v>155.832683491702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15.3339776335188</v>
      </c>
      <c r="N983" s="16" t="n">
        <f aca="false">IF(D983="","",(I983+M983)/2)</f>
        <v>15.2889828161366</v>
      </c>
      <c r="O983" s="16" t="n">
        <f aca="false">IF(D983="","",G983*N983)</f>
        <v>3.69687604494183</v>
      </c>
      <c r="P983" s="16" t="n">
        <f aca="false">IF(D983="","",H983+E983-K983-O983)</f>
        <v>155.821803744859</v>
      </c>
      <c r="Q983" s="16" t="n">
        <f aca="false">IF(D983="","",IF(P983&gt;=0,K983,MAX(0,K983+P983)))</f>
        <v>1.119744</v>
      </c>
      <c r="R983" s="16" t="n">
        <f aca="false">IF(D983="","",Q983/$B$15)</f>
        <v>0.432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155.821803744859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96.1862986079374</v>
      </c>
      <c r="Z983" s="18" t="n">
        <f aca="false">IF(D983="","",MAX(0,IF(P983&gt;=0,P983,IF(K983+P983&gt;=0,0,P983+K983))))</f>
        <v>155.821803744859</v>
      </c>
      <c r="AA983" s="18" t="n">
        <f aca="false">IF(D983="","",IF(H983&lt;=$B$16,1,IF(H983&gt;=$B$17,$B$21,MATCH(H983,Aux_CAV!$A$2:$A$121,1))))</f>
        <v>22</v>
      </c>
      <c r="AB983" s="18" t="n">
        <f aca="false">IF(D983="","",IF(L983&lt;=$B$16,1,IF(L983&gt;=$B$17,$B$21,MATCH(L983,Aux_CAV!$A$2:$A$121,1))))</f>
        <v>22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0.834342146261339</v>
      </c>
      <c r="E984" s="16" t="n">
        <f aca="false">IF(D984="","",D984*$B$15)</f>
        <v>2.16261484310939</v>
      </c>
      <c r="F984" s="16" t="n">
        <f aca="false" t="array" ref="F984:F984">IF(D984="","",IFERROR(INDEX(Dados_Evap!$C$2:$N$15,MATCH($B$9,Dados_Evap!$A$2:$A$15,0),C984),0))</f>
        <v>189</v>
      </c>
      <c r="G984" s="16" t="n">
        <f aca="false">IF(F984="","",F984/1000)</f>
        <v>0.189</v>
      </c>
      <c r="H984" s="16" t="n">
        <f aca="false">IF(D984="","",MAX(0,MIN($B$8,IFERROR(LOOKUP(2,1/($U$24:U983&lt;&gt;""),$U$24:U983),$B$11))))</f>
        <v>155.821803744859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15.3331855143423</v>
      </c>
      <c r="J984" s="16" t="n">
        <f aca="false">IF(D984="","",$B$12)</f>
        <v>0.432</v>
      </c>
      <c r="K984" s="16" t="n">
        <f aca="false">IF(J984="","",J984*$B$15)</f>
        <v>1.119744</v>
      </c>
      <c r="L984" s="16" t="n">
        <f aca="false">IF(D984="","",H984+E984-K984-G984*I984)</f>
        <v>153.966702525757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15.1981215949955</v>
      </c>
      <c r="N984" s="16" t="n">
        <f aca="false">IF(D984="","",(I984+M984)/2)</f>
        <v>15.2656535546689</v>
      </c>
      <c r="O984" s="16" t="n">
        <f aca="false">IF(D984="","",G984*N984)</f>
        <v>2.88520852183242</v>
      </c>
      <c r="P984" s="16" t="n">
        <f aca="false">IF(D984="","",H984+E984-K984-O984)</f>
        <v>153.979466066136</v>
      </c>
      <c r="Q984" s="16" t="n">
        <f aca="false">IF(D984="","",IF(P984&gt;=0,K984,MAX(0,K984+P984)))</f>
        <v>1.119744</v>
      </c>
      <c r="R984" s="16" t="n">
        <f aca="false">IF(D984="","",Q984/$B$15)</f>
        <v>0.432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153.979466066136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95.0490531272442</v>
      </c>
      <c r="Z984" s="18" t="n">
        <f aca="false">IF(D984="","",MAX(0,IF(P984&gt;=0,P984,IF(K984+P984&gt;=0,0,P984+K984))))</f>
        <v>153.979466066136</v>
      </c>
      <c r="AA984" s="18" t="n">
        <f aca="false">IF(D984="","",IF(H984&lt;=$B$16,1,IF(H984&gt;=$B$17,$B$21,MATCH(H984,Aux_CAV!$A$2:$A$121,1))))</f>
        <v>22</v>
      </c>
      <c r="AB984" s="18" t="n">
        <f aca="false">IF(D984="","",IF(L984&lt;=$B$16,1,IF(L984&gt;=$B$17,$B$21,MATCH(L984,Aux_CAV!$A$2:$A$121,1))))</f>
        <v>22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1.82830043773359</v>
      </c>
      <c r="E985" s="16" t="n">
        <f aca="false">IF(D985="","",D985*$B$15)</f>
        <v>4.73895473460547</v>
      </c>
      <c r="F985" s="16" t="n">
        <f aca="false" t="array" ref="F985:F985">IF(D985="","",IFERROR(INDEX(Dados_Evap!$C$2:$N$15,MATCH($B$9,Dados_Evap!$A$2:$A$15,0),C985),0))</f>
        <v>136.9</v>
      </c>
      <c r="G985" s="16" t="n">
        <f aca="false">IF(F985="","",F985/1000)</f>
        <v>0.1369</v>
      </c>
      <c r="H985" s="16" t="n">
        <f aca="false">IF(D985="","",MAX(0,MIN($B$8,IFERROR(LOOKUP(2,1/($U$24:U984&lt;&gt;""),$U$24:U984),$B$11))))</f>
        <v>153.979466066136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15.1990508670861</v>
      </c>
      <c r="J985" s="16" t="n">
        <f aca="false">IF(D985="","",$B$12)</f>
        <v>0.432</v>
      </c>
      <c r="K985" s="16" t="n">
        <f aca="false">IF(J985="","",J985*$B$15)</f>
        <v>1.119744</v>
      </c>
      <c r="L985" s="16" t="n">
        <f aca="false">IF(D985="","",H985+E985-K985-G985*I985)</f>
        <v>155.517926737037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15.3110612123079</v>
      </c>
      <c r="N985" s="16" t="n">
        <f aca="false">IF(D985="","",(I985+M985)/2)</f>
        <v>15.255056039697</v>
      </c>
      <c r="O985" s="16" t="n">
        <f aca="false">IF(D985="","",G985*N985)</f>
        <v>2.08841717183452</v>
      </c>
      <c r="P985" s="16" t="n">
        <f aca="false">IF(D985="","",H985+E985-K985-O985)</f>
        <v>155.510259628906</v>
      </c>
      <c r="Q985" s="16" t="n">
        <f aca="false">IF(D985="","",IF(P985&gt;=0,K985,MAX(0,K985+P985)))</f>
        <v>1.119744</v>
      </c>
      <c r="R985" s="16" t="n">
        <f aca="false">IF(D985="","",Q985/$B$15)</f>
        <v>0.432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155.510259628906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95.9939874252509</v>
      </c>
      <c r="Z985" s="18" t="n">
        <f aca="false">IF(D985="","",MAX(0,IF(P985&gt;=0,P985,IF(K985+P985&gt;=0,0,P985+K985))))</f>
        <v>155.510259628906</v>
      </c>
      <c r="AA985" s="18" t="n">
        <f aca="false">IF(D985="","",IF(H985&lt;=$B$16,1,IF(H985&gt;=$B$17,$B$21,MATCH(H985,Aux_CAV!$A$2:$A$121,1))))</f>
        <v>22</v>
      </c>
      <c r="AB985" s="18" t="n">
        <f aca="false">IF(D985="","",IF(L985&lt;=$B$16,1,IF(L985&gt;=$B$17,$B$21,MATCH(L985,Aux_CAV!$A$2:$A$121,1))))</f>
        <v>22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1.79501820493226</v>
      </c>
      <c r="E986" s="16" t="n">
        <f aca="false">IF(D986="","",D986*$B$15)</f>
        <v>4.65268718718442</v>
      </c>
      <c r="F986" s="16" t="n">
        <f aca="false" t="array" ref="F986:F986">IF(D986="","",IFERROR(INDEX(Dados_Evap!$C$2:$N$15,MATCH($B$9,Dados_Evap!$A$2:$A$15,0),C986),0))</f>
        <v>102.9</v>
      </c>
      <c r="G986" s="16" t="n">
        <f aca="false">IF(F986="","",F986/1000)</f>
        <v>0.1029</v>
      </c>
      <c r="H986" s="16" t="n">
        <f aca="false">IF(D986="","",MAX(0,MIN($B$8,IFERROR(LOOKUP(2,1/($U$24:U985&lt;&gt;""),$U$24:U985),$B$11))))</f>
        <v>155.510259628906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15.3105029949645</v>
      </c>
      <c r="J986" s="16" t="n">
        <f aca="false">IF(D986="","",$B$12)</f>
        <v>0.432</v>
      </c>
      <c r="K986" s="16" t="n">
        <f aca="false">IF(J986="","",J986*$B$15)</f>
        <v>1.119744</v>
      </c>
      <c r="L986" s="16" t="n">
        <f aca="false">IF(D986="","",H986+E986-K986-G986*I986)</f>
        <v>157.467752057909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15.4530216871148</v>
      </c>
      <c r="N986" s="16" t="n">
        <f aca="false">IF(D986="","",(I986+M986)/2)</f>
        <v>15.3817623410397</v>
      </c>
      <c r="O986" s="16" t="n">
        <f aca="false">IF(D986="","",G986*N986)</f>
        <v>1.58278334489298</v>
      </c>
      <c r="P986" s="16" t="n">
        <f aca="false">IF(D986="","",H986+E986-K986-O986)</f>
        <v>157.460419471198</v>
      </c>
      <c r="Q986" s="16" t="n">
        <f aca="false">IF(D986="","",IF(P986&gt;=0,K986,MAX(0,K986+P986)))</f>
        <v>1.119744</v>
      </c>
      <c r="R986" s="16" t="n">
        <f aca="false">IF(D986="","",Q986/$B$15)</f>
        <v>0.432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157.460419471198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97.1977897970358</v>
      </c>
      <c r="Z986" s="18" t="n">
        <f aca="false">IF(D986="","",MAX(0,IF(P986&gt;=0,P986,IF(K986+P986&gt;=0,0,P986+K986))))</f>
        <v>157.460419471198</v>
      </c>
      <c r="AA986" s="18" t="n">
        <f aca="false">IF(D986="","",IF(H986&lt;=$B$16,1,IF(H986&gt;=$B$17,$B$21,MATCH(H986,Aux_CAV!$A$2:$A$121,1))))</f>
        <v>22</v>
      </c>
      <c r="AB986" s="18" t="n">
        <f aca="false">IF(D986="","",IF(L986&lt;=$B$16,1,IF(L986&gt;=$B$17,$B$21,MATCH(L986,Aux_CAV!$A$2:$A$121,1))))</f>
        <v>22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4.50007177791164</v>
      </c>
      <c r="E987" s="16" t="n">
        <f aca="false">IF(D987="","",D987*$B$15)</f>
        <v>11.664186048347</v>
      </c>
      <c r="F987" s="16" t="n">
        <f aca="false" t="array" ref="F987:F987">IF(D987="","",IFERROR(INDEX(Dados_Evap!$C$2:$N$15,MATCH($B$9,Dados_Evap!$A$2:$A$15,0),C987),0))</f>
        <v>81.8</v>
      </c>
      <c r="G987" s="16" t="n">
        <f aca="false">IF(F987="","",F987/1000)</f>
        <v>0.0818</v>
      </c>
      <c r="H987" s="16" t="n">
        <f aca="false">IF(D987="","",MAX(0,MIN($B$8,IFERROR(LOOKUP(2,1/($U$24:U986&lt;&gt;""),$U$24:U986),$B$11))))</f>
        <v>157.460419471198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15.452487825194</v>
      </c>
      <c r="J987" s="16" t="n">
        <f aca="false">IF(D987="","",$B$12)</f>
        <v>0.432</v>
      </c>
      <c r="K987" s="16" t="n">
        <f aca="false">IF(J987="","",J987*$B$15)</f>
        <v>1.119744</v>
      </c>
      <c r="L987" s="16" t="n">
        <f aca="false">IF(D987="","",H987+E987-K987-G987*I987)</f>
        <v>166.740848015444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16.066547862257</v>
      </c>
      <c r="N987" s="16" t="n">
        <f aca="false">IF(D987="","",(I987+M987)/2)</f>
        <v>15.7595178437255</v>
      </c>
      <c r="O987" s="16" t="n">
        <f aca="false">IF(D987="","",G987*N987)</f>
        <v>1.28912855961675</v>
      </c>
      <c r="P987" s="16" t="n">
        <f aca="false">IF(D987="","",H987+E987-K987-O987)</f>
        <v>166.715732959928</v>
      </c>
      <c r="Q987" s="16" t="n">
        <f aca="false">IF(D987="","",IF(P987&gt;=0,K987,MAX(0,K987+P987)))</f>
        <v>1.119744</v>
      </c>
      <c r="R987" s="16" t="n">
        <f aca="false">IF(D987="","",Q987/$B$15)</f>
        <v>0.432</v>
      </c>
      <c r="S987" s="16" t="n">
        <f aca="false">IF(D987="","",MAX(0,J987-R987))</f>
        <v>0</v>
      </c>
      <c r="T987" s="16" t="n">
        <f aca="false">IF(D987="","",MAX(0,Z987-$B$8))</f>
        <v>4.71573295992815</v>
      </c>
      <c r="U987" s="16" t="n">
        <f aca="false">IF(D987="","",MAX(0,MIN($B$8,Z987)))</f>
        <v>162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100</v>
      </c>
      <c r="Z987" s="18" t="n">
        <f aca="false">IF(D987="","",MAX(0,IF(P987&gt;=0,P987,IF(K987+P987&gt;=0,0,P987+K987))))</f>
        <v>166.715732959928</v>
      </c>
      <c r="AA987" s="18" t="n">
        <f aca="false">IF(D987="","",IF(H987&lt;=$B$16,1,IF(H987&gt;=$B$17,$B$21,MATCH(H987,Aux_CAV!$A$2:$A$121,1))))</f>
        <v>22</v>
      </c>
      <c r="AB987" s="18" t="n">
        <f aca="false">IF(D987="","",IF(L987&lt;=$B$16,1,IF(L987&gt;=$B$17,$B$21,MATCH(L987,Aux_CAV!$A$2:$A$121,1))))</f>
        <v>23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4.32585654676084</v>
      </c>
      <c r="E988" s="16" t="n">
        <f aca="false">IF(D988="","",D988*$B$15)</f>
        <v>11.2126201692041</v>
      </c>
      <c r="F988" s="16" t="n">
        <f aca="false" t="array" ref="F988:F988">IF(D988="","",IFERROR(INDEX(Dados_Evap!$C$2:$N$15,MATCH($B$9,Dados_Evap!$A$2:$A$15,0),C988),0))</f>
        <v>83.6</v>
      </c>
      <c r="G988" s="16" t="n">
        <f aca="false">IF(F988="","",F988/1000)</f>
        <v>0.0836</v>
      </c>
      <c r="H988" s="16" t="n">
        <f aca="false">IF(D988="","",MAX(0,MIN($B$8,IFERROR(LOOKUP(2,1/($U$24:U987&lt;&gt;""),$U$24:U987),$B$11))))</f>
        <v>162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15.783</v>
      </c>
      <c r="J988" s="16" t="n">
        <f aca="false">IF(D988="","",$B$12)</f>
        <v>0.432</v>
      </c>
      <c r="K988" s="16" t="n">
        <f aca="false">IF(J988="","",J988*$B$15)</f>
        <v>1.119744</v>
      </c>
      <c r="L988" s="16" t="n">
        <f aca="false">IF(D988="","",H988+E988-K988-G988*I988)</f>
        <v>170.773417369204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16.3077339150343</v>
      </c>
      <c r="N988" s="16" t="n">
        <f aca="false">IF(D988="","",(I988+M988)/2)</f>
        <v>16.0453669575172</v>
      </c>
      <c r="O988" s="16" t="n">
        <f aca="false">IF(D988="","",G988*N988)</f>
        <v>1.34139267764843</v>
      </c>
      <c r="P988" s="16" t="n">
        <f aca="false">IF(D988="","",H988+E988-K988-O988)</f>
        <v>170.751483491556</v>
      </c>
      <c r="Q988" s="16" t="n">
        <f aca="false">IF(D988="","",IF(P988&gt;=0,K988,MAX(0,K988+P988)))</f>
        <v>1.119744</v>
      </c>
      <c r="R988" s="16" t="n">
        <f aca="false">IF(D988="","",Q988/$B$15)</f>
        <v>0.432</v>
      </c>
      <c r="S988" s="16" t="n">
        <f aca="false">IF(D988="","",MAX(0,J988-R988))</f>
        <v>0</v>
      </c>
      <c r="T988" s="16" t="n">
        <f aca="false">IF(D988="","",MAX(0,Z988-$B$8))</f>
        <v>8.75148349155566</v>
      </c>
      <c r="U988" s="16" t="n">
        <f aca="false">IF(D988="","",MAX(0,MIN($B$8,Z988)))</f>
        <v>162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100</v>
      </c>
      <c r="Z988" s="18" t="n">
        <f aca="false">IF(D988="","",MAX(0,IF(P988&gt;=0,P988,IF(K988+P988&gt;=0,0,P988+K988))))</f>
        <v>170.751483491556</v>
      </c>
      <c r="AA988" s="18" t="n">
        <f aca="false">IF(D988="","",IF(H988&lt;=$B$16,1,IF(H988&gt;=$B$17,$B$21,MATCH(H988,Aux_CAV!$A$2:$A$121,1))))</f>
        <v>23</v>
      </c>
      <c r="AB988" s="18" t="n">
        <f aca="false">IF(D988="","",IF(L988&lt;=$B$16,1,IF(L988&gt;=$B$17,$B$21,MATCH(L988,Aux_CAV!$A$2:$A$121,1))))</f>
        <v>23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2.26803205021228</v>
      </c>
      <c r="E989" s="16" t="n">
        <f aca="false">IF(D989="","",D989*$B$15)</f>
        <v>5.87873907415023</v>
      </c>
      <c r="F989" s="16" t="n">
        <f aca="false" t="array" ref="F989:F989">IF(D989="","",IFERROR(INDEX(Dados_Evap!$C$2:$N$15,MATCH($B$9,Dados_Evap!$A$2:$A$15,0),C989),0))</f>
        <v>108.2</v>
      </c>
      <c r="G989" s="16" t="n">
        <f aca="false">IF(F989="","",F989/1000)</f>
        <v>0.1082</v>
      </c>
      <c r="H989" s="16" t="n">
        <f aca="false">IF(D989="","",MAX(0,MIN($B$8,IFERROR(LOOKUP(2,1/($U$24:U988&lt;&gt;""),$U$24:U988),$B$11))))</f>
        <v>162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15.783</v>
      </c>
      <c r="J989" s="16" t="n">
        <f aca="false">IF(D989="","",$B$12)</f>
        <v>0.432</v>
      </c>
      <c r="K989" s="16" t="n">
        <f aca="false">IF(J989="","",J989*$B$15)</f>
        <v>1.119744</v>
      </c>
      <c r="L989" s="16" t="n">
        <f aca="false">IF(D989="","",H989+E989-K989-G989*I989)</f>
        <v>165.05127447415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15.9654952733111</v>
      </c>
      <c r="N989" s="16" t="n">
        <f aca="false">IF(D989="","",(I989+M989)/2)</f>
        <v>15.8742476366555</v>
      </c>
      <c r="O989" s="16" t="n">
        <f aca="false">IF(D989="","",G989*N989)</f>
        <v>1.71759359428613</v>
      </c>
      <c r="P989" s="16" t="n">
        <f aca="false">IF(D989="","",H989+E989-K989-O989)</f>
        <v>165.041401479864</v>
      </c>
      <c r="Q989" s="16" t="n">
        <f aca="false">IF(D989="","",IF(P989&gt;=0,K989,MAX(0,K989+P989)))</f>
        <v>1.119744</v>
      </c>
      <c r="R989" s="16" t="n">
        <f aca="false">IF(D989="","",Q989/$B$15)</f>
        <v>0.432</v>
      </c>
      <c r="S989" s="16" t="n">
        <f aca="false">IF(D989="","",MAX(0,J989-R989))</f>
        <v>0</v>
      </c>
      <c r="T989" s="16" t="n">
        <f aca="false">IF(D989="","",MAX(0,Z989-$B$8))</f>
        <v>3.04140147986408</v>
      </c>
      <c r="U989" s="16" t="n">
        <f aca="false">IF(D989="","",MAX(0,MIN($B$8,Z989)))</f>
        <v>162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100</v>
      </c>
      <c r="Z989" s="18" t="n">
        <f aca="false">IF(D989="","",MAX(0,IF(P989&gt;=0,P989,IF(K989+P989&gt;=0,0,P989+K989))))</f>
        <v>165.041401479864</v>
      </c>
      <c r="AA989" s="18" t="n">
        <f aca="false">IF(D989="","",IF(H989&lt;=$B$16,1,IF(H989&gt;=$B$17,$B$21,MATCH(H989,Aux_CAV!$A$2:$A$121,1))))</f>
        <v>23</v>
      </c>
      <c r="AB989" s="18" t="n">
        <f aca="false">IF(D989="","",IF(L989&lt;=$B$16,1,IF(L989&gt;=$B$17,$B$21,MATCH(L989,Aux_CAV!$A$2:$A$121,1))))</f>
        <v>23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2.38584962402779</v>
      </c>
      <c r="E990" s="16" t="n">
        <f aca="false">IF(D990="","",D990*$B$15)</f>
        <v>6.18412222548003</v>
      </c>
      <c r="F990" s="16" t="n">
        <f aca="false" t="array" ref="F990:F990">IF(D990="","",IFERROR(INDEX(Dados_Evap!$C$2:$N$15,MATCH($B$9,Dados_Evap!$A$2:$A$15,0),C990),0))</f>
        <v>149</v>
      </c>
      <c r="G990" s="16" t="n">
        <f aca="false">IF(F990="","",F990/1000)</f>
        <v>0.149</v>
      </c>
      <c r="H990" s="16" t="n">
        <f aca="false">IF(D990="","",MAX(0,MIN($B$8,IFERROR(LOOKUP(2,1/($U$24:U989&lt;&gt;""),$U$24:U989),$B$11))))</f>
        <v>162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15.783</v>
      </c>
      <c r="J990" s="16" t="n">
        <f aca="false">IF(D990="","",$B$12)</f>
        <v>0.432</v>
      </c>
      <c r="K990" s="16" t="n">
        <f aca="false">IF(J990="","",J990*$B$15)</f>
        <v>1.119744</v>
      </c>
      <c r="L990" s="16" t="n">
        <f aca="false">IF(D990="","",H990+E990-K990-G990*I990)</f>
        <v>164.71271122548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15.9452459666287</v>
      </c>
      <c r="N990" s="16" t="n">
        <f aca="false">IF(D990="","",(I990+M990)/2)</f>
        <v>15.8641229833144</v>
      </c>
      <c r="O990" s="16" t="n">
        <f aca="false">IF(D990="","",G990*N990)</f>
        <v>2.36375432451384</v>
      </c>
      <c r="P990" s="16" t="n">
        <f aca="false">IF(D990="","",H990+E990-K990-O990)</f>
        <v>164.700623900966</v>
      </c>
      <c r="Q990" s="16" t="n">
        <f aca="false">IF(D990="","",IF(P990&gt;=0,K990,MAX(0,K990+P990)))</f>
        <v>1.119744</v>
      </c>
      <c r="R990" s="16" t="n">
        <f aca="false">IF(D990="","",Q990/$B$15)</f>
        <v>0.432</v>
      </c>
      <c r="S990" s="16" t="n">
        <f aca="false">IF(D990="","",MAX(0,J990-R990))</f>
        <v>0</v>
      </c>
      <c r="T990" s="16" t="n">
        <f aca="false">IF(D990="","",MAX(0,Z990-$B$8))</f>
        <v>2.70062390096618</v>
      </c>
      <c r="U990" s="16" t="n">
        <f aca="false">IF(D990="","",MAX(0,MIN($B$8,Z990)))</f>
        <v>162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100</v>
      </c>
      <c r="Z990" s="18" t="n">
        <f aca="false">IF(D990="","",MAX(0,IF(P990&gt;=0,P990,IF(K990+P990&gt;=0,0,P990+K990))))</f>
        <v>164.700623900966</v>
      </c>
      <c r="AA990" s="18" t="n">
        <f aca="false">IF(D990="","",IF(H990&lt;=$B$16,1,IF(H990&gt;=$B$17,$B$21,MATCH(H990,Aux_CAV!$A$2:$A$121,1))))</f>
        <v>23</v>
      </c>
      <c r="AB990" s="18" t="n">
        <f aca="false">IF(D990="","",IF(L990&lt;=$B$16,1,IF(L990&gt;=$B$17,$B$21,MATCH(L990,Aux_CAV!$A$2:$A$121,1))))</f>
        <v>23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0.670869382367514</v>
      </c>
      <c r="E991" s="16" t="n">
        <f aca="false">IF(D991="","",D991*$B$15)</f>
        <v>1.7388934390966</v>
      </c>
      <c r="F991" s="16" t="n">
        <f aca="false" t="array" ref="F991:F991">IF(D991="","",IFERROR(INDEX(Dados_Evap!$C$2:$N$15,MATCH($B$9,Dados_Evap!$A$2:$A$15,0),C991),0))</f>
        <v>206.8</v>
      </c>
      <c r="G991" s="16" t="n">
        <f aca="false">IF(F991="","",F991/1000)</f>
        <v>0.2068</v>
      </c>
      <c r="H991" s="16" t="n">
        <f aca="false">IF(D991="","",MAX(0,MIN($B$8,IFERROR(LOOKUP(2,1/($U$24:U990&lt;&gt;""),$U$24:U990),$B$11))))</f>
        <v>162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15.783</v>
      </c>
      <c r="J991" s="16" t="n">
        <f aca="false">IF(D991="","",$B$12)</f>
        <v>0.432</v>
      </c>
      <c r="K991" s="16" t="n">
        <f aca="false">IF(J991="","",J991*$B$15)</f>
        <v>1.119744</v>
      </c>
      <c r="L991" s="16" t="n">
        <f aca="false">IF(D991="","",H991+E991-K991-G991*I991)</f>
        <v>159.355225039097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15.5904424897511</v>
      </c>
      <c r="N991" s="16" t="n">
        <f aca="false">IF(D991="","",(I991+M991)/2)</f>
        <v>15.6867212448755</v>
      </c>
      <c r="O991" s="16" t="n">
        <f aca="false">IF(D991="","",G991*N991)</f>
        <v>3.24401395344026</v>
      </c>
      <c r="P991" s="16" t="n">
        <f aca="false">IF(D991="","",H991+E991-K991-O991)</f>
        <v>159.375135485656</v>
      </c>
      <c r="Q991" s="16" t="n">
        <f aca="false">IF(D991="","",IF(P991&gt;=0,K991,MAX(0,K991+P991)))</f>
        <v>1.119744</v>
      </c>
      <c r="R991" s="16" t="n">
        <f aca="false">IF(D991="","",Q991/$B$15)</f>
        <v>0.432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159.375135485656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98.3797132627508</v>
      </c>
      <c r="Z991" s="18" t="n">
        <f aca="false">IF(D991="","",MAX(0,IF(P991&gt;=0,P991,IF(K991+P991&gt;=0,0,P991+K991))))</f>
        <v>159.375135485656</v>
      </c>
      <c r="AA991" s="18" t="n">
        <f aca="false">IF(D991="","",IF(H991&lt;=$B$16,1,IF(H991&gt;=$B$17,$B$21,MATCH(H991,Aux_CAV!$A$2:$A$121,1))))</f>
        <v>23</v>
      </c>
      <c r="AB991" s="18" t="n">
        <f aca="false">IF(D991="","",IF(L991&lt;=$B$16,1,IF(L991&gt;=$B$17,$B$21,MATCH(L991,Aux_CAV!$A$2:$A$121,1))))</f>
        <v>22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0.687958408366633</v>
      </c>
      <c r="E992" s="16" t="n">
        <f aca="false">IF(D992="","",D992*$B$15)</f>
        <v>1.78318819448631</v>
      </c>
      <c r="F992" s="16" t="n">
        <f aca="false" t="array" ref="F992:F992">IF(D992="","",IFERROR(INDEX(Dados_Evap!$C$2:$N$15,MATCH($B$9,Dados_Evap!$A$2:$A$15,0),C992),0))</f>
        <v>245.9</v>
      </c>
      <c r="G992" s="16" t="n">
        <f aca="false">IF(F992="","",F992/1000)</f>
        <v>0.2459</v>
      </c>
      <c r="H992" s="16" t="n">
        <f aca="false">IF(D992="","",MAX(0,MIN($B$8,IFERROR(LOOKUP(2,1/($U$24:U991&lt;&gt;""),$U$24:U991),$B$11))))</f>
        <v>159.375135485656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15.5918921049638</v>
      </c>
      <c r="J992" s="16" t="n">
        <f aca="false">IF(D992="","",$B$12)</f>
        <v>0.432</v>
      </c>
      <c r="K992" s="16" t="n">
        <f aca="false">IF(J992="","",J992*$B$15)</f>
        <v>1.119744</v>
      </c>
      <c r="L992" s="16" t="n">
        <f aca="false">IF(D992="","",H992+E992-K992-G992*I992)</f>
        <v>156.204533411532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15.3610508234149</v>
      </c>
      <c r="N992" s="16" t="n">
        <f aca="false">IF(D992="","",(I992+M992)/2)</f>
        <v>15.4764714641893</v>
      </c>
      <c r="O992" s="16" t="n">
        <f aca="false">IF(D992="","",G992*N992)</f>
        <v>3.80566433304415</v>
      </c>
      <c r="P992" s="16" t="n">
        <f aca="false">IF(D992="","",H992+E992-K992-O992)</f>
        <v>156.232915347099</v>
      </c>
      <c r="Q992" s="16" t="n">
        <f aca="false">IF(D992="","",IF(P992&gt;=0,K992,MAX(0,K992+P992)))</f>
        <v>1.119744</v>
      </c>
      <c r="R992" s="16" t="n">
        <f aca="false">IF(D992="","",Q992/$B$15)</f>
        <v>0.432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156.232915347099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96.4400712019127</v>
      </c>
      <c r="Z992" s="18" t="n">
        <f aca="false">IF(D992="","",MAX(0,IF(P992&gt;=0,P992,IF(K992+P992&gt;=0,0,P992+K992))))</f>
        <v>156.232915347099</v>
      </c>
      <c r="AA992" s="18" t="n">
        <f aca="false">IF(D992="","",IF(H992&lt;=$B$16,1,IF(H992&gt;=$B$17,$B$21,MATCH(H992,Aux_CAV!$A$2:$A$121,1))))</f>
        <v>22</v>
      </c>
      <c r="AB992" s="18" t="n">
        <f aca="false">IF(D992="","",IF(L992&lt;=$B$16,1,IF(L992&gt;=$B$17,$B$21,MATCH(L992,Aux_CAV!$A$2:$A$121,1))))</f>
        <v>22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0.409556598015179</v>
      </c>
      <c r="E993" s="16" t="n">
        <f aca="false">IF(D993="","",D993*$B$15)</f>
        <v>1.06157070205534</v>
      </c>
      <c r="F993" s="16" t="n">
        <f aca="false" t="array" ref="F993:F993">IF(D993="","",IFERROR(INDEX(Dados_Evap!$C$2:$N$15,MATCH($B$9,Dados_Evap!$A$2:$A$15,0),C993),0))</f>
        <v>282.3</v>
      </c>
      <c r="G993" s="16" t="n">
        <f aca="false">IF(F993="","",F993/1000)</f>
        <v>0.2823</v>
      </c>
      <c r="H993" s="16" t="n">
        <f aca="false">IF(D993="","",MAX(0,MIN($B$8,IFERROR(LOOKUP(2,1/($U$24:U992&lt;&gt;""),$U$24:U992),$B$11))))</f>
        <v>156.232915347099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15.3631172203407</v>
      </c>
      <c r="J993" s="16" t="n">
        <f aca="false">IF(D993="","",$B$12)</f>
        <v>0.432</v>
      </c>
      <c r="K993" s="16" t="n">
        <f aca="false">IF(J993="","",J993*$B$15)</f>
        <v>1.119744</v>
      </c>
      <c r="L993" s="16" t="n">
        <f aca="false">IF(D993="","",H993+E993-K993-G993*I993)</f>
        <v>151.837734057852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15.0431182871003</v>
      </c>
      <c r="N993" s="16" t="n">
        <f aca="false">IF(D993="","",(I993+M993)/2)</f>
        <v>15.2031177537205</v>
      </c>
      <c r="O993" s="16" t="n">
        <f aca="false">IF(D993="","",G993*N993)</f>
        <v>4.2918401418753</v>
      </c>
      <c r="P993" s="16" t="n">
        <f aca="false">IF(D993="","",H993+E993-K993-O993)</f>
        <v>151.882901907279</v>
      </c>
      <c r="Q993" s="16" t="n">
        <f aca="false">IF(D993="","",IF(P993&gt;=0,K993,MAX(0,K993+P993)))</f>
        <v>1.119744</v>
      </c>
      <c r="R993" s="16" t="n">
        <f aca="false">IF(D993="","",Q993/$B$15)</f>
        <v>0.432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151.882901907279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93.7548777205423</v>
      </c>
      <c r="Z993" s="18" t="n">
        <f aca="false">IF(D993="","",MAX(0,IF(P993&gt;=0,P993,IF(K993+P993&gt;=0,0,P993+K993))))</f>
        <v>151.882901907279</v>
      </c>
      <c r="AA993" s="18" t="n">
        <f aca="false">IF(D993="","",IF(H993&lt;=$B$16,1,IF(H993&gt;=$B$17,$B$21,MATCH(H993,Aux_CAV!$A$2:$A$121,1))))</f>
        <v>22</v>
      </c>
      <c r="AB993" s="18" t="n">
        <f aca="false">IF(D993="","",IF(L993&lt;=$B$16,1,IF(L993&gt;=$B$17,$B$21,MATCH(L993,Aux_CAV!$A$2:$A$121,1))))</f>
        <v>22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0.355913934322811</v>
      </c>
      <c r="E994" s="16" t="n">
        <f aca="false">IF(D994="","",D994*$B$15)</f>
        <v>0.922528917764726</v>
      </c>
      <c r="F994" s="16" t="n">
        <f aca="false" t="array" ref="F994:F994">IF(D994="","",IFERROR(INDEX(Dados_Evap!$C$2:$N$15,MATCH($B$9,Dados_Evap!$A$2:$A$15,0),C994),0))</f>
        <v>241.3</v>
      </c>
      <c r="G994" s="16" t="n">
        <f aca="false">IF(F994="","",F994/1000)</f>
        <v>0.2413</v>
      </c>
      <c r="H994" s="16" t="n">
        <f aca="false">IF(D994="","",MAX(0,MIN($B$8,IFERROR(LOOKUP(2,1/($U$24:U993&lt;&gt;""),$U$24:U993),$B$11))))</f>
        <v>151.882901907279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15.0464068121194</v>
      </c>
      <c r="J994" s="16" t="n">
        <f aca="false">IF(D994="","",$B$12)</f>
        <v>0.432</v>
      </c>
      <c r="K994" s="16" t="n">
        <f aca="false">IF(J994="","",J994*$B$15)</f>
        <v>1.119744</v>
      </c>
      <c r="L994" s="16" t="n">
        <f aca="false">IF(D994="","",H994+E994-K994-G994*I994)</f>
        <v>148.054988861279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14.7677088448129</v>
      </c>
      <c r="N994" s="16" t="n">
        <f aca="false">IF(D994="","",(I994+M994)/2)</f>
        <v>14.9070578284662</v>
      </c>
      <c r="O994" s="16" t="n">
        <f aca="false">IF(D994="","",G994*N994)</f>
        <v>3.59707305400889</v>
      </c>
      <c r="P994" s="16" t="n">
        <f aca="false">IF(D994="","",H994+E994-K994-O994)</f>
        <v>148.088613771034</v>
      </c>
      <c r="Q994" s="16" t="n">
        <f aca="false">IF(D994="","",IF(P994&gt;=0,K994,MAX(0,K994+P994)))</f>
        <v>1.119744</v>
      </c>
      <c r="R994" s="16" t="n">
        <f aca="false">IF(D994="","",Q994/$B$15)</f>
        <v>0.432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148.088613771034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91.4127245500212</v>
      </c>
      <c r="Z994" s="18" t="n">
        <f aca="false">IF(D994="","",MAX(0,IF(P994&gt;=0,P994,IF(K994+P994&gt;=0,0,P994+K994))))</f>
        <v>148.088613771034</v>
      </c>
      <c r="AA994" s="18" t="n">
        <f aca="false">IF(D994="","",IF(H994&lt;=$B$16,1,IF(H994&gt;=$B$17,$B$21,MATCH(H994,Aux_CAV!$A$2:$A$121,1))))</f>
        <v>22</v>
      </c>
      <c r="AB994" s="18" t="n">
        <f aca="false">IF(D994="","",IF(L994&lt;=$B$16,1,IF(L994&gt;=$B$17,$B$21,MATCH(L994,Aux_CAV!$A$2:$A$121,1))))</f>
        <v>22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0.308307320695983</v>
      </c>
      <c r="E995" s="16" t="n">
        <f aca="false">IF(D995="","",D995*$B$15)</f>
        <v>0.799132575243988</v>
      </c>
      <c r="F995" s="16" t="n">
        <f aca="false" t="array" ref="F995:F995">IF(D995="","",IFERROR(INDEX(Dados_Evap!$C$2:$N$15,MATCH($B$9,Dados_Evap!$A$2:$A$15,0),C995),0))</f>
        <v>241.8</v>
      </c>
      <c r="G995" s="16" t="n">
        <f aca="false">IF(F995="","",F995/1000)</f>
        <v>0.2418</v>
      </c>
      <c r="H995" s="16" t="n">
        <f aca="false">IF(D995="","",MAX(0,MIN($B$8,IFERROR(LOOKUP(2,1/($U$24:U994&lt;&gt;""),$U$24:U994),$B$11))))</f>
        <v>148.088613771034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14.7701569657308</v>
      </c>
      <c r="J995" s="16" t="n">
        <f aca="false">IF(D995="","",$B$12)</f>
        <v>0.432</v>
      </c>
      <c r="K995" s="16" t="n">
        <f aca="false">IF(J995="","",J995*$B$15)</f>
        <v>1.119744</v>
      </c>
      <c r="L995" s="16" t="n">
        <f aca="false">IF(D995="","",H995+E995-K995-G995*I995)</f>
        <v>144.196578391965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14.4867904587602</v>
      </c>
      <c r="N995" s="16" t="n">
        <f aca="false">IF(D995="","",(I995+M995)/2)</f>
        <v>14.6284737122455</v>
      </c>
      <c r="O995" s="16" t="n">
        <f aca="false">IF(D995="","",G995*N995)</f>
        <v>3.53716494362096</v>
      </c>
      <c r="P995" s="16" t="n">
        <f aca="false">IF(D995="","",H995+E995-K995-O995)</f>
        <v>144.230837402657</v>
      </c>
      <c r="Q995" s="16" t="n">
        <f aca="false">IF(D995="","",IF(P995&gt;=0,K995,MAX(0,K995+P995)))</f>
        <v>1.119744</v>
      </c>
      <c r="R995" s="16" t="n">
        <f aca="false">IF(D995="","",Q995/$B$15)</f>
        <v>0.432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144.230837402657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89.0313811127515</v>
      </c>
      <c r="Z995" s="18" t="n">
        <f aca="false">IF(D995="","",MAX(0,IF(P995&gt;=0,P995,IF(K995+P995&gt;=0,0,P995+K995))))</f>
        <v>144.230837402657</v>
      </c>
      <c r="AA995" s="18" t="n">
        <f aca="false">IF(D995="","",IF(H995&lt;=$B$16,1,IF(H995&gt;=$B$17,$B$21,MATCH(H995,Aux_CAV!$A$2:$A$121,1))))</f>
        <v>22</v>
      </c>
      <c r="AB995" s="18" t="n">
        <f aca="false">IF(D995="","",IF(L995&lt;=$B$16,1,IF(L995&gt;=$B$17,$B$21,MATCH(L995,Aux_CAV!$A$2:$A$121,1))))</f>
        <v>22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0.457139803002203</v>
      </c>
      <c r="E996" s="16" t="n">
        <f aca="false">IF(D996="","",D996*$B$15)</f>
        <v>1.18490636938171</v>
      </c>
      <c r="F996" s="16" t="n">
        <f aca="false" t="array" ref="F996:F996">IF(D996="","",IFERROR(INDEX(Dados_Evap!$C$2:$N$15,MATCH($B$9,Dados_Evap!$A$2:$A$15,0),C996),0))</f>
        <v>189</v>
      </c>
      <c r="G996" s="16" t="n">
        <f aca="false">IF(F996="","",F996/1000)</f>
        <v>0.189</v>
      </c>
      <c r="H996" s="16" t="n">
        <f aca="false">IF(D996="","",MAX(0,MIN($B$8,IFERROR(LOOKUP(2,1/($U$24:U995&lt;&gt;""),$U$24:U995),$B$11))))</f>
        <v>144.230837402657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14.4892847465163</v>
      </c>
      <c r="J996" s="16" t="n">
        <f aca="false">IF(D996="","",$B$12)</f>
        <v>0.432</v>
      </c>
      <c r="K996" s="16" t="n">
        <f aca="false">IF(J996="","",J996*$B$15)</f>
        <v>1.119744</v>
      </c>
      <c r="L996" s="16" t="n">
        <f aca="false">IF(D996="","",H996+E996-K996-G996*I996)</f>
        <v>141.557524954948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14.2946495141589</v>
      </c>
      <c r="N996" s="16" t="n">
        <f aca="false">IF(D996="","",(I996+M996)/2)</f>
        <v>14.3919671303376</v>
      </c>
      <c r="O996" s="16" t="n">
        <f aca="false">IF(D996="","",G996*N996)</f>
        <v>2.72008178763381</v>
      </c>
      <c r="P996" s="16" t="n">
        <f aca="false">IF(D996="","",H996+E996-K996-O996)</f>
        <v>141.575917984405</v>
      </c>
      <c r="Q996" s="16" t="n">
        <f aca="false">IF(D996="","",IF(P996&gt;=0,K996,MAX(0,K996+P996)))</f>
        <v>1.119744</v>
      </c>
      <c r="R996" s="16" t="n">
        <f aca="false">IF(D996="","",Q996/$B$15)</f>
        <v>0.432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141.575917984405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87.3925419656823</v>
      </c>
      <c r="Z996" s="18" t="n">
        <f aca="false">IF(D996="","",MAX(0,IF(P996&gt;=0,P996,IF(K996+P996&gt;=0,0,P996+K996))))</f>
        <v>141.575917984405</v>
      </c>
      <c r="AA996" s="18" t="n">
        <f aca="false">IF(D996="","",IF(H996&lt;=$B$16,1,IF(H996&gt;=$B$17,$B$21,MATCH(H996,Aux_CAV!$A$2:$A$121,1))))</f>
        <v>22</v>
      </c>
      <c r="AB996" s="18" t="n">
        <f aca="false">IF(D996="","",IF(L996&lt;=$B$16,1,IF(L996&gt;=$B$17,$B$21,MATCH(L996,Aux_CAV!$A$2:$A$121,1))))</f>
        <v>22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0.686354361481106</v>
      </c>
      <c r="E997" s="16" t="n">
        <f aca="false">IF(D997="","",D997*$B$15)</f>
        <v>1.77903050495903</v>
      </c>
      <c r="F997" s="16" t="n">
        <f aca="false" t="array" ref="F997:F997">IF(D997="","",IFERROR(INDEX(Dados_Evap!$C$2:$N$15,MATCH($B$9,Dados_Evap!$A$2:$A$15,0),C997),0))</f>
        <v>136.9</v>
      </c>
      <c r="G997" s="16" t="n">
        <f aca="false">IF(F997="","",F997/1000)</f>
        <v>0.1369</v>
      </c>
      <c r="H997" s="16" t="n">
        <f aca="false">IF(D997="","",MAX(0,MIN($B$8,IFERROR(LOOKUP(2,1/($U$24:U996&lt;&gt;""),$U$24:U996),$B$11))))</f>
        <v>141.575917984405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14.2959886511406</v>
      </c>
      <c r="J997" s="16" t="n">
        <f aca="false">IF(D997="","",$B$12)</f>
        <v>0.432</v>
      </c>
      <c r="K997" s="16" t="n">
        <f aca="false">IF(J997="","",J997*$B$15)</f>
        <v>1.119744</v>
      </c>
      <c r="L997" s="16" t="n">
        <f aca="false">IF(D997="","",H997+E997-K997-G997*I997)</f>
        <v>140.278083643023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14.2014975306534</v>
      </c>
      <c r="N997" s="16" t="n">
        <f aca="false">IF(D997="","",(I997+M997)/2)</f>
        <v>14.248743090897</v>
      </c>
      <c r="O997" s="16" t="n">
        <f aca="false">IF(D997="","",G997*N997)</f>
        <v>1.9506529291438</v>
      </c>
      <c r="P997" s="16" t="n">
        <f aca="false">IF(D997="","",H997+E997-K997-O997)</f>
        <v>140.284551560221</v>
      </c>
      <c r="Q997" s="16" t="n">
        <f aca="false">IF(D997="","",IF(P997&gt;=0,K997,MAX(0,K997+P997)))</f>
        <v>1.119744</v>
      </c>
      <c r="R997" s="16" t="n">
        <f aca="false">IF(D997="","",Q997/$B$15)</f>
        <v>0.432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140.284551560221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86.595402197667</v>
      </c>
      <c r="Z997" s="18" t="n">
        <f aca="false">IF(D997="","",MAX(0,IF(P997&gt;=0,P997,IF(K997+P997&gt;=0,0,P997+K997))))</f>
        <v>140.284551560221</v>
      </c>
      <c r="AA997" s="18" t="n">
        <f aca="false">IF(D997="","",IF(H997&lt;=$B$16,1,IF(H997&gt;=$B$17,$B$21,MATCH(H997,Aux_CAV!$A$2:$A$121,1))))</f>
        <v>22</v>
      </c>
      <c r="AB997" s="18" t="n">
        <f aca="false">IF(D997="","",IF(L997&lt;=$B$16,1,IF(L997&gt;=$B$17,$B$21,MATCH(L997,Aux_CAV!$A$2:$A$121,1))))</f>
        <v>22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2.8825117043501</v>
      </c>
      <c r="E998" s="16" t="n">
        <f aca="false">IF(D998="","",D998*$B$15)</f>
        <v>7.47147033767546</v>
      </c>
      <c r="F998" s="16" t="n">
        <f aca="false" t="array" ref="F998:F998">IF(D998="","",IFERROR(INDEX(Dados_Evap!$C$2:$N$15,MATCH($B$9,Dados_Evap!$A$2:$A$15,0),C998),0))</f>
        <v>102.9</v>
      </c>
      <c r="G998" s="16" t="n">
        <f aca="false">IF(F998="","",F998/1000)</f>
        <v>0.1029</v>
      </c>
      <c r="H998" s="16" t="n">
        <f aca="false">IF(D998="","",MAX(0,MIN($B$8,IFERROR(LOOKUP(2,1/($U$24:U997&lt;&gt;""),$U$24:U997),$B$11))))</f>
        <v>140.284551560221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14.2019684387838</v>
      </c>
      <c r="J998" s="16" t="n">
        <f aca="false">IF(D998="","",$B$12)</f>
        <v>0.432</v>
      </c>
      <c r="K998" s="16" t="n">
        <f aca="false">IF(J998="","",J998*$B$15)</f>
        <v>1.119744</v>
      </c>
      <c r="L998" s="16" t="n">
        <f aca="false">IF(D998="","",H998+E998-K998-G998*I998)</f>
        <v>145.174895345545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14.5580185517362</v>
      </c>
      <c r="N998" s="16" t="n">
        <f aca="false">IF(D998="","",(I998+M998)/2)</f>
        <v>14.37999349526</v>
      </c>
      <c r="O998" s="16" t="n">
        <f aca="false">IF(D998="","",G998*N998)</f>
        <v>1.47970133066225</v>
      </c>
      <c r="P998" s="16" t="n">
        <f aca="false">IF(D998="","",H998+E998-K998-O998)</f>
        <v>145.156576567234</v>
      </c>
      <c r="Q998" s="16" t="n">
        <f aca="false">IF(D998="","",IF(P998&gt;=0,K998,MAX(0,K998+P998)))</f>
        <v>1.119744</v>
      </c>
      <c r="R998" s="16" t="n">
        <f aca="false">IF(D998="","",Q998/$B$15)</f>
        <v>0.432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145.156576567234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89.6028250415023</v>
      </c>
      <c r="Z998" s="18" t="n">
        <f aca="false">IF(D998="","",MAX(0,IF(P998&gt;=0,P998,IF(K998+P998&gt;=0,0,P998+K998))))</f>
        <v>145.156576567234</v>
      </c>
      <c r="AA998" s="18" t="n">
        <f aca="false">IF(D998="","",IF(H998&lt;=$B$16,1,IF(H998&gt;=$B$17,$B$21,MATCH(H998,Aux_CAV!$A$2:$A$121,1))))</f>
        <v>22</v>
      </c>
      <c r="AB998" s="18" t="n">
        <f aca="false">IF(D998="","",IF(L998&lt;=$B$16,1,IF(L998&gt;=$B$17,$B$21,MATCH(L998,Aux_CAV!$A$2:$A$121,1))))</f>
        <v>22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3.73251558592418</v>
      </c>
      <c r="E999" s="16" t="n">
        <f aca="false">IF(D999="","",D999*$B$15)</f>
        <v>9.67468039871548</v>
      </c>
      <c r="F999" s="16" t="n">
        <f aca="false" t="array" ref="F999:F999">IF(D999="","",IFERROR(INDEX(Dados_Evap!$C$2:$N$15,MATCH($B$9,Dados_Evap!$A$2:$A$15,0),C999),0))</f>
        <v>81.8</v>
      </c>
      <c r="G999" s="16" t="n">
        <f aca="false">IF(F999="","",F999/1000)</f>
        <v>0.0818</v>
      </c>
      <c r="H999" s="16" t="n">
        <f aca="false">IF(D999="","",MAX(0,MIN($B$8,IFERROR(LOOKUP(2,1/($U$24:U998&lt;&gt;""),$U$24:U998),$B$11))))</f>
        <v>145.156576567234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14.5566848207403</v>
      </c>
      <c r="J999" s="16" t="n">
        <f aca="false">IF(D999="","",$B$12)</f>
        <v>0.432</v>
      </c>
      <c r="K999" s="16" t="n">
        <f aca="false">IF(J999="","",J999*$B$15)</f>
        <v>1.119744</v>
      </c>
      <c r="L999" s="16" t="n">
        <f aca="false">IF(D999="","",H999+E999-K999-G999*I999)</f>
        <v>152.520776147613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15.0928483723226</v>
      </c>
      <c r="N999" s="16" t="n">
        <f aca="false">IF(D999="","",(I999+M999)/2)</f>
        <v>14.8247665965315</v>
      </c>
      <c r="O999" s="16" t="n">
        <f aca="false">IF(D999="","",G999*N999)</f>
        <v>1.21266590759627</v>
      </c>
      <c r="P999" s="16" t="n">
        <f aca="false">IF(D999="","",H999+E999-K999-O999)</f>
        <v>152.498847058353</v>
      </c>
      <c r="Q999" s="16" t="n">
        <f aca="false">IF(D999="","",IF(P999&gt;=0,K999,MAX(0,K999+P999)))</f>
        <v>1.119744</v>
      </c>
      <c r="R999" s="16" t="n">
        <f aca="false">IF(D999="","",Q999/$B$15)</f>
        <v>0.432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152.498847058353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94.1350907767611</v>
      </c>
      <c r="Z999" s="18" t="n">
        <f aca="false">IF(D999="","",MAX(0,IF(P999&gt;=0,P999,IF(K999+P999&gt;=0,0,P999+K999))))</f>
        <v>152.498847058353</v>
      </c>
      <c r="AA999" s="18" t="n">
        <f aca="false">IF(D999="","",IF(H999&lt;=$B$16,1,IF(H999&gt;=$B$17,$B$21,MATCH(H999,Aux_CAV!$A$2:$A$121,1))))</f>
        <v>22</v>
      </c>
      <c r="AB999" s="18" t="n">
        <f aca="false">IF(D999="","",IF(L999&lt;=$B$16,1,IF(L999&gt;=$B$17,$B$21,MATCH(L999,Aux_CAV!$A$2:$A$121,1))))</f>
        <v>22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6.21409197503975</v>
      </c>
      <c r="E1000" s="16" t="n">
        <f aca="false">IF(D1000="","",D1000*$B$15)</f>
        <v>16.106926399303</v>
      </c>
      <c r="F1000" s="16" t="n">
        <f aca="false" t="array" ref="F1000:F1000">IF(D1000="","",IFERROR(INDEX(Dados_Evap!$C$2:$N$15,MATCH($B$9,Dados_Evap!$A$2:$A$15,0),C1000),0))</f>
        <v>83.6</v>
      </c>
      <c r="G1000" s="16" t="n">
        <f aca="false">IF(F1000="","",F1000/1000)</f>
        <v>0.0836</v>
      </c>
      <c r="H1000" s="16" t="n">
        <f aca="false">IF(D1000="","",MAX(0,MIN($B$8,IFERROR(LOOKUP(2,1/($U$24:U999&lt;&gt;""),$U$24:U999),$B$11))))</f>
        <v>152.498847058353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15.0912517862643</v>
      </c>
      <c r="J1000" s="16" t="n">
        <f aca="false">IF(D1000="","",$B$12)</f>
        <v>0.432</v>
      </c>
      <c r="K1000" s="16" t="n">
        <f aca="false">IF(J1000="","",J1000*$B$15)</f>
        <v>1.119744</v>
      </c>
      <c r="L1000" s="16" t="n">
        <f aca="false">IF(D1000="","",H1000+E1000-K1000-G1000*I1000)</f>
        <v>166.224400808324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16.0356594007264</v>
      </c>
      <c r="N1000" s="16" t="n">
        <f aca="false">IF(D1000="","",(I1000+M1000)/2)</f>
        <v>15.5634555934954</v>
      </c>
      <c r="O1000" s="16" t="n">
        <f aca="false">IF(D1000="","",G1000*N1000)</f>
        <v>1.30110488761621</v>
      </c>
      <c r="P1000" s="16" t="n">
        <f aca="false">IF(D1000="","",H1000+E1000-K1000-O1000)</f>
        <v>166.18492457004</v>
      </c>
      <c r="Q1000" s="16" t="n">
        <f aca="false">IF(D1000="","",IF(P1000&gt;=0,K1000,MAX(0,K1000+P1000)))</f>
        <v>1.119744</v>
      </c>
      <c r="R1000" s="16" t="n">
        <f aca="false">IF(D1000="","",Q1000/$B$15)</f>
        <v>0.432</v>
      </c>
      <c r="S1000" s="16" t="n">
        <f aca="false">IF(D1000="","",MAX(0,J1000-R1000))</f>
        <v>0</v>
      </c>
      <c r="T1000" s="16" t="n">
        <f aca="false">IF(D1000="","",MAX(0,Z1000-$B$8))</f>
        <v>4.18492457003981</v>
      </c>
      <c r="U1000" s="16" t="n">
        <f aca="false">IF(D1000="","",MAX(0,MIN($B$8,Z1000)))</f>
        <v>162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100</v>
      </c>
      <c r="Z1000" s="18" t="n">
        <f aca="false">IF(D1000="","",MAX(0,IF(P1000&gt;=0,P1000,IF(K1000+P1000&gt;=0,0,P1000+K1000))))</f>
        <v>166.18492457004</v>
      </c>
      <c r="AA1000" s="18" t="n">
        <f aca="false">IF(D1000="","",IF(H1000&lt;=$B$16,1,IF(H1000&gt;=$B$17,$B$21,MATCH(H1000,Aux_CAV!$A$2:$A$121,1))))</f>
        <v>22</v>
      </c>
      <c r="AB1000" s="18" t="n">
        <f aca="false">IF(D1000="","",IF(L1000&lt;=$B$16,1,IF(L1000&gt;=$B$17,$B$21,MATCH(L1000,Aux_CAV!$A$2:$A$121,1))))</f>
        <v>23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2.16498704433744</v>
      </c>
      <c r="E1001" s="16" t="n">
        <f aca="false">IF(D1001="","",D1001*$B$15)</f>
        <v>5.61164641892264</v>
      </c>
      <c r="F1001" s="16" t="n">
        <f aca="false" t="array" ref="F1001:F1001">IF(D1001="","",IFERROR(INDEX(Dados_Evap!$C$2:$N$15,MATCH($B$9,Dados_Evap!$A$2:$A$15,0),C1001),0))</f>
        <v>108.2</v>
      </c>
      <c r="G1001" s="16" t="n">
        <f aca="false">IF(F1001="","",F1001/1000)</f>
        <v>0.1082</v>
      </c>
      <c r="H1001" s="16" t="n">
        <f aca="false">IF(D1001="","",MAX(0,MIN($B$8,IFERROR(LOOKUP(2,1/($U$24:U1000&lt;&gt;""),$U$24:U1000),$B$11))))</f>
        <v>162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15.783</v>
      </c>
      <c r="J1001" s="16" t="n">
        <f aca="false">IF(D1001="","",$B$12)</f>
        <v>0.432</v>
      </c>
      <c r="K1001" s="16" t="n">
        <f aca="false">IF(J1001="","",J1001*$B$15)</f>
        <v>1.119744</v>
      </c>
      <c r="L1001" s="16" t="n">
        <f aca="false">IF(D1001="","",H1001+E1001-K1001-G1001*I1001)</f>
        <v>164.784181818923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15.9495205887889</v>
      </c>
      <c r="N1001" s="16" t="n">
        <f aca="false">IF(D1001="","",(I1001+M1001)/2)</f>
        <v>15.8662602943944</v>
      </c>
      <c r="O1001" s="16" t="n">
        <f aca="false">IF(D1001="","",G1001*N1001)</f>
        <v>1.71672936385348</v>
      </c>
      <c r="P1001" s="16" t="n">
        <f aca="false">IF(D1001="","",H1001+E1001-K1001-O1001)</f>
        <v>164.775173055069</v>
      </c>
      <c r="Q1001" s="16" t="n">
        <f aca="false">IF(D1001="","",IF(P1001&gt;=0,K1001,MAX(0,K1001+P1001)))</f>
        <v>1.119744</v>
      </c>
      <c r="R1001" s="16" t="n">
        <f aca="false">IF(D1001="","",Q1001/$B$15)</f>
        <v>0.432</v>
      </c>
      <c r="S1001" s="16" t="n">
        <f aca="false">IF(D1001="","",MAX(0,J1001-R1001))</f>
        <v>0</v>
      </c>
      <c r="T1001" s="16" t="n">
        <f aca="false">IF(D1001="","",MAX(0,Z1001-$B$8))</f>
        <v>2.77517305506916</v>
      </c>
      <c r="U1001" s="16" t="n">
        <f aca="false">IF(D1001="","",MAX(0,MIN($B$8,Z1001)))</f>
        <v>162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100</v>
      </c>
      <c r="Z1001" s="18" t="n">
        <f aca="false">IF(D1001="","",MAX(0,IF(P1001&gt;=0,P1001,IF(K1001+P1001&gt;=0,0,P1001+K1001))))</f>
        <v>164.775173055069</v>
      </c>
      <c r="AA1001" s="18" t="n">
        <f aca="false">IF(D1001="","",IF(H1001&lt;=$B$16,1,IF(H1001&gt;=$B$17,$B$21,MATCH(H1001,Aux_CAV!$A$2:$A$121,1))))</f>
        <v>23</v>
      </c>
      <c r="AB1001" s="18" t="n">
        <f aca="false">IF(D1001="","",IF(L1001&lt;=$B$16,1,IF(L1001&gt;=$B$17,$B$21,MATCH(L1001,Aux_CAV!$A$2:$A$121,1))))</f>
        <v>23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0.586275879185571</v>
      </c>
      <c r="E1002" s="16" t="n">
        <f aca="false">IF(D1002="","",D1002*$B$15)</f>
        <v>1.519627078849</v>
      </c>
      <c r="F1002" s="16" t="n">
        <f aca="false" t="array" ref="F1002:F1002">IF(D1002="","",IFERROR(INDEX(Dados_Evap!$C$2:$N$15,MATCH($B$9,Dados_Evap!$A$2:$A$15,0),C1002),0))</f>
        <v>149</v>
      </c>
      <c r="G1002" s="16" t="n">
        <f aca="false">IF(F1002="","",F1002/1000)</f>
        <v>0.149</v>
      </c>
      <c r="H1002" s="16" t="n">
        <f aca="false">IF(D1002="","",MAX(0,MIN($B$8,IFERROR(LOOKUP(2,1/($U$24:U1001&lt;&gt;""),$U$24:U1001),$B$11))))</f>
        <v>162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15.783</v>
      </c>
      <c r="J1002" s="16" t="n">
        <f aca="false">IF(D1002="","",$B$12)</f>
        <v>0.432</v>
      </c>
      <c r="K1002" s="16" t="n">
        <f aca="false">IF(J1002="","",J1002*$B$15)</f>
        <v>1.119744</v>
      </c>
      <c r="L1002" s="16" t="n">
        <f aca="false">IF(D1002="","",H1002+E1002-K1002-G1002*I1002)</f>
        <v>160.048216078849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15.6408969258419</v>
      </c>
      <c r="N1002" s="16" t="n">
        <f aca="false">IF(D1002="","",(I1002+M1002)/2)</f>
        <v>15.711948462921</v>
      </c>
      <c r="O1002" s="16" t="n">
        <f aca="false">IF(D1002="","",G1002*N1002)</f>
        <v>2.34108032097522</v>
      </c>
      <c r="P1002" s="16" t="n">
        <f aca="false">IF(D1002="","",H1002+E1002-K1002-O1002)</f>
        <v>160.058802757874</v>
      </c>
      <c r="Q1002" s="16" t="n">
        <f aca="false">IF(D1002="","",IF(P1002&gt;=0,K1002,MAX(0,K1002+P1002)))</f>
        <v>1.119744</v>
      </c>
      <c r="R1002" s="16" t="n">
        <f aca="false">IF(D1002="","",Q1002/$B$15)</f>
        <v>0.432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160.058802757874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98.801730097453</v>
      </c>
      <c r="Z1002" s="18" t="n">
        <f aca="false">IF(D1002="","",MAX(0,IF(P1002&gt;=0,P1002,IF(K1002+P1002&gt;=0,0,P1002+K1002))))</f>
        <v>160.058802757874</v>
      </c>
      <c r="AA1002" s="18" t="n">
        <f aca="false">IF(D1002="","",IF(H1002&lt;=$B$16,1,IF(H1002&gt;=$B$17,$B$21,MATCH(H1002,Aux_CAV!$A$2:$A$121,1))))</f>
        <v>23</v>
      </c>
      <c r="AB1002" s="18" t="n">
        <f aca="false">IF(D1002="","",IF(L1002&lt;=$B$16,1,IF(L1002&gt;=$B$17,$B$21,MATCH(L1002,Aux_CAV!$A$2:$A$121,1))))</f>
        <v>22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0.358949152459283</v>
      </c>
      <c r="E1003" s="16" t="n">
        <f aca="false">IF(D1003="","",D1003*$B$15)</f>
        <v>0.930396203174462</v>
      </c>
      <c r="F1003" s="16" t="n">
        <f aca="false" t="array" ref="F1003:F1003">IF(D1003="","",IFERROR(INDEX(Dados_Evap!$C$2:$N$15,MATCH($B$9,Dados_Evap!$A$2:$A$15,0),C1003),0))</f>
        <v>206.8</v>
      </c>
      <c r="G1003" s="16" t="n">
        <f aca="false">IF(F1003="","",F1003/1000)</f>
        <v>0.2068</v>
      </c>
      <c r="H1003" s="16" t="n">
        <f aca="false">IF(D1003="","",MAX(0,MIN($B$8,IFERROR(LOOKUP(2,1/($U$24:U1002&lt;&gt;""),$U$24:U1002),$B$11))))</f>
        <v>160.058802757874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15.6416677076986</v>
      </c>
      <c r="J1003" s="16" t="n">
        <f aca="false">IF(D1003="","",$B$12)</f>
        <v>0.432</v>
      </c>
      <c r="K1003" s="16" t="n">
        <f aca="false">IF(J1003="","",J1003*$B$15)</f>
        <v>1.119744</v>
      </c>
      <c r="L1003" s="16" t="n">
        <f aca="false">IF(D1003="","",H1003+E1003-K1003-G1003*I1003)</f>
        <v>156.634758079096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15.3923740898774</v>
      </c>
      <c r="N1003" s="16" t="n">
        <f aca="false">IF(D1003="","",(I1003+M1003)/2)</f>
        <v>15.517020898788</v>
      </c>
      <c r="O1003" s="16" t="n">
        <f aca="false">IF(D1003="","",G1003*N1003)</f>
        <v>3.20891992186936</v>
      </c>
      <c r="P1003" s="16" t="n">
        <f aca="false">IF(D1003="","",H1003+E1003-K1003-O1003)</f>
        <v>156.660535039179</v>
      </c>
      <c r="Q1003" s="16" t="n">
        <f aca="false">IF(D1003="","",IF(P1003&gt;=0,K1003,MAX(0,K1003+P1003)))</f>
        <v>1.119744</v>
      </c>
      <c r="R1003" s="16" t="n">
        <f aca="false">IF(D1003="","",Q1003/$B$15)</f>
        <v>0.432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156.660535039179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96.7040339748018</v>
      </c>
      <c r="Z1003" s="18" t="n">
        <f aca="false">IF(D1003="","",MAX(0,IF(P1003&gt;=0,P1003,IF(K1003+P1003&gt;=0,0,P1003+K1003))))</f>
        <v>156.660535039179</v>
      </c>
      <c r="AA1003" s="18" t="n">
        <f aca="false">IF(D1003="","",IF(H1003&lt;=$B$16,1,IF(H1003&gt;=$B$17,$B$21,MATCH(H1003,Aux_CAV!$A$2:$A$121,1))))</f>
        <v>22</v>
      </c>
      <c r="AB1003" s="18" t="n">
        <f aca="false">IF(D1003="","",IF(L1003&lt;=$B$16,1,IF(L1003&gt;=$B$17,$B$21,MATCH(L1003,Aux_CAV!$A$2:$A$121,1))))</f>
        <v>22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0.299321215095415</v>
      </c>
      <c r="E1004" s="16" t="n">
        <f aca="false">IF(D1004="","",D1004*$B$15)</f>
        <v>0.775840589527316</v>
      </c>
      <c r="F1004" s="16" t="n">
        <f aca="false" t="array" ref="F1004:F1004">IF(D1004="","",IFERROR(INDEX(Dados_Evap!$C$2:$N$15,MATCH($B$9,Dados_Evap!$A$2:$A$15,0),C1004),0))</f>
        <v>245.9</v>
      </c>
      <c r="G1004" s="16" t="n">
        <f aca="false">IF(F1004="","",F1004/1000)</f>
        <v>0.2459</v>
      </c>
      <c r="H1004" s="16" t="n">
        <f aca="false">IF(D1004="","",MAX(0,MIN($B$8,IFERROR(LOOKUP(2,1/($U$24:U1003&lt;&gt;""),$U$24:U1003),$B$11))))</f>
        <v>156.660535039179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15.3942508269642</v>
      </c>
      <c r="J1004" s="16" t="n">
        <f aca="false">IF(D1004="","",$B$12)</f>
        <v>0.432</v>
      </c>
      <c r="K1004" s="16" t="n">
        <f aca="false">IF(J1004="","",J1004*$B$15)</f>
        <v>1.119744</v>
      </c>
      <c r="L1004" s="16" t="n">
        <f aca="false">IF(D1004="","",H1004+E1004-K1004-G1004*I1004)</f>
        <v>152.531185350356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15.0936062327053</v>
      </c>
      <c r="N1004" s="16" t="n">
        <f aca="false">IF(D1004="","",(I1004+M1004)/2)</f>
        <v>15.2439285298347</v>
      </c>
      <c r="O1004" s="16" t="n">
        <f aca="false">IF(D1004="","",G1004*N1004)</f>
        <v>3.74848202548636</v>
      </c>
      <c r="P1004" s="16" t="n">
        <f aca="false">IF(D1004="","",H1004+E1004-K1004-O1004)</f>
        <v>152.56814960322</v>
      </c>
      <c r="Q1004" s="16" t="n">
        <f aca="false">IF(D1004="","",IF(P1004&gt;=0,K1004,MAX(0,K1004+P1004)))</f>
        <v>1.119744</v>
      </c>
      <c r="R1004" s="16" t="n">
        <f aca="false">IF(D1004="","",Q1004/$B$15)</f>
        <v>0.432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152.56814960322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94.1778701254444</v>
      </c>
      <c r="Z1004" s="18" t="n">
        <f aca="false">IF(D1004="","",MAX(0,IF(P1004&gt;=0,P1004,IF(K1004+P1004&gt;=0,0,P1004+K1004))))</f>
        <v>152.56814960322</v>
      </c>
      <c r="AA1004" s="18" t="n">
        <f aca="false">IF(D1004="","",IF(H1004&lt;=$B$16,1,IF(H1004&gt;=$B$17,$B$21,MATCH(H1004,Aux_CAV!$A$2:$A$121,1))))</f>
        <v>22</v>
      </c>
      <c r="AB1004" s="18" t="n">
        <f aca="false">IF(D1004="","",IF(L1004&lt;=$B$16,1,IF(L1004&gt;=$B$17,$B$21,MATCH(L1004,Aux_CAV!$A$2:$A$121,1))))</f>
        <v>22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0.354136908306099</v>
      </c>
      <c r="E1005" s="16" t="n">
        <f aca="false">IF(D1005="","",D1005*$B$15)</f>
        <v>0.917922866329409</v>
      </c>
      <c r="F1005" s="16" t="n">
        <f aca="false" t="array" ref="F1005:F1005">IF(D1005="","",IFERROR(INDEX(Dados_Evap!$C$2:$N$15,MATCH($B$9,Dados_Evap!$A$2:$A$15,0),C1005),0))</f>
        <v>282.3</v>
      </c>
      <c r="G1005" s="16" t="n">
        <f aca="false">IF(F1005="","",F1005/1000)</f>
        <v>0.2823</v>
      </c>
      <c r="H1005" s="16" t="n">
        <f aca="false">IF(D1005="","",MAX(0,MIN($B$8,IFERROR(LOOKUP(2,1/($U$24:U1004&lt;&gt;""),$U$24:U1004),$B$11))))</f>
        <v>152.56814960322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15.0962974803936</v>
      </c>
      <c r="J1005" s="16" t="n">
        <f aca="false">IF(D1005="","",$B$12)</f>
        <v>0.432</v>
      </c>
      <c r="K1005" s="16" t="n">
        <f aca="false">IF(J1005="","",J1005*$B$15)</f>
        <v>1.119744</v>
      </c>
      <c r="L1005" s="16" t="n">
        <f aca="false">IF(D1005="","",H1005+E1005-K1005-G1005*I1005)</f>
        <v>148.104643690834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14.7713240523418</v>
      </c>
      <c r="N1005" s="16" t="n">
        <f aca="false">IF(D1005="","",(I1005+M1005)/2)</f>
        <v>14.9338107663677</v>
      </c>
      <c r="O1005" s="16" t="n">
        <f aca="false">IF(D1005="","",G1005*N1005)</f>
        <v>4.21581477934561</v>
      </c>
      <c r="P1005" s="16" t="n">
        <f aca="false">IF(D1005="","",H1005+E1005-K1005-O1005)</f>
        <v>148.150513690204</v>
      </c>
      <c r="Q1005" s="16" t="n">
        <f aca="false">IF(D1005="","",IF(P1005&gt;=0,K1005,MAX(0,K1005+P1005)))</f>
        <v>1.119744</v>
      </c>
      <c r="R1005" s="16" t="n">
        <f aca="false">IF(D1005="","",Q1005/$B$15)</f>
        <v>0.432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148.150513690204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91.4509343766689</v>
      </c>
      <c r="Z1005" s="18" t="n">
        <f aca="false">IF(D1005="","",MAX(0,IF(P1005&gt;=0,P1005,IF(K1005+P1005&gt;=0,0,P1005+K1005))))</f>
        <v>148.150513690204</v>
      </c>
      <c r="AA1005" s="18" t="n">
        <f aca="false">IF(D1005="","",IF(H1005&lt;=$B$16,1,IF(H1005&gt;=$B$17,$B$21,MATCH(H1005,Aux_CAV!$A$2:$A$121,1))))</f>
        <v>22</v>
      </c>
      <c r="AB1005" s="18" t="n">
        <f aca="false">IF(D1005="","",IF(L1005&lt;=$B$16,1,IF(L1005&gt;=$B$17,$B$21,MATCH(L1005,Aux_CAV!$A$2:$A$121,1))))</f>
        <v>22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0.253670971010611</v>
      </c>
      <c r="E1006" s="16" t="n">
        <f aca="false">IF(D1006="","",D1006*$B$15)</f>
        <v>0.657515156859504</v>
      </c>
      <c r="F1006" s="16" t="n">
        <f aca="false" t="array" ref="F1006:F1006">IF(D1006="","",IFERROR(INDEX(Dados_Evap!$C$2:$N$15,MATCH($B$9,Dados_Evap!$A$2:$A$15,0),C1006),0))</f>
        <v>241.3</v>
      </c>
      <c r="G1006" s="16" t="n">
        <f aca="false">IF(F1006="","",F1006/1000)</f>
        <v>0.2413</v>
      </c>
      <c r="H1006" s="16" t="n">
        <f aca="false">IF(D1006="","",MAX(0,MIN($B$8,IFERROR(LOOKUP(2,1/($U$24:U1005&lt;&gt;""),$U$24:U1005),$B$11))))</f>
        <v>148.150513690204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14.7746636986272</v>
      </c>
      <c r="J1006" s="16" t="n">
        <f aca="false">IF(D1006="","",$B$12)</f>
        <v>0.432</v>
      </c>
      <c r="K1006" s="16" t="n">
        <f aca="false">IF(J1006="","",J1006*$B$15)</f>
        <v>1.119744</v>
      </c>
      <c r="L1006" s="16" t="n">
        <f aca="false">IF(D1006="","",H1006+E1006-K1006-G1006*I1006)</f>
        <v>144.123158496584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14.4814449936578</v>
      </c>
      <c r="N1006" s="16" t="n">
        <f aca="false">IF(D1006="","",(I1006+M1006)/2)</f>
        <v>14.6280543461425</v>
      </c>
      <c r="O1006" s="16" t="n">
        <f aca="false">IF(D1006="","",G1006*N1006)</f>
        <v>3.52974951372419</v>
      </c>
      <c r="P1006" s="16" t="n">
        <f aca="false">IF(D1006="","",H1006+E1006-K1006-O1006)</f>
        <v>144.158535333339</v>
      </c>
      <c r="Q1006" s="16" t="n">
        <f aca="false">IF(D1006="","",IF(P1006&gt;=0,K1006,MAX(0,K1006+P1006)))</f>
        <v>1.119744</v>
      </c>
      <c r="R1006" s="16" t="n">
        <f aca="false">IF(D1006="","",Q1006/$B$15)</f>
        <v>0.432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144.158535333339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88.9867502057648</v>
      </c>
      <c r="Z1006" s="18" t="n">
        <f aca="false">IF(D1006="","",MAX(0,IF(P1006&gt;=0,P1006,IF(K1006+P1006&gt;=0,0,P1006+K1006))))</f>
        <v>144.158535333339</v>
      </c>
      <c r="AA1006" s="18" t="n">
        <f aca="false">IF(D1006="","",IF(H1006&lt;=$B$16,1,IF(H1006&gt;=$B$17,$B$21,MATCH(H1006,Aux_CAV!$A$2:$A$121,1))))</f>
        <v>22</v>
      </c>
      <c r="AB1006" s="18" t="n">
        <f aca="false">IF(D1006="","",IF(L1006&lt;=$B$16,1,IF(L1006&gt;=$B$17,$B$21,MATCH(L1006,Aux_CAV!$A$2:$A$121,1))))</f>
        <v>22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0.214912964970256</v>
      </c>
      <c r="E1007" s="16" t="n">
        <f aca="false">IF(D1007="","",D1007*$B$15)</f>
        <v>0.557054405202904</v>
      </c>
      <c r="F1007" s="16" t="n">
        <f aca="false" t="array" ref="F1007:F1007">IF(D1007="","",IFERROR(INDEX(Dados_Evap!$C$2:$N$15,MATCH($B$9,Dados_Evap!$A$2:$A$15,0),C1007),0))</f>
        <v>241.8</v>
      </c>
      <c r="G1007" s="16" t="n">
        <f aca="false">IF(F1007="","",F1007/1000)</f>
        <v>0.2418</v>
      </c>
      <c r="H1007" s="16" t="n">
        <f aca="false">IF(D1007="","",MAX(0,MIN($B$8,IFERROR(LOOKUP(2,1/($U$24:U1006&lt;&gt;""),$U$24:U1006),$B$11))))</f>
        <v>144.158535333339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14.4840206667138</v>
      </c>
      <c r="J1007" s="16" t="n">
        <f aca="false">IF(D1007="","",$B$12)</f>
        <v>0.432</v>
      </c>
      <c r="K1007" s="16" t="n">
        <f aca="false">IF(J1007="","",J1007*$B$15)</f>
        <v>1.119744</v>
      </c>
      <c r="L1007" s="16" t="n">
        <f aca="false">IF(D1007="","",H1007+E1007-K1007-G1007*I1007)</f>
        <v>140.093609541331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14.1880665679997</v>
      </c>
      <c r="N1007" s="16" t="n">
        <f aca="false">IF(D1007="","",(I1007+M1007)/2)</f>
        <v>14.3360436173568</v>
      </c>
      <c r="O1007" s="16" t="n">
        <f aca="false">IF(D1007="","",G1007*N1007)</f>
        <v>3.46645534667687</v>
      </c>
      <c r="P1007" s="16" t="n">
        <f aca="false">IF(D1007="","",H1007+E1007-K1007-O1007)</f>
        <v>140.129390391865</v>
      </c>
      <c r="Q1007" s="16" t="n">
        <f aca="false">IF(D1007="","",IF(P1007&gt;=0,K1007,MAX(0,K1007+P1007)))</f>
        <v>1.119744</v>
      </c>
      <c r="R1007" s="16" t="n">
        <f aca="false">IF(D1007="","",Q1007/$B$15)</f>
        <v>0.432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140.129390391865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86.4996236986821</v>
      </c>
      <c r="Z1007" s="18" t="n">
        <f aca="false">IF(D1007="","",MAX(0,IF(P1007&gt;=0,P1007,IF(K1007+P1007&gt;=0,0,P1007+K1007))))</f>
        <v>140.129390391865</v>
      </c>
      <c r="AA1007" s="18" t="n">
        <f aca="false">IF(D1007="","",IF(H1007&lt;=$B$16,1,IF(H1007&gt;=$B$17,$B$21,MATCH(H1007,Aux_CAV!$A$2:$A$121,1))))</f>
        <v>22</v>
      </c>
      <c r="AB1007" s="18" t="n">
        <f aca="false">IF(D1007="","",IF(L1007&lt;=$B$16,1,IF(L1007&gt;=$B$17,$B$21,MATCH(L1007,Aux_CAV!$A$2:$A$121,1))))</f>
        <v>22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0.540578796501424</v>
      </c>
      <c r="E1008" s="16" t="n">
        <f aca="false">IF(D1008="","",D1008*$B$15)</f>
        <v>1.40118024053169</v>
      </c>
      <c r="F1008" s="16" t="n">
        <f aca="false" t="array" ref="F1008:F1008">IF(D1008="","",IFERROR(INDEX(Dados_Evap!$C$2:$N$15,MATCH($B$9,Dados_Evap!$A$2:$A$15,0),C1008),0))</f>
        <v>189</v>
      </c>
      <c r="G1008" s="16" t="n">
        <f aca="false">IF(F1008="","",F1008/1000)</f>
        <v>0.189</v>
      </c>
      <c r="H1008" s="16" t="n">
        <f aca="false">IF(D1008="","",MAX(0,MIN($B$8,IFERROR(LOOKUP(2,1/($U$24:U1007&lt;&gt;""),$U$24:U1007),$B$11))))</f>
        <v>140.129390391865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14.1906716559922</v>
      </c>
      <c r="J1008" s="16" t="n">
        <f aca="false">IF(D1008="","",$B$12)</f>
        <v>0.432</v>
      </c>
      <c r="K1008" s="16" t="n">
        <f aca="false">IF(J1008="","",J1008*$B$15)</f>
        <v>1.119744</v>
      </c>
      <c r="L1008" s="16" t="n">
        <f aca="false">IF(D1008="","",H1008+E1008-K1008-G1008*I1008)</f>
        <v>137.728789689414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14.0158916837076</v>
      </c>
      <c r="N1008" s="16" t="n">
        <f aca="false">IF(D1008="","",(I1008+M1008)/2)</f>
        <v>14.1032816698499</v>
      </c>
      <c r="O1008" s="16" t="n">
        <f aca="false">IF(D1008="","",G1008*N1008)</f>
        <v>2.66552023560164</v>
      </c>
      <c r="P1008" s="16" t="n">
        <f aca="false">IF(D1008="","",H1008+E1008-K1008-O1008)</f>
        <v>137.745306396795</v>
      </c>
      <c r="Q1008" s="16" t="n">
        <f aca="false">IF(D1008="","",IF(P1008&gt;=0,K1008,MAX(0,K1008+P1008)))</f>
        <v>1.119744</v>
      </c>
      <c r="R1008" s="16" t="n">
        <f aca="false">IF(D1008="","",Q1008/$B$15)</f>
        <v>0.432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137.745306396795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85.0279669116019</v>
      </c>
      <c r="Z1008" s="18" t="n">
        <f aca="false">IF(D1008="","",MAX(0,IF(P1008&gt;=0,P1008,IF(K1008+P1008&gt;=0,0,P1008+K1008))))</f>
        <v>137.745306396795</v>
      </c>
      <c r="AA1008" s="18" t="n">
        <f aca="false">IF(D1008="","",IF(H1008&lt;=$B$16,1,IF(H1008&gt;=$B$17,$B$21,MATCH(H1008,Aux_CAV!$A$2:$A$121,1))))</f>
        <v>22</v>
      </c>
      <c r="AB1008" s="18" t="n">
        <f aca="false">IF(D1008="","",IF(L1008&lt;=$B$16,1,IF(L1008&gt;=$B$17,$B$21,MATCH(L1008,Aux_CAV!$A$2:$A$121,1))))</f>
        <v>22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2.46584234625047</v>
      </c>
      <c r="E1009" s="16" t="n">
        <f aca="false">IF(D1009="","",D1009*$B$15)</f>
        <v>6.39146336148122</v>
      </c>
      <c r="F1009" s="16" t="n">
        <f aca="false" t="array" ref="F1009:F1009">IF(D1009="","",IFERROR(INDEX(Dados_Evap!$C$2:$N$15,MATCH($B$9,Dados_Evap!$A$2:$A$15,0),C1009),0))</f>
        <v>136.9</v>
      </c>
      <c r="G1009" s="16" t="n">
        <f aca="false">IF(F1009="","",F1009/1000)</f>
        <v>0.1369</v>
      </c>
      <c r="H1009" s="16" t="n">
        <f aca="false">IF(D1009="","",MAX(0,MIN($B$8,IFERROR(LOOKUP(2,1/($U$24:U1008&lt;&gt;""),$U$24:U1008),$B$11))))</f>
        <v>137.745306396795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14.0170942117479</v>
      </c>
      <c r="J1009" s="16" t="n">
        <f aca="false">IF(D1009="","",$B$12)</f>
        <v>0.432</v>
      </c>
      <c r="K1009" s="16" t="n">
        <f aca="false">IF(J1009="","",J1009*$B$15)</f>
        <v>1.119744</v>
      </c>
      <c r="L1009" s="16" t="n">
        <f aca="false">IF(D1009="","",H1009+E1009-K1009-G1009*I1009)</f>
        <v>141.098085560688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14.2611992179422</v>
      </c>
      <c r="N1009" s="16" t="n">
        <f aca="false">IF(D1009="","",(I1009+M1009)/2)</f>
        <v>14.139146714845</v>
      </c>
      <c r="O1009" s="16" t="n">
        <f aca="false">IF(D1009="","",G1009*N1009)</f>
        <v>1.93564918526229</v>
      </c>
      <c r="P1009" s="16" t="n">
        <f aca="false">IF(D1009="","",H1009+E1009-K1009-O1009)</f>
        <v>141.081376573014</v>
      </c>
      <c r="Q1009" s="16" t="n">
        <f aca="false">IF(D1009="","",IF(P1009&gt;=0,K1009,MAX(0,K1009+P1009)))</f>
        <v>1.119744</v>
      </c>
      <c r="R1009" s="16" t="n">
        <f aca="false">IF(D1009="","",Q1009/$B$15)</f>
        <v>0.432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141.081376573014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87.0872694895148</v>
      </c>
      <c r="Z1009" s="18" t="n">
        <f aca="false">IF(D1009="","",MAX(0,IF(P1009&gt;=0,P1009,IF(K1009+P1009&gt;=0,0,P1009+K1009))))</f>
        <v>141.081376573014</v>
      </c>
      <c r="AA1009" s="18" t="n">
        <f aca="false">IF(D1009="","",IF(H1009&lt;=$B$16,1,IF(H1009&gt;=$B$17,$B$21,MATCH(H1009,Aux_CAV!$A$2:$A$121,1))))</f>
        <v>22</v>
      </c>
      <c r="AB1009" s="18" t="n">
        <f aca="false">IF(D1009="","",IF(L1009&lt;=$B$16,1,IF(L1009&gt;=$B$17,$B$21,MATCH(L1009,Aux_CAV!$A$2:$A$121,1))))</f>
        <v>22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3.29404549126805</v>
      </c>
      <c r="E1010" s="16" t="n">
        <f aca="false">IF(D1010="","",D1010*$B$15)</f>
        <v>8.53816591336679</v>
      </c>
      <c r="F1010" s="16" t="n">
        <f aca="false" t="array" ref="F1010:F1010">IF(D1010="","",IFERROR(INDEX(Dados_Evap!$C$2:$N$15,MATCH($B$9,Dados_Evap!$A$2:$A$15,0),C1010),0))</f>
        <v>102.9</v>
      </c>
      <c r="G1010" s="16" t="n">
        <f aca="false">IF(F1010="","",F1010/1000)</f>
        <v>0.1029</v>
      </c>
      <c r="H1010" s="16" t="n">
        <f aca="false">IF(D1010="","",MAX(0,MIN($B$8,IFERROR(LOOKUP(2,1/($U$24:U1009&lt;&gt;""),$U$24:U1009),$B$11))))</f>
        <v>141.081376573014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14.2599826905956</v>
      </c>
      <c r="J1010" s="16" t="n">
        <f aca="false">IF(D1010="","",$B$12)</f>
        <v>0.432</v>
      </c>
      <c r="K1010" s="16" t="n">
        <f aca="false">IF(J1010="","",J1010*$B$15)</f>
        <v>1.119744</v>
      </c>
      <c r="L1010" s="16" t="n">
        <f aca="false">IF(D1010="","",H1010+E1010-K1010-G1010*I1010)</f>
        <v>147.032446267519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14.6932608260254</v>
      </c>
      <c r="N1010" s="16" t="n">
        <f aca="false">IF(D1010="","",(I1010+M1010)/2)</f>
        <v>14.4766217583105</v>
      </c>
      <c r="O1010" s="16" t="n">
        <f aca="false">IF(D1010="","",G1010*N1010)</f>
        <v>1.48964437893015</v>
      </c>
      <c r="P1010" s="16" t="n">
        <f aca="false">IF(D1010="","",H1010+E1010-K1010-O1010)</f>
        <v>147.010154107451</v>
      </c>
      <c r="Q1010" s="16" t="n">
        <f aca="false">IF(D1010="","",IF(P1010&gt;=0,K1010,MAX(0,K1010+P1010)))</f>
        <v>1.119744</v>
      </c>
      <c r="R1010" s="16" t="n">
        <f aca="false">IF(D1010="","",Q1010/$B$15)</f>
        <v>0.432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147.010154107451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90.7470087083029</v>
      </c>
      <c r="Z1010" s="18" t="n">
        <f aca="false">IF(D1010="","",MAX(0,IF(P1010&gt;=0,P1010,IF(K1010+P1010&gt;=0,0,P1010+K1010))))</f>
        <v>147.010154107451</v>
      </c>
      <c r="AA1010" s="18" t="n">
        <f aca="false">IF(D1010="","",IF(H1010&lt;=$B$16,1,IF(H1010&gt;=$B$17,$B$21,MATCH(H1010,Aux_CAV!$A$2:$A$121,1))))</f>
        <v>22</v>
      </c>
      <c r="AB1010" s="18" t="n">
        <f aca="false">IF(D1010="","",IF(L1010&lt;=$B$16,1,IF(L1010&gt;=$B$17,$B$21,MATCH(L1010,Aux_CAV!$A$2:$A$121,1))))</f>
        <v>22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5.18392556103057</v>
      </c>
      <c r="E1011" s="16" t="n">
        <f aca="false">IF(D1011="","",D1011*$B$15)</f>
        <v>13.4367350541912</v>
      </c>
      <c r="F1011" s="16" t="n">
        <f aca="false" t="array" ref="F1011:F1011">IF(D1011="","",IFERROR(INDEX(Dados_Evap!$C$2:$N$15,MATCH($B$9,Dados_Evap!$A$2:$A$15,0),C1011),0))</f>
        <v>81.8</v>
      </c>
      <c r="G1011" s="16" t="n">
        <f aca="false">IF(F1011="","",F1011/1000)</f>
        <v>0.0818</v>
      </c>
      <c r="H1011" s="16" t="n">
        <f aca="false">IF(D1011="","",MAX(0,MIN($B$8,IFERROR(LOOKUP(2,1/($U$24:U1010&lt;&gt;""),$U$24:U1010),$B$11))))</f>
        <v>147.010154107451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14.691637805956</v>
      </c>
      <c r="J1011" s="16" t="n">
        <f aca="false">IF(D1011="","",$B$12)</f>
        <v>0.432</v>
      </c>
      <c r="K1011" s="16" t="n">
        <f aca="false">IF(J1011="","",J1011*$B$15)</f>
        <v>1.119744</v>
      </c>
      <c r="L1011" s="16" t="n">
        <f aca="false">IF(D1011="","",H1011+E1011-K1011-G1011*I1011)</f>
        <v>158.125369189115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15.500900663343</v>
      </c>
      <c r="N1011" s="16" t="n">
        <f aca="false">IF(D1011="","",(I1011+M1011)/2)</f>
        <v>15.0962692346495</v>
      </c>
      <c r="O1011" s="16" t="n">
        <f aca="false">IF(D1011="","",G1011*N1011)</f>
        <v>1.23487482339433</v>
      </c>
      <c r="P1011" s="16" t="n">
        <f aca="false">IF(D1011="","",H1011+E1011-K1011-O1011)</f>
        <v>158.092270338248</v>
      </c>
      <c r="Q1011" s="16" t="n">
        <f aca="false">IF(D1011="","",IF(P1011&gt;=0,K1011,MAX(0,K1011+P1011)))</f>
        <v>1.119744</v>
      </c>
      <c r="R1011" s="16" t="n">
        <f aca="false">IF(D1011="","",Q1011/$B$15)</f>
        <v>0.432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158.092270338248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97.5878211964491</v>
      </c>
      <c r="Z1011" s="18" t="n">
        <f aca="false">IF(D1011="","",MAX(0,IF(P1011&gt;=0,P1011,IF(K1011+P1011&gt;=0,0,P1011+K1011))))</f>
        <v>158.092270338248</v>
      </c>
      <c r="AA1011" s="18" t="n">
        <f aca="false">IF(D1011="","",IF(H1011&lt;=$B$16,1,IF(H1011&gt;=$B$17,$B$21,MATCH(H1011,Aux_CAV!$A$2:$A$121,1))))</f>
        <v>22</v>
      </c>
      <c r="AB1011" s="18" t="n">
        <f aca="false">IF(D1011="","",IF(L1011&lt;=$B$16,1,IF(L1011&gt;=$B$17,$B$21,MATCH(L1011,Aux_CAV!$A$2:$A$121,1))))</f>
        <v>22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1.00926031468506</v>
      </c>
      <c r="E1012" s="16" t="n">
        <f aca="false">IF(D1012="","",D1012*$B$15)</f>
        <v>2.61600273566368</v>
      </c>
      <c r="F1012" s="16" t="n">
        <f aca="false" t="array" ref="F1012:F1012">IF(D1012="","",IFERROR(INDEX(Dados_Evap!$C$2:$N$15,MATCH($B$9,Dados_Evap!$A$2:$A$15,0),C1012),0))</f>
        <v>83.6</v>
      </c>
      <c r="G1012" s="16" t="n">
        <f aca="false">IF(F1012="","",F1012/1000)</f>
        <v>0.0836</v>
      </c>
      <c r="H1012" s="16" t="n">
        <f aca="false">IF(D1012="","",MAX(0,MIN($B$8,IFERROR(LOOKUP(2,1/($U$24:U1011&lt;&gt;""),$U$24:U1011),$B$11))))</f>
        <v>158.092270338248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15.4984908430712</v>
      </c>
      <c r="J1012" s="16" t="n">
        <f aca="false">IF(D1012="","",$B$12)</f>
        <v>0.432</v>
      </c>
      <c r="K1012" s="16" t="n">
        <f aca="false">IF(J1012="","",J1012*$B$15)</f>
        <v>1.119744</v>
      </c>
      <c r="L1012" s="16" t="n">
        <f aca="false">IF(D1012="","",H1012+E1012-K1012-G1012*I1012)</f>
        <v>158.29285523943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15.5130947809247</v>
      </c>
      <c r="N1012" s="16" t="n">
        <f aca="false">IF(D1012="","",(I1012+M1012)/2)</f>
        <v>15.505792811998</v>
      </c>
      <c r="O1012" s="16" t="n">
        <f aca="false">IF(D1012="","",G1012*N1012)</f>
        <v>1.29628427908303</v>
      </c>
      <c r="P1012" s="16" t="n">
        <f aca="false">IF(D1012="","",H1012+E1012-K1012-O1012)</f>
        <v>158.292244794828</v>
      </c>
      <c r="Q1012" s="16" t="n">
        <f aca="false">IF(D1012="","",IF(P1012&gt;=0,K1012,MAX(0,K1012+P1012)))</f>
        <v>1.119744</v>
      </c>
      <c r="R1012" s="16" t="n">
        <f aca="false">IF(D1012="","",Q1012/$B$15)</f>
        <v>0.432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158.292244794828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97.7112622190297</v>
      </c>
      <c r="Z1012" s="18" t="n">
        <f aca="false">IF(D1012="","",MAX(0,IF(P1012&gt;=0,P1012,IF(K1012+P1012&gt;=0,0,P1012+K1012))))</f>
        <v>158.292244794828</v>
      </c>
      <c r="AA1012" s="18" t="n">
        <f aca="false">IF(D1012="","",IF(H1012&lt;=$B$16,1,IF(H1012&gt;=$B$17,$B$21,MATCH(H1012,Aux_CAV!$A$2:$A$121,1))))</f>
        <v>22</v>
      </c>
      <c r="AB1012" s="18" t="n">
        <f aca="false">IF(D1012="","",IF(L1012&lt;=$B$16,1,IF(L1012&gt;=$B$17,$B$21,MATCH(L1012,Aux_CAV!$A$2:$A$121,1))))</f>
        <v>22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1.56116934098338</v>
      </c>
      <c r="E1013" s="16" t="n">
        <f aca="false">IF(D1013="","",D1013*$B$15)</f>
        <v>4.04655093182892</v>
      </c>
      <c r="F1013" s="16" t="n">
        <f aca="false" t="array" ref="F1013:F1013">IF(D1013="","",IFERROR(INDEX(Dados_Evap!$C$2:$N$15,MATCH($B$9,Dados_Evap!$A$2:$A$15,0),C1013),0))</f>
        <v>108.2</v>
      </c>
      <c r="G1013" s="16" t="n">
        <f aca="false">IF(F1013="","",F1013/1000)</f>
        <v>0.1082</v>
      </c>
      <c r="H1013" s="16" t="n">
        <f aca="false">IF(D1013="","",MAX(0,MIN($B$8,IFERROR(LOOKUP(2,1/($U$24:U1012&lt;&gt;""),$U$24:U1012),$B$11))))</f>
        <v>158.292244794828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15.5130503364277</v>
      </c>
      <c r="J1013" s="16" t="n">
        <f aca="false">IF(D1013="","",$B$12)</f>
        <v>0.432</v>
      </c>
      <c r="K1013" s="16" t="n">
        <f aca="false">IF(J1013="","",J1013*$B$15)</f>
        <v>1.119744</v>
      </c>
      <c r="L1013" s="16" t="n">
        <f aca="false">IF(D1013="","",H1013+E1013-K1013-G1013*I1013)</f>
        <v>159.540539680256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15.6039346493646</v>
      </c>
      <c r="N1013" s="16" t="n">
        <f aca="false">IF(D1013="","",(I1013+M1013)/2)</f>
        <v>15.5584924928961</v>
      </c>
      <c r="O1013" s="16" t="n">
        <f aca="false">IF(D1013="","",G1013*N1013)</f>
        <v>1.68342888773136</v>
      </c>
      <c r="P1013" s="16" t="n">
        <f aca="false">IF(D1013="","",H1013+E1013-K1013-O1013)</f>
        <v>159.535622838926</v>
      </c>
      <c r="Q1013" s="16" t="n">
        <f aca="false">IF(D1013="","",IF(P1013&gt;=0,K1013,MAX(0,K1013+P1013)))</f>
        <v>1.119744</v>
      </c>
      <c r="R1013" s="16" t="n">
        <f aca="false">IF(D1013="","",Q1013/$B$15)</f>
        <v>0.432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159.535622838926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98.4787795302011</v>
      </c>
      <c r="Z1013" s="18" t="n">
        <f aca="false">IF(D1013="","",MAX(0,IF(P1013&gt;=0,P1013,IF(K1013+P1013&gt;=0,0,P1013+K1013))))</f>
        <v>159.535622838926</v>
      </c>
      <c r="AA1013" s="18" t="n">
        <f aca="false">IF(D1013="","",IF(H1013&lt;=$B$16,1,IF(H1013&gt;=$B$17,$B$21,MATCH(H1013,Aux_CAV!$A$2:$A$121,1))))</f>
        <v>22</v>
      </c>
      <c r="AB1013" s="18" t="n">
        <f aca="false">IF(D1013="","",IF(L1013&lt;=$B$16,1,IF(L1013&gt;=$B$17,$B$21,MATCH(L1013,Aux_CAV!$A$2:$A$121,1))))</f>
        <v>22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0.349759933033484</v>
      </c>
      <c r="E1014" s="16" t="n">
        <f aca="false">IF(D1014="","",D1014*$B$15)</f>
        <v>0.906577746422791</v>
      </c>
      <c r="F1014" s="16" t="n">
        <f aca="false" t="array" ref="F1014:F1014">IF(D1014="","",IFERROR(INDEX(Dados_Evap!$C$2:$N$15,MATCH($B$9,Dados_Evap!$A$2:$A$15,0),C1014),0))</f>
        <v>149</v>
      </c>
      <c r="G1014" s="16" t="n">
        <f aca="false">IF(F1014="","",F1014/1000)</f>
        <v>0.149</v>
      </c>
      <c r="H1014" s="16" t="n">
        <f aca="false">IF(D1014="","",MAX(0,MIN($B$8,IFERROR(LOOKUP(2,1/($U$24:U1013&lt;&gt;""),$U$24:U1013),$B$11))))</f>
        <v>159.535622838926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15.6035766700511</v>
      </c>
      <c r="J1014" s="16" t="n">
        <f aca="false">IF(D1014="","",$B$12)</f>
        <v>0.432</v>
      </c>
      <c r="K1014" s="16" t="n">
        <f aca="false">IF(J1014="","",J1014*$B$15)</f>
        <v>1.119744</v>
      </c>
      <c r="L1014" s="16" t="n">
        <f aca="false">IF(D1014="","",H1014+E1014-K1014-G1014*I1014)</f>
        <v>156.997523661511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15.4187858785499</v>
      </c>
      <c r="N1014" s="16" t="n">
        <f aca="false">IF(D1014="","",(I1014+M1014)/2)</f>
        <v>15.5111812743005</v>
      </c>
      <c r="O1014" s="16" t="n">
        <f aca="false">IF(D1014="","",G1014*N1014)</f>
        <v>2.31116600987078</v>
      </c>
      <c r="P1014" s="16" t="n">
        <f aca="false">IF(D1014="","",H1014+E1014-K1014-O1014)</f>
        <v>157.011290575478</v>
      </c>
      <c r="Q1014" s="16" t="n">
        <f aca="false">IF(D1014="","",IF(P1014&gt;=0,K1014,MAX(0,K1014+P1014)))</f>
        <v>1.119744</v>
      </c>
      <c r="R1014" s="16" t="n">
        <f aca="false">IF(D1014="","",Q1014/$B$15)</f>
        <v>0.432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157.011290575478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96.9205497379492</v>
      </c>
      <c r="Z1014" s="18" t="n">
        <f aca="false">IF(D1014="","",MAX(0,IF(P1014&gt;=0,P1014,IF(K1014+P1014&gt;=0,0,P1014+K1014))))</f>
        <v>157.011290575478</v>
      </c>
      <c r="AA1014" s="18" t="n">
        <f aca="false">IF(D1014="","",IF(H1014&lt;=$B$16,1,IF(H1014&gt;=$B$17,$B$21,MATCH(H1014,Aux_CAV!$A$2:$A$121,1))))</f>
        <v>22</v>
      </c>
      <c r="AB1014" s="18" t="n">
        <f aca="false">IF(D1014="","",IF(L1014&lt;=$B$16,1,IF(L1014&gt;=$B$17,$B$21,MATCH(L1014,Aux_CAV!$A$2:$A$121,1))))</f>
        <v>22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0.300728098563936</v>
      </c>
      <c r="E1015" s="16" t="n">
        <f aca="false">IF(D1015="","",D1015*$B$15)</f>
        <v>0.779487231477722</v>
      </c>
      <c r="F1015" s="16" t="n">
        <f aca="false" t="array" ref="F1015:F1015">IF(D1015="","",IFERROR(INDEX(Dados_Evap!$C$2:$N$15,MATCH($B$9,Dados_Evap!$A$2:$A$15,0),C1015),0))</f>
        <v>206.8</v>
      </c>
      <c r="G1015" s="16" t="n">
        <f aca="false">IF(F1015="","",F1015/1000)</f>
        <v>0.2068</v>
      </c>
      <c r="H1015" s="16" t="n">
        <f aca="false">IF(D1015="","",MAX(0,MIN($B$8,IFERROR(LOOKUP(2,1/($U$24:U1014&lt;&gt;""),$U$24:U1014),$B$11))))</f>
        <v>157.011290575478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15.4197882030261</v>
      </c>
      <c r="J1015" s="16" t="n">
        <f aca="false">IF(D1015="","",$B$12)</f>
        <v>0.432</v>
      </c>
      <c r="K1015" s="16" t="n">
        <f aca="false">IF(J1015="","",J1015*$B$15)</f>
        <v>1.119744</v>
      </c>
      <c r="L1015" s="16" t="n">
        <f aca="false">IF(D1015="","",H1015+E1015-K1015-G1015*I1015)</f>
        <v>153.48222160657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15.1628481063467</v>
      </c>
      <c r="N1015" s="16" t="n">
        <f aca="false">IF(D1015="","",(I1015+M1015)/2)</f>
        <v>15.2913181546864</v>
      </c>
      <c r="O1015" s="16" t="n">
        <f aca="false">IF(D1015="","",G1015*N1015)</f>
        <v>3.16224459438915</v>
      </c>
      <c r="P1015" s="16" t="n">
        <f aca="false">IF(D1015="","",H1015+E1015-K1015-O1015)</f>
        <v>153.508789212566</v>
      </c>
      <c r="Q1015" s="16" t="n">
        <f aca="false">IF(D1015="","",IF(P1015&gt;=0,K1015,MAX(0,K1015+P1015)))</f>
        <v>1.119744</v>
      </c>
      <c r="R1015" s="16" t="n">
        <f aca="false">IF(D1015="","",Q1015/$B$15)</f>
        <v>0.432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153.508789212566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94.7585118596088</v>
      </c>
      <c r="Z1015" s="18" t="n">
        <f aca="false">IF(D1015="","",MAX(0,IF(P1015&gt;=0,P1015,IF(K1015+P1015&gt;=0,0,P1015+K1015))))</f>
        <v>153.508789212566</v>
      </c>
      <c r="AA1015" s="18" t="n">
        <f aca="false">IF(D1015="","",IF(H1015&lt;=$B$16,1,IF(H1015&gt;=$B$17,$B$21,MATCH(H1015,Aux_CAV!$A$2:$A$121,1))))</f>
        <v>22</v>
      </c>
      <c r="AB1015" s="18" t="n">
        <f aca="false">IF(D1015="","",IF(L1015&lt;=$B$16,1,IF(L1015&gt;=$B$17,$B$21,MATCH(L1015,Aux_CAV!$A$2:$A$121,1))))</f>
        <v>22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0.296159064285094</v>
      </c>
      <c r="E1016" s="16" t="n">
        <f aca="false">IF(D1016="","",D1016*$B$15)</f>
        <v>0.767644294626964</v>
      </c>
      <c r="F1016" s="16" t="n">
        <f aca="false" t="array" ref="F1016:F1016">IF(D1016="","",IFERROR(INDEX(Dados_Evap!$C$2:$N$15,MATCH($B$9,Dados_Evap!$A$2:$A$15,0),C1016),0))</f>
        <v>245.9</v>
      </c>
      <c r="G1016" s="16" t="n">
        <f aca="false">IF(F1016="","",F1016/1000)</f>
        <v>0.2459</v>
      </c>
      <c r="H1016" s="16" t="n">
        <f aca="false">IF(D1016="","",MAX(0,MIN($B$8,IFERROR(LOOKUP(2,1/($U$24:U1015&lt;&gt;""),$U$24:U1015),$B$11))))</f>
        <v>153.508789212566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15.1647824078051</v>
      </c>
      <c r="J1016" s="16" t="n">
        <f aca="false">IF(D1016="","",$B$12)</f>
        <v>0.432</v>
      </c>
      <c r="K1016" s="16" t="n">
        <f aca="false">IF(J1016="","",J1016*$B$15)</f>
        <v>1.119744</v>
      </c>
      <c r="L1016" s="16" t="n">
        <f aca="false">IF(D1016="","",H1016+E1016-K1016-G1016*I1016)</f>
        <v>149.427669513114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14.86764928307</v>
      </c>
      <c r="N1016" s="16" t="n">
        <f aca="false">IF(D1016="","",(I1016+M1016)/2)</f>
        <v>15.0162158454376</v>
      </c>
      <c r="O1016" s="16" t="n">
        <f aca="false">IF(D1016="","",G1016*N1016)</f>
        <v>3.6924874763931</v>
      </c>
      <c r="P1016" s="16" t="n">
        <f aca="false">IF(D1016="","",H1016+E1016-K1016-O1016)</f>
        <v>149.4642020308</v>
      </c>
      <c r="Q1016" s="16" t="n">
        <f aca="false">IF(D1016="","",IF(P1016&gt;=0,K1016,MAX(0,K1016+P1016)))</f>
        <v>1.119744</v>
      </c>
      <c r="R1016" s="16" t="n">
        <f aca="false">IF(D1016="","",Q1016/$B$15)</f>
        <v>0.432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149.4642020308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92.2618531054322</v>
      </c>
      <c r="Z1016" s="18" t="n">
        <f aca="false">IF(D1016="","",MAX(0,IF(P1016&gt;=0,P1016,IF(K1016+P1016&gt;=0,0,P1016+K1016))))</f>
        <v>149.4642020308</v>
      </c>
      <c r="AA1016" s="18" t="n">
        <f aca="false">IF(D1016="","",IF(H1016&lt;=$B$16,1,IF(H1016&gt;=$B$17,$B$21,MATCH(H1016,Aux_CAV!$A$2:$A$121,1))))</f>
        <v>22</v>
      </c>
      <c r="AB1016" s="18" t="n">
        <f aca="false">IF(D1016="","",IF(L1016&lt;=$B$16,1,IF(L1016&gt;=$B$17,$B$21,MATCH(L1016,Aux_CAV!$A$2:$A$121,1))))</f>
        <v>22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0.278664851298565</v>
      </c>
      <c r="E1017" s="16" t="n">
        <f aca="false">IF(D1017="","",D1017*$B$15)</f>
        <v>0.722299294565881</v>
      </c>
      <c r="F1017" s="16" t="n">
        <f aca="false" t="array" ref="F1017:F1017">IF(D1017="","",IFERROR(INDEX(Dados_Evap!$C$2:$N$15,MATCH($B$9,Dados_Evap!$A$2:$A$15,0),C1017),0))</f>
        <v>282.3</v>
      </c>
      <c r="G1017" s="16" t="n">
        <f aca="false">IF(F1017="","",F1017/1000)</f>
        <v>0.2823</v>
      </c>
      <c r="H1017" s="16" t="n">
        <f aca="false">IF(D1017="","",MAX(0,MIN($B$8,IFERROR(LOOKUP(2,1/($U$24:U1016&lt;&gt;""),$U$24:U1016),$B$11))))</f>
        <v>149.4642020308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14.8703090975166</v>
      </c>
      <c r="J1017" s="16" t="n">
        <f aca="false">IF(D1017="","",$B$12)</f>
        <v>0.432</v>
      </c>
      <c r="K1017" s="16" t="n">
        <f aca="false">IF(J1017="","",J1017*$B$15)</f>
        <v>1.119744</v>
      </c>
      <c r="L1017" s="16" t="n">
        <f aca="false">IF(D1017="","",H1017+E1017-K1017-G1017*I1017)</f>
        <v>144.868869067137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14.5357377682623</v>
      </c>
      <c r="N1017" s="16" t="n">
        <f aca="false">IF(D1017="","",(I1017+M1017)/2)</f>
        <v>14.7030234328894</v>
      </c>
      <c r="O1017" s="16" t="n">
        <f aca="false">IF(D1017="","",G1017*N1017)</f>
        <v>4.15066351510469</v>
      </c>
      <c r="P1017" s="16" t="n">
        <f aca="false">IF(D1017="","",H1017+E1017-K1017-O1017)</f>
        <v>144.916093810261</v>
      </c>
      <c r="Q1017" s="16" t="n">
        <f aca="false">IF(D1017="","",IF(P1017&gt;=0,K1017,MAX(0,K1017+P1017)))</f>
        <v>1.119744</v>
      </c>
      <c r="R1017" s="16" t="n">
        <f aca="false">IF(D1017="","",Q1017/$B$15)</f>
        <v>0.432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144.916093810261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89.4543788952231</v>
      </c>
      <c r="Z1017" s="18" t="n">
        <f aca="false">IF(D1017="","",MAX(0,IF(P1017&gt;=0,P1017,IF(K1017+P1017&gt;=0,0,P1017+K1017))))</f>
        <v>144.916093810261</v>
      </c>
      <c r="AA1017" s="18" t="n">
        <f aca="false">IF(D1017="","",IF(H1017&lt;=$B$16,1,IF(H1017&gt;=$B$17,$B$21,MATCH(H1017,Aux_CAV!$A$2:$A$121,1))))</f>
        <v>22</v>
      </c>
      <c r="AB1017" s="18" t="n">
        <f aca="false">IF(D1017="","",IF(L1017&lt;=$B$16,1,IF(L1017&gt;=$B$17,$B$21,MATCH(L1017,Aux_CAV!$A$2:$A$121,1))))</f>
        <v>22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0.235082459333015</v>
      </c>
      <c r="E1018" s="16" t="n">
        <f aca="false">IF(D1018="","",D1018*$B$15)</f>
        <v>0.609333734591175</v>
      </c>
      <c r="F1018" s="16" t="n">
        <f aca="false" t="array" ref="F1018:F1018">IF(D1018="","",IFERROR(INDEX(Dados_Evap!$C$2:$N$15,MATCH($B$9,Dados_Evap!$A$2:$A$15,0),C1018),0))</f>
        <v>241.3</v>
      </c>
      <c r="G1018" s="16" t="n">
        <f aca="false">IF(F1018="","",F1018/1000)</f>
        <v>0.2413</v>
      </c>
      <c r="H1018" s="16" t="n">
        <f aca="false">IF(D1018="","",MAX(0,MIN($B$8,IFERROR(LOOKUP(2,1/($U$24:U1017&lt;&gt;""),$U$24:U1017),$B$11))))</f>
        <v>144.916093810261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14.5391760490585</v>
      </c>
      <c r="J1018" s="16" t="n">
        <f aca="false">IF(D1018="","",$B$12)</f>
        <v>0.432</v>
      </c>
      <c r="K1018" s="16" t="n">
        <f aca="false">IF(J1018="","",J1018*$B$15)</f>
        <v>1.119744</v>
      </c>
      <c r="L1018" s="16" t="n">
        <f aca="false">IF(D1018="","",H1018+E1018-K1018-G1018*I1018)</f>
        <v>140.897380364215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14.2465865217777</v>
      </c>
      <c r="N1018" s="16" t="n">
        <f aca="false">IF(D1018="","",(I1018+M1018)/2)</f>
        <v>14.3928812854181</v>
      </c>
      <c r="O1018" s="16" t="n">
        <f aca="false">IF(D1018="","",G1018*N1018)</f>
        <v>3.47300225417139</v>
      </c>
      <c r="P1018" s="16" t="n">
        <f aca="false">IF(D1018="","",H1018+E1018-K1018-O1018)</f>
        <v>140.932681290681</v>
      </c>
      <c r="Q1018" s="16" t="n">
        <f aca="false">IF(D1018="","",IF(P1018&gt;=0,K1018,MAX(0,K1018+P1018)))</f>
        <v>1.119744</v>
      </c>
      <c r="R1018" s="16" t="n">
        <f aca="false">IF(D1018="","",Q1018/$B$15)</f>
        <v>0.432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140.932681290681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86.9954822781983</v>
      </c>
      <c r="Z1018" s="18" t="n">
        <f aca="false">IF(D1018="","",MAX(0,IF(P1018&gt;=0,P1018,IF(K1018+P1018&gt;=0,0,P1018+K1018))))</f>
        <v>140.932681290681</v>
      </c>
      <c r="AA1018" s="18" t="n">
        <f aca="false">IF(D1018="","",IF(H1018&lt;=$B$16,1,IF(H1018&gt;=$B$17,$B$21,MATCH(H1018,Aux_CAV!$A$2:$A$121,1))))</f>
        <v>22</v>
      </c>
      <c r="AB1018" s="18" t="n">
        <f aca="false">IF(D1018="","",IF(L1018&lt;=$B$16,1,IF(L1018&gt;=$B$17,$B$21,MATCH(L1018,Aux_CAV!$A$2:$A$121,1))))</f>
        <v>22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0.178412187629092</v>
      </c>
      <c r="E1019" s="16" t="n">
        <f aca="false">IF(D1019="","",D1019*$B$15)</f>
        <v>0.462444390334607</v>
      </c>
      <c r="F1019" s="16" t="n">
        <f aca="false" t="array" ref="F1019:F1019">IF(D1019="","",IFERROR(INDEX(Dados_Evap!$C$2:$N$15,MATCH($B$9,Dados_Evap!$A$2:$A$15,0),C1019),0))</f>
        <v>241.8</v>
      </c>
      <c r="G1019" s="16" t="n">
        <f aca="false">IF(F1019="","",F1019/1000)</f>
        <v>0.2418</v>
      </c>
      <c r="H1019" s="16" t="n">
        <f aca="false">IF(D1019="","",MAX(0,MIN($B$8,IFERROR(LOOKUP(2,1/($U$24:U1018&lt;&gt;""),$U$24:U1018),$B$11))))</f>
        <v>140.932681290681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14.2491566680512</v>
      </c>
      <c r="J1019" s="16" t="n">
        <f aca="false">IF(D1019="","",$B$12)</f>
        <v>0.432</v>
      </c>
      <c r="K1019" s="16" t="n">
        <f aca="false">IF(J1019="","",J1019*$B$15)</f>
        <v>1.119744</v>
      </c>
      <c r="L1019" s="16" t="n">
        <f aca="false">IF(D1019="","",H1019+E1019-K1019-G1019*I1019)</f>
        <v>136.829935598681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13.950449024749</v>
      </c>
      <c r="N1019" s="16" t="n">
        <f aca="false">IF(D1019="","",(I1019+M1019)/2)</f>
        <v>14.0998028464001</v>
      </c>
      <c r="O1019" s="16" t="n">
        <f aca="false">IF(D1019="","",G1019*N1019)</f>
        <v>3.40933232825955</v>
      </c>
      <c r="P1019" s="16" t="n">
        <f aca="false">IF(D1019="","",H1019+E1019-K1019-O1019)</f>
        <v>136.866049352756</v>
      </c>
      <c r="Q1019" s="16" t="n">
        <f aca="false">IF(D1019="","",IF(P1019&gt;=0,K1019,MAX(0,K1019+P1019)))</f>
        <v>1.119744</v>
      </c>
      <c r="R1019" s="16" t="n">
        <f aca="false">IF(D1019="","",Q1019/$B$15)</f>
        <v>0.432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136.866049352756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84.4852156498495</v>
      </c>
      <c r="Z1019" s="18" t="n">
        <f aca="false">IF(D1019="","",MAX(0,IF(P1019&gt;=0,P1019,IF(K1019+P1019&gt;=0,0,P1019+K1019))))</f>
        <v>136.866049352756</v>
      </c>
      <c r="AA1019" s="18" t="n">
        <f aca="false">IF(D1019="","",IF(H1019&lt;=$B$16,1,IF(H1019&gt;=$B$17,$B$21,MATCH(H1019,Aux_CAV!$A$2:$A$121,1))))</f>
        <v>22</v>
      </c>
      <c r="AB1019" s="18" t="n">
        <f aca="false">IF(D1019="","",IF(L1019&lt;=$B$16,1,IF(L1019&gt;=$B$17,$B$21,MATCH(L1019,Aux_CAV!$A$2:$A$121,1))))</f>
        <v>22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0.216059113161411</v>
      </c>
      <c r="E1020" s="16" t="n">
        <f aca="false">IF(D1020="","",D1020*$B$15)</f>
        <v>0.560025221314377</v>
      </c>
      <c r="F1020" s="16" t="n">
        <f aca="false" t="array" ref="F1020:F1020">IF(D1020="","",IFERROR(INDEX(Dados_Evap!$C$2:$N$15,MATCH($B$9,Dados_Evap!$A$2:$A$15,0),C1020),0))</f>
        <v>189</v>
      </c>
      <c r="G1020" s="16" t="n">
        <f aca="false">IF(F1020="","",F1020/1000)</f>
        <v>0.189</v>
      </c>
      <c r="H1020" s="16" t="n">
        <f aca="false">IF(D1020="","",MAX(0,MIN($B$8,IFERROR(LOOKUP(2,1/($U$24:U1019&lt;&gt;""),$U$24:U1019),$B$11))))</f>
        <v>136.866049352756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13.9530783503715</v>
      </c>
      <c r="J1020" s="16" t="n">
        <f aca="false">IF(D1020="","",$B$12)</f>
        <v>0.432</v>
      </c>
      <c r="K1020" s="16" t="n">
        <f aca="false">IF(J1020="","",J1020*$B$15)</f>
        <v>1.119744</v>
      </c>
      <c r="L1020" s="16" t="n">
        <f aca="false">IF(D1020="","",H1020+E1020-K1020-G1020*I1020)</f>
        <v>133.66919876585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13.7203259995091</v>
      </c>
      <c r="N1020" s="16" t="n">
        <f aca="false">IF(D1020="","",(I1020+M1020)/2)</f>
        <v>13.8367021749403</v>
      </c>
      <c r="O1020" s="16" t="n">
        <f aca="false">IF(D1020="","",G1020*N1020)</f>
        <v>2.61513671106372</v>
      </c>
      <c r="P1020" s="16" t="n">
        <f aca="false">IF(D1020="","",H1020+E1020-K1020-O1020)</f>
        <v>133.691193863007</v>
      </c>
      <c r="Q1020" s="16" t="n">
        <f aca="false">IF(D1020="","",IF(P1020&gt;=0,K1020,MAX(0,K1020+P1020)))</f>
        <v>1.119744</v>
      </c>
      <c r="R1020" s="16" t="n">
        <f aca="false">IF(D1020="","",Q1020/$B$15)</f>
        <v>0.432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133.691193863007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82.5254283104981</v>
      </c>
      <c r="Z1020" s="18" t="n">
        <f aca="false">IF(D1020="","",MAX(0,IF(P1020&gt;=0,P1020,IF(K1020+P1020&gt;=0,0,P1020+K1020))))</f>
        <v>133.691193863007</v>
      </c>
      <c r="AA1020" s="18" t="n">
        <f aca="false">IF(D1020="","",IF(H1020&lt;=$B$16,1,IF(H1020&gt;=$B$17,$B$21,MATCH(H1020,Aux_CAV!$A$2:$A$121,1))))</f>
        <v>22</v>
      </c>
      <c r="AB1020" s="18" t="n">
        <f aca="false">IF(D1020="","",IF(L1020&lt;=$B$16,1,IF(L1020&gt;=$B$17,$B$21,MATCH(L1020,Aux_CAV!$A$2:$A$121,1))))</f>
        <v>22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0.224069692132082</v>
      </c>
      <c r="E1021" s="16" t="n">
        <f aca="false">IF(D1021="","",D1021*$B$15)</f>
        <v>0.580788642006357</v>
      </c>
      <c r="F1021" s="16" t="n">
        <f aca="false" t="array" ref="F1021:F1021">IF(D1021="","",IFERROR(INDEX(Dados_Evap!$C$2:$N$15,MATCH($B$9,Dados_Evap!$A$2:$A$15,0),C1021),0))</f>
        <v>136.9</v>
      </c>
      <c r="G1021" s="16" t="n">
        <f aca="false">IF(F1021="","",F1021/1000)</f>
        <v>0.1369</v>
      </c>
      <c r="H1021" s="16" t="n">
        <f aca="false">IF(D1021="","",MAX(0,MIN($B$8,IFERROR(LOOKUP(2,1/($U$24:U1020&lt;&gt;""),$U$24:U1020),$B$11))))</f>
        <v>133.691193863007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13.7219273913888</v>
      </c>
      <c r="J1021" s="16" t="n">
        <f aca="false">IF(D1021="","",$B$12)</f>
        <v>0.432</v>
      </c>
      <c r="K1021" s="16" t="n">
        <f aca="false">IF(J1021="","",J1021*$B$15)</f>
        <v>1.119744</v>
      </c>
      <c r="L1021" s="16" t="n">
        <f aca="false">IF(D1021="","",H1021+E1021-K1021-G1021*I1021)</f>
        <v>131.273706645132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13.5459179665365</v>
      </c>
      <c r="N1021" s="16" t="n">
        <f aca="false">IF(D1021="","",(I1021+M1021)/2)</f>
        <v>13.6339226789627</v>
      </c>
      <c r="O1021" s="16" t="n">
        <f aca="false">IF(D1021="","",G1021*N1021)</f>
        <v>1.86648401474999</v>
      </c>
      <c r="P1021" s="16" t="n">
        <f aca="false">IF(D1021="","",H1021+E1021-K1021-O1021)</f>
        <v>131.285754490263</v>
      </c>
      <c r="Q1021" s="16" t="n">
        <f aca="false">IF(D1021="","",IF(P1021&gt;=0,K1021,MAX(0,K1021+P1021)))</f>
        <v>1.119744</v>
      </c>
      <c r="R1021" s="16" t="n">
        <f aca="false">IF(D1021="","",Q1021/$B$15)</f>
        <v>0.432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131.285754490263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81.0405891915206</v>
      </c>
      <c r="Z1021" s="18" t="n">
        <f aca="false">IF(D1021="","",MAX(0,IF(P1021&gt;=0,P1021,IF(K1021+P1021&gt;=0,0,P1021+K1021))))</f>
        <v>131.285754490263</v>
      </c>
      <c r="AA1021" s="18" t="n">
        <f aca="false">IF(D1021="","",IF(H1021&lt;=$B$16,1,IF(H1021&gt;=$B$17,$B$21,MATCH(H1021,Aux_CAV!$A$2:$A$121,1))))</f>
        <v>22</v>
      </c>
      <c r="AB1021" s="18" t="n">
        <f aca="false">IF(D1021="","",IF(L1021&lt;=$B$16,1,IF(L1021&gt;=$B$17,$B$21,MATCH(L1021,Aux_CAV!$A$2:$A$121,1))))</f>
        <v>22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0.472710656296041</v>
      </c>
      <c r="E1022" s="16" t="n">
        <f aca="false">IF(D1022="","",D1022*$B$15)</f>
        <v>1.22526602111934</v>
      </c>
      <c r="F1022" s="16" t="n">
        <f aca="false" t="array" ref="F1022:F1022">IF(D1022="","",IFERROR(INDEX(Dados_Evap!$C$2:$N$15,MATCH($B$9,Dados_Evap!$A$2:$A$15,0),C1022),0))</f>
        <v>102.9</v>
      </c>
      <c r="G1022" s="16" t="n">
        <f aca="false">IF(F1022="","",F1022/1000)</f>
        <v>0.1029</v>
      </c>
      <c r="H1022" s="16" t="n">
        <f aca="false">IF(D1022="","",MAX(0,MIN($B$8,IFERROR(LOOKUP(2,1/($U$24:U1021&lt;&gt;""),$U$24:U1021),$B$11))))</f>
        <v>131.285754490263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13.5467951311711</v>
      </c>
      <c r="J1022" s="16" t="n">
        <f aca="false">IF(D1022="","",$B$12)</f>
        <v>0.432</v>
      </c>
      <c r="K1022" s="16" t="n">
        <f aca="false">IF(J1022="","",J1022*$B$15)</f>
        <v>1.119744</v>
      </c>
      <c r="L1022" s="16" t="n">
        <f aca="false">IF(D1022="","",H1022+E1022-K1022-G1022*I1022)</f>
        <v>129.997311292385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13.4529877494664</v>
      </c>
      <c r="N1022" s="16" t="n">
        <f aca="false">IF(D1022="","",(I1022+M1022)/2)</f>
        <v>13.4998914403188</v>
      </c>
      <c r="O1022" s="16" t="n">
        <f aca="false">IF(D1022="","",G1022*N1022)</f>
        <v>1.3891388292088</v>
      </c>
      <c r="P1022" s="16" t="n">
        <f aca="false">IF(D1022="","",H1022+E1022-K1022-O1022)</f>
        <v>130.002137682174</v>
      </c>
      <c r="Q1022" s="16" t="n">
        <f aca="false">IF(D1022="","",IF(P1022&gt;=0,K1022,MAX(0,K1022+P1022)))</f>
        <v>1.119744</v>
      </c>
      <c r="R1022" s="16" t="n">
        <f aca="false">IF(D1022="","",Q1022/$B$15)</f>
        <v>0.432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130.002137682174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80.2482331371443</v>
      </c>
      <c r="Z1022" s="18" t="n">
        <f aca="false">IF(D1022="","",MAX(0,IF(P1022&gt;=0,P1022,IF(K1022+P1022&gt;=0,0,P1022+K1022))))</f>
        <v>130.002137682174</v>
      </c>
      <c r="AA1022" s="18" t="n">
        <f aca="false">IF(D1022="","",IF(H1022&lt;=$B$16,1,IF(H1022&gt;=$B$17,$B$21,MATCH(H1022,Aux_CAV!$A$2:$A$121,1))))</f>
        <v>22</v>
      </c>
      <c r="AB1022" s="18" t="n">
        <f aca="false">IF(D1022="","",IF(L1022&lt;=$B$16,1,IF(L1022&gt;=$B$17,$B$21,MATCH(L1022,Aux_CAV!$A$2:$A$121,1))))</f>
        <v>22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0.492847784668509</v>
      </c>
      <c r="E1023" s="16" t="n">
        <f aca="false">IF(D1023="","",D1023*$B$15)</f>
        <v>1.27746145786078</v>
      </c>
      <c r="F1023" s="16" t="n">
        <f aca="false" t="array" ref="F1023:F1023">IF(D1023="","",IFERROR(INDEX(Dados_Evap!$C$2:$N$15,MATCH($B$9,Dados_Evap!$A$2:$A$15,0),C1023),0))</f>
        <v>81.8</v>
      </c>
      <c r="G1023" s="16" t="n">
        <f aca="false">IF(F1023="","",F1023/1000)</f>
        <v>0.0818</v>
      </c>
      <c r="H1023" s="16" t="n">
        <f aca="false">IF(D1023="","",MAX(0,MIN($B$8,IFERROR(LOOKUP(2,1/($U$24:U1022&lt;&gt;""),$U$24:U1022),$B$11))))</f>
        <v>130.002137682174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13.4533391432957</v>
      </c>
      <c r="J1023" s="16" t="n">
        <f aca="false">IF(D1023="","",$B$12)</f>
        <v>0.432</v>
      </c>
      <c r="K1023" s="16" t="n">
        <f aca="false">IF(J1023="","",J1023*$B$15)</f>
        <v>1.119744</v>
      </c>
      <c r="L1023" s="16" t="n">
        <f aca="false">IF(D1023="","",H1023+E1023-K1023-G1023*I1023)</f>
        <v>129.059371998113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13.3846994232611</v>
      </c>
      <c r="N1023" s="16" t="n">
        <f aca="false">IF(D1023="","",(I1023+M1023)/2)</f>
        <v>13.4190192832784</v>
      </c>
      <c r="O1023" s="16" t="n">
        <f aca="false">IF(D1023="","",G1023*N1023)</f>
        <v>1.09767577737218</v>
      </c>
      <c r="P1023" s="16" t="n">
        <f aca="false">IF(D1023="","",H1023+E1023-K1023-O1023)</f>
        <v>129.062179362662</v>
      </c>
      <c r="Q1023" s="16" t="n">
        <f aca="false">IF(D1023="","",IF(P1023&gt;=0,K1023,MAX(0,K1023+P1023)))</f>
        <v>1.119744</v>
      </c>
      <c r="R1023" s="16" t="n">
        <f aca="false">IF(D1023="","",Q1023/$B$15)</f>
        <v>0.432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129.062179362662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79.6680119522607</v>
      </c>
      <c r="Z1023" s="18" t="n">
        <f aca="false">IF(D1023="","",MAX(0,IF(P1023&gt;=0,P1023,IF(K1023+P1023&gt;=0,0,P1023+K1023))))</f>
        <v>129.062179362662</v>
      </c>
      <c r="AA1023" s="18" t="n">
        <f aca="false">IF(D1023="","",IF(H1023&lt;=$B$16,1,IF(H1023&gt;=$B$17,$B$21,MATCH(H1023,Aux_CAV!$A$2:$A$121,1))))</f>
        <v>22</v>
      </c>
      <c r="AB1023" s="18" t="n">
        <f aca="false">IF(D1023="","",IF(L1023&lt;=$B$16,1,IF(L1023&gt;=$B$17,$B$21,MATCH(L1023,Aux_CAV!$A$2:$A$121,1))))</f>
        <v>22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0.248875034745688</v>
      </c>
      <c r="E1024" s="16" t="n">
        <f aca="false">IF(D1024="","",D1024*$B$15)</f>
        <v>0.645084090060823</v>
      </c>
      <c r="F1024" s="16" t="n">
        <f aca="false" t="array" ref="F1024:F1024">IF(D1024="","",IFERROR(INDEX(Dados_Evap!$C$2:$N$15,MATCH($B$9,Dados_Evap!$A$2:$A$15,0),C1024),0))</f>
        <v>83.6</v>
      </c>
      <c r="G1024" s="16" t="n">
        <f aca="false">IF(F1024="","",F1024/1000)</f>
        <v>0.0836</v>
      </c>
      <c r="H1024" s="16" t="n">
        <f aca="false">IF(D1024="","",MAX(0,MIN($B$8,IFERROR(LOOKUP(2,1/($U$24:U1023&lt;&gt;""),$U$24:U1023),$B$11))))</f>
        <v>129.062179362662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13.3849038183934</v>
      </c>
      <c r="J1024" s="16" t="n">
        <f aca="false">IF(D1024="","",$B$12)</f>
        <v>0.432</v>
      </c>
      <c r="K1024" s="16" t="n">
        <f aca="false">IF(J1024="","",J1024*$B$15)</f>
        <v>1.119744</v>
      </c>
      <c r="L1024" s="16" t="n">
        <f aca="false">IF(D1024="","",H1024+E1024-K1024-G1024*I1024)</f>
        <v>127.468541493506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13.26887619984</v>
      </c>
      <c r="N1024" s="16" t="n">
        <f aca="false">IF(D1024="","",(I1024+M1024)/2)</f>
        <v>13.3268900091167</v>
      </c>
      <c r="O1024" s="16" t="n">
        <f aca="false">IF(D1024="","",G1024*N1024)</f>
        <v>1.11412800476216</v>
      </c>
      <c r="P1024" s="16" t="n">
        <f aca="false">IF(D1024="","",H1024+E1024-K1024-O1024)</f>
        <v>127.473391447961</v>
      </c>
      <c r="Q1024" s="16" t="n">
        <f aca="false">IF(D1024="","",IF(P1024&gt;=0,K1024,MAX(0,K1024+P1024)))</f>
        <v>1.119744</v>
      </c>
      <c r="R1024" s="16" t="n">
        <f aca="false">IF(D1024="","",Q1024/$B$15)</f>
        <v>0.432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127.473391447961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78.6872786715809</v>
      </c>
      <c r="Z1024" s="18" t="n">
        <f aca="false">IF(D1024="","",MAX(0,IF(P1024&gt;=0,P1024,IF(K1024+P1024&gt;=0,0,P1024+K1024))))</f>
        <v>127.473391447961</v>
      </c>
      <c r="AA1024" s="18" t="n">
        <f aca="false">IF(D1024="","",IF(H1024&lt;=$B$16,1,IF(H1024&gt;=$B$17,$B$21,MATCH(H1024,Aux_CAV!$A$2:$A$121,1))))</f>
        <v>22</v>
      </c>
      <c r="AB1024" s="18" t="n">
        <f aca="false">IF(D1024="","",IF(L1024&lt;=$B$16,1,IF(L1024&gt;=$B$17,$B$21,MATCH(L1024,Aux_CAV!$A$2:$A$121,1))))</f>
        <v>22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0.226744799774932</v>
      </c>
      <c r="E1025" s="16" t="n">
        <f aca="false">IF(D1025="","",D1025*$B$15)</f>
        <v>0.587722521016624</v>
      </c>
      <c r="F1025" s="16" t="n">
        <f aca="false" t="array" ref="F1025:F1025">IF(D1025="","",IFERROR(INDEX(Dados_Evap!$C$2:$N$15,MATCH($B$9,Dados_Evap!$A$2:$A$15,0),C1025),0))</f>
        <v>108.2</v>
      </c>
      <c r="G1025" s="16" t="n">
        <f aca="false">IF(F1025="","",F1025/1000)</f>
        <v>0.1082</v>
      </c>
      <c r="H1025" s="16" t="n">
        <f aca="false">IF(D1025="","",MAX(0,MIN($B$8,IFERROR(LOOKUP(2,1/($U$24:U1024&lt;&gt;""),$U$24:U1024),$B$11))))</f>
        <v>127.473391447961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13.2692293093365</v>
      </c>
      <c r="J1025" s="16" t="n">
        <f aca="false">IF(D1025="","",$B$12)</f>
        <v>0.432</v>
      </c>
      <c r="K1025" s="16" t="n">
        <f aca="false">IF(J1025="","",J1025*$B$15)</f>
        <v>1.119744</v>
      </c>
      <c r="L1025" s="16" t="n">
        <f aca="false">IF(D1025="","",H1025+E1025-K1025-G1025*I1025)</f>
        <v>125.505639357707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13.1259636444359</v>
      </c>
      <c r="N1025" s="16" t="n">
        <f aca="false">IF(D1025="","",(I1025+M1025)/2)</f>
        <v>13.1975964768862</v>
      </c>
      <c r="O1025" s="16" t="n">
        <f aca="false">IF(D1025="","",G1025*N1025)</f>
        <v>1.42797993879909</v>
      </c>
      <c r="P1025" s="16" t="n">
        <f aca="false">IF(D1025="","",H1025+E1025-K1025-O1025)</f>
        <v>125.513390030179</v>
      </c>
      <c r="Q1025" s="16" t="n">
        <f aca="false">IF(D1025="","",IF(P1025&gt;=0,K1025,MAX(0,K1025+P1025)))</f>
        <v>1.119744</v>
      </c>
      <c r="R1025" s="16" t="n">
        <f aca="false">IF(D1025="","",Q1025/$B$15)</f>
        <v>0.432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125.513390030179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77.4774012531967</v>
      </c>
      <c r="Z1025" s="18" t="n">
        <f aca="false">IF(D1025="","",MAX(0,IF(P1025&gt;=0,P1025,IF(K1025+P1025&gt;=0,0,P1025+K1025))))</f>
        <v>125.513390030179</v>
      </c>
      <c r="AA1025" s="18" t="n">
        <f aca="false">IF(D1025="","",IF(H1025&lt;=$B$16,1,IF(H1025&gt;=$B$17,$B$21,MATCH(H1025,Aux_CAV!$A$2:$A$121,1))))</f>
        <v>22</v>
      </c>
      <c r="AB1025" s="18" t="n">
        <f aca="false">IF(D1025="","",IF(L1025&lt;=$B$16,1,IF(L1025&gt;=$B$17,$B$21,MATCH(L1025,Aux_CAV!$A$2:$A$121,1))))</f>
        <v>22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0.308275259656485</v>
      </c>
      <c r="E1026" s="16" t="n">
        <f aca="false">IF(D1026="","",D1026*$B$15)</f>
        <v>0.799049473029609</v>
      </c>
      <c r="F1026" s="16" t="n">
        <f aca="false" t="array" ref="F1026:F1026">IF(D1026="","",IFERROR(INDEX(Dados_Evap!$C$2:$N$15,MATCH($B$9,Dados_Evap!$A$2:$A$15,0),C1026),0))</f>
        <v>149</v>
      </c>
      <c r="G1026" s="16" t="n">
        <f aca="false">IF(F1026="","",F1026/1000)</f>
        <v>0.149</v>
      </c>
      <c r="H1026" s="16" t="n">
        <f aca="false">IF(D1026="","",MAX(0,MIN($B$8,IFERROR(LOOKUP(2,1/($U$24:U1025&lt;&gt;""),$U$24:U1025),$B$11))))</f>
        <v>125.513390030179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13.1265279458286</v>
      </c>
      <c r="J1026" s="16" t="n">
        <f aca="false">IF(D1026="","",$B$12)</f>
        <v>0.432</v>
      </c>
      <c r="K1026" s="16" t="n">
        <f aca="false">IF(J1026="","",J1026*$B$15)</f>
        <v>1.119744</v>
      </c>
      <c r="L1026" s="16" t="n">
        <f aca="false">IF(D1026="","",H1026+E1026-K1026-G1026*I1026)</f>
        <v>123.23684283928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12.9607799084629</v>
      </c>
      <c r="N1026" s="16" t="n">
        <f aca="false">IF(D1026="","",(I1026+M1026)/2)</f>
        <v>13.0436539271458</v>
      </c>
      <c r="O1026" s="16" t="n">
        <f aca="false">IF(D1026="","",G1026*N1026)</f>
        <v>1.94350443514472</v>
      </c>
      <c r="P1026" s="16" t="n">
        <f aca="false">IF(D1026="","",H1026+E1026-K1026-O1026)</f>
        <v>123.249191068064</v>
      </c>
      <c r="Q1026" s="16" t="n">
        <f aca="false">IF(D1026="","",IF(P1026&gt;=0,K1026,MAX(0,K1026+P1026)))</f>
        <v>1.119744</v>
      </c>
      <c r="R1026" s="16" t="n">
        <f aca="false">IF(D1026="","",Q1026/$B$15)</f>
        <v>0.432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123.249191068064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76.0797475728787</v>
      </c>
      <c r="Z1026" s="18" t="n">
        <f aca="false">IF(D1026="","",MAX(0,IF(P1026&gt;=0,P1026,IF(K1026+P1026&gt;=0,0,P1026+K1026))))</f>
        <v>123.249191068064</v>
      </c>
      <c r="AA1026" s="18" t="n">
        <f aca="false">IF(D1026="","",IF(H1026&lt;=$B$16,1,IF(H1026&gt;=$B$17,$B$21,MATCH(H1026,Aux_CAV!$A$2:$A$121,1))))</f>
        <v>22</v>
      </c>
      <c r="AB1026" s="18" t="n">
        <f aca="false">IF(D1026="","",IF(L1026&lt;=$B$16,1,IF(L1026&gt;=$B$17,$B$21,MATCH(L1026,Aux_CAV!$A$2:$A$121,1))))</f>
        <v>22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0.0987156644538974</v>
      </c>
      <c r="E1027" s="16" t="n">
        <f aca="false">IF(D1027="","",D1027*$B$15)</f>
        <v>0.255871002264502</v>
      </c>
      <c r="F1027" s="16" t="n">
        <f aca="false" t="array" ref="F1027:F1027">IF(D1027="","",IFERROR(INDEX(Dados_Evap!$C$2:$N$15,MATCH($B$9,Dados_Evap!$A$2:$A$15,0),C1027),0))</f>
        <v>206.8</v>
      </c>
      <c r="G1027" s="16" t="n">
        <f aca="false">IF(F1027="","",F1027/1000)</f>
        <v>0.2068</v>
      </c>
      <c r="H1027" s="16" t="n">
        <f aca="false">IF(D1027="","",MAX(0,MIN($B$8,IFERROR(LOOKUP(2,1/($U$24:U1026&lt;&gt;""),$U$24:U1026),$B$11))))</f>
        <v>123.249191068064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12.9616789430597</v>
      </c>
      <c r="J1027" s="16" t="n">
        <f aca="false">IF(D1027="","",$B$12)</f>
        <v>0.432</v>
      </c>
      <c r="K1027" s="16" t="n">
        <f aca="false">IF(J1027="","",J1027*$B$15)</f>
        <v>1.119744</v>
      </c>
      <c r="L1027" s="16" t="n">
        <f aca="false">IF(D1027="","",H1027+E1027-K1027-G1027*I1027)</f>
        <v>119.704842864903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12.7036264147559</v>
      </c>
      <c r="N1027" s="16" t="n">
        <f aca="false">IF(D1027="","",(I1027+M1027)/2)</f>
        <v>12.8326526789078</v>
      </c>
      <c r="O1027" s="16" t="n">
        <f aca="false">IF(D1027="","",G1027*N1027)</f>
        <v>2.65379257399813</v>
      </c>
      <c r="P1027" s="16" t="n">
        <f aca="false">IF(D1027="","",H1027+E1027-K1027-O1027)</f>
        <v>119.73152549633</v>
      </c>
      <c r="Q1027" s="16" t="n">
        <f aca="false">IF(D1027="","",IF(P1027&gt;=0,K1027,MAX(0,K1027+P1027)))</f>
        <v>1.119744</v>
      </c>
      <c r="R1027" s="16" t="n">
        <f aca="false">IF(D1027="","",Q1027/$B$15)</f>
        <v>0.432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119.73152549633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73.9083490718086</v>
      </c>
      <c r="Z1027" s="18" t="n">
        <f aca="false">IF(D1027="","",MAX(0,IF(P1027&gt;=0,P1027,IF(K1027+P1027&gt;=0,0,P1027+K1027))))</f>
        <v>119.73152549633</v>
      </c>
      <c r="AA1027" s="18" t="n">
        <f aca="false">IF(D1027="","",IF(H1027&lt;=$B$16,1,IF(H1027&gt;=$B$17,$B$21,MATCH(H1027,Aux_CAV!$A$2:$A$121,1))))</f>
        <v>22</v>
      </c>
      <c r="AB1027" s="18" t="n">
        <f aca="false">IF(D1027="","",IF(L1027&lt;=$B$16,1,IF(L1027&gt;=$B$17,$B$21,MATCH(L1027,Aux_CAV!$A$2:$A$121,1))))</f>
        <v>22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0.0769344748368028</v>
      </c>
      <c r="E1028" s="16" t="n">
        <f aca="false">IF(D1028="","",D1028*$B$15)</f>
        <v>0.199414158776993</v>
      </c>
      <c r="F1028" s="16" t="n">
        <f aca="false" t="array" ref="F1028:F1028">IF(D1028="","",IFERROR(INDEX(Dados_Evap!$C$2:$N$15,MATCH($B$9,Dados_Evap!$A$2:$A$15,0),C1028),0))</f>
        <v>245.9</v>
      </c>
      <c r="G1028" s="16" t="n">
        <f aca="false">IF(F1028="","",F1028/1000)</f>
        <v>0.2459</v>
      </c>
      <c r="H1028" s="16" t="n">
        <f aca="false">IF(D1028="","",MAX(0,MIN($B$8,IFERROR(LOOKUP(2,1/($U$24:U1027&lt;&gt;""),$U$24:U1027),$B$11))))</f>
        <v>119.73152549633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12.7055690908438</v>
      </c>
      <c r="J1028" s="16" t="n">
        <f aca="false">IF(D1028="","",$B$12)</f>
        <v>0.432</v>
      </c>
      <c r="K1028" s="16" t="n">
        <f aca="false">IF(J1028="","",J1028*$B$15)</f>
        <v>1.119744</v>
      </c>
      <c r="L1028" s="16" t="n">
        <f aca="false">IF(D1028="","",H1028+E1028-K1028-G1028*I1028)</f>
        <v>115.686896215668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12.4110927154708</v>
      </c>
      <c r="N1028" s="16" t="n">
        <f aca="false">IF(D1028="","",(I1028+M1028)/2)</f>
        <v>12.5583309031573</v>
      </c>
      <c r="O1028" s="16" t="n">
        <f aca="false">IF(D1028="","",G1028*N1028)</f>
        <v>3.08809356908638</v>
      </c>
      <c r="P1028" s="16" t="n">
        <f aca="false">IF(D1028="","",H1028+E1028-K1028-O1028)</f>
        <v>115.72310208602</v>
      </c>
      <c r="Q1028" s="16" t="n">
        <f aca="false">IF(D1028="","",IF(P1028&gt;=0,K1028,MAX(0,K1028+P1028)))</f>
        <v>1.119744</v>
      </c>
      <c r="R1028" s="16" t="n">
        <f aca="false">IF(D1028="","",Q1028/$B$15)</f>
        <v>0.432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115.72310208602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71.434013633346</v>
      </c>
      <c r="Z1028" s="18" t="n">
        <f aca="false">IF(D1028="","",MAX(0,IF(P1028&gt;=0,P1028,IF(K1028+P1028&gt;=0,0,P1028+K1028))))</f>
        <v>115.72310208602</v>
      </c>
      <c r="AA1028" s="18" t="n">
        <f aca="false">IF(D1028="","",IF(H1028&lt;=$B$16,1,IF(H1028&gt;=$B$17,$B$21,MATCH(H1028,Aux_CAV!$A$2:$A$121,1))))</f>
        <v>22</v>
      </c>
      <c r="AB1028" s="18" t="n">
        <f aca="false">IF(D1028="","",IF(L1028&lt;=$B$16,1,IF(L1028&gt;=$B$17,$B$21,MATCH(L1028,Aux_CAV!$A$2:$A$121,1))))</f>
        <v>22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0.0808701162206442</v>
      </c>
      <c r="E1029" s="16" t="n">
        <f aca="false">IF(D1029="","",D1029*$B$15)</f>
        <v>0.20961534124391</v>
      </c>
      <c r="F1029" s="16" t="n">
        <f aca="false" t="array" ref="F1029:F1029">IF(D1029="","",IFERROR(INDEX(Dados_Evap!$C$2:$N$15,MATCH($B$9,Dados_Evap!$A$2:$A$15,0),C1029),0))</f>
        <v>282.3</v>
      </c>
      <c r="G1029" s="16" t="n">
        <f aca="false">IF(F1029="","",F1029/1000)</f>
        <v>0.2823</v>
      </c>
      <c r="H1029" s="16" t="n">
        <f aca="false">IF(D1029="","",MAX(0,MIN($B$8,IFERROR(LOOKUP(2,1/($U$24:U1028&lt;&gt;""),$U$24:U1028),$B$11))))</f>
        <v>115.72310208602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12.4137287477815</v>
      </c>
      <c r="J1029" s="16" t="n">
        <f aca="false">IF(D1029="","",$B$12)</f>
        <v>0.432</v>
      </c>
      <c r="K1029" s="16" t="n">
        <f aca="false">IF(J1029="","",J1029*$B$15)</f>
        <v>1.119744</v>
      </c>
      <c r="L1029" s="16" t="n">
        <f aca="false">IF(D1029="","",H1029+E1029-K1029-G1029*I1029)</f>
        <v>111.308577801766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12.0923215136404</v>
      </c>
      <c r="N1029" s="16" t="n">
        <f aca="false">IF(D1029="","",(I1029+M1029)/2)</f>
        <v>12.2530251307109</v>
      </c>
      <c r="O1029" s="16" t="n">
        <f aca="false">IF(D1029="","",G1029*N1029)</f>
        <v>3.4590289943997</v>
      </c>
      <c r="P1029" s="16" t="n">
        <f aca="false">IF(D1029="","",H1029+E1029-K1029-O1029)</f>
        <v>111.353944432865</v>
      </c>
      <c r="Q1029" s="16" t="n">
        <f aca="false">IF(D1029="","",IF(P1029&gt;=0,K1029,MAX(0,K1029+P1029)))</f>
        <v>1.119744</v>
      </c>
      <c r="R1029" s="16" t="n">
        <f aca="false">IF(D1029="","",Q1029/$B$15)</f>
        <v>0.432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111.353944432865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68.7370027363362</v>
      </c>
      <c r="Z1029" s="18" t="n">
        <f aca="false">IF(D1029="","",MAX(0,IF(P1029&gt;=0,P1029,IF(K1029+P1029&gt;=0,0,P1029+K1029))))</f>
        <v>111.353944432865</v>
      </c>
      <c r="AA1029" s="18" t="n">
        <f aca="false">IF(D1029="","",IF(H1029&lt;=$B$16,1,IF(H1029&gt;=$B$17,$B$21,MATCH(H1029,Aux_CAV!$A$2:$A$121,1))))</f>
        <v>22</v>
      </c>
      <c r="AB1029" s="18" t="n">
        <f aca="false">IF(D1029="","",IF(L1029&lt;=$B$16,1,IF(L1029&gt;=$B$17,$B$21,MATCH(L1029,Aux_CAV!$A$2:$A$121,1))))</f>
        <v>22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0.0624730966255997</v>
      </c>
      <c r="E1030" s="16" t="n">
        <f aca="false">IF(D1030="","",D1030*$B$15)</f>
        <v>0.161930266453554</v>
      </c>
      <c r="F1030" s="16" t="n">
        <f aca="false" t="array" ref="F1030:F1030">IF(D1030="","",IFERROR(INDEX(Dados_Evap!$C$2:$N$15,MATCH($B$9,Dados_Evap!$A$2:$A$15,0),C1030),0))</f>
        <v>241.3</v>
      </c>
      <c r="G1030" s="16" t="n">
        <f aca="false">IF(F1030="","",F1030/1000)</f>
        <v>0.2413</v>
      </c>
      <c r="H1030" s="16" t="n">
        <f aca="false">IF(D1030="","",MAX(0,MIN($B$8,IFERROR(LOOKUP(2,1/($U$24:U1029&lt;&gt;""),$U$24:U1029),$B$11))))</f>
        <v>111.353944432865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12.0956245113101</v>
      </c>
      <c r="J1030" s="16" t="n">
        <f aca="false">IF(D1030="","",$B$12)</f>
        <v>0.432</v>
      </c>
      <c r="K1030" s="16" t="n">
        <f aca="false">IF(J1030="","",J1030*$B$15)</f>
        <v>1.119744</v>
      </c>
      <c r="L1030" s="16" t="n">
        <f aca="false">IF(D1030="","",H1030+E1030-K1030-G1030*I1030)</f>
        <v>107.477456504739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11.8133899639538</v>
      </c>
      <c r="N1030" s="16" t="n">
        <f aca="false">IF(D1030="","",(I1030+M1030)/2)</f>
        <v>11.954507237632</v>
      </c>
      <c r="O1030" s="16" t="n">
        <f aca="false">IF(D1030="","",G1030*N1030)</f>
        <v>2.8846225964406</v>
      </c>
      <c r="P1030" s="16" t="n">
        <f aca="false">IF(D1030="","",H1030+E1030-K1030-O1030)</f>
        <v>107.511508102878</v>
      </c>
      <c r="Q1030" s="16" t="n">
        <f aca="false">IF(D1030="","",IF(P1030&gt;=0,K1030,MAX(0,K1030+P1030)))</f>
        <v>1.119744</v>
      </c>
      <c r="R1030" s="16" t="n">
        <f aca="false">IF(D1030="","",Q1030/$B$15)</f>
        <v>0.432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107.511508102878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66.3651284585665</v>
      </c>
      <c r="Z1030" s="18" t="n">
        <f aca="false">IF(D1030="","",MAX(0,IF(P1030&gt;=0,P1030,IF(K1030+P1030&gt;=0,0,P1030+K1030))))</f>
        <v>107.511508102878</v>
      </c>
      <c r="AA1030" s="18" t="n">
        <f aca="false">IF(D1030="","",IF(H1030&lt;=$B$16,1,IF(H1030&gt;=$B$17,$B$21,MATCH(H1030,Aux_CAV!$A$2:$A$121,1))))</f>
        <v>22</v>
      </c>
      <c r="AB1030" s="18" t="n">
        <f aca="false">IF(D1030="","",IF(L1030&lt;=$B$16,1,IF(L1030&gt;=$B$17,$B$21,MATCH(L1030,Aux_CAV!$A$2:$A$121,1))))</f>
        <v>22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0.0640509931812681</v>
      </c>
      <c r="E1031" s="16" t="n">
        <f aca="false">IF(D1031="","",D1031*$B$15)</f>
        <v>0.166020174325847</v>
      </c>
      <c r="F1031" s="16" t="n">
        <f aca="false" t="array" ref="F1031:F1031">IF(D1031="","",IFERROR(INDEX(Dados_Evap!$C$2:$N$15,MATCH($B$9,Dados_Evap!$A$2:$A$15,0),C1031),0))</f>
        <v>241.8</v>
      </c>
      <c r="G1031" s="16" t="n">
        <f aca="false">IF(F1031="","",F1031/1000)</f>
        <v>0.2418</v>
      </c>
      <c r="H1031" s="16" t="n">
        <f aca="false">IF(D1031="","",MAX(0,MIN($B$8,IFERROR(LOOKUP(2,1/($U$24:U1030&lt;&gt;""),$U$24:U1030),$B$11))))</f>
        <v>107.511508102878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11.8158691506727</v>
      </c>
      <c r="J1031" s="16" t="n">
        <f aca="false">IF(D1031="","",$B$12)</f>
        <v>0.432</v>
      </c>
      <c r="K1031" s="16" t="n">
        <f aca="false">IF(J1031="","",J1031*$B$15)</f>
        <v>1.119744</v>
      </c>
      <c r="L1031" s="16" t="n">
        <f aca="false">IF(D1031="","",H1031+E1031-K1031-G1031*I1031)</f>
        <v>103.700707116571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11.5384170570826</v>
      </c>
      <c r="N1031" s="16" t="n">
        <f aca="false">IF(D1031="","",(I1031+M1031)/2)</f>
        <v>11.6771431038777</v>
      </c>
      <c r="O1031" s="16" t="n">
        <f aca="false">IF(D1031="","",G1031*N1031)</f>
        <v>2.82353320251762</v>
      </c>
      <c r="P1031" s="16" t="n">
        <f aca="false">IF(D1031="","",H1031+E1031-K1031-O1031)</f>
        <v>103.734251074686</v>
      </c>
      <c r="Q1031" s="16" t="n">
        <f aca="false">IF(D1031="","",IF(P1031&gt;=0,K1031,MAX(0,K1031+P1031)))</f>
        <v>1.119744</v>
      </c>
      <c r="R1031" s="16" t="n">
        <f aca="false">IF(D1031="","",Q1031/$B$15)</f>
        <v>0.432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103.734251074686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64.0334883177073</v>
      </c>
      <c r="Z1031" s="18" t="n">
        <f aca="false">IF(D1031="","",MAX(0,IF(P1031&gt;=0,P1031,IF(K1031+P1031&gt;=0,0,P1031+K1031))))</f>
        <v>103.734251074686</v>
      </c>
      <c r="AA1031" s="18" t="n">
        <f aca="false">IF(D1031="","",IF(H1031&lt;=$B$16,1,IF(H1031&gt;=$B$17,$B$21,MATCH(H1031,Aux_CAV!$A$2:$A$121,1))))</f>
        <v>22</v>
      </c>
      <c r="AB1031" s="18" t="n">
        <f aca="false">IF(D1031="","",IF(L1031&lt;=$B$16,1,IF(L1031&gt;=$B$17,$B$21,MATCH(L1031,Aux_CAV!$A$2:$A$121,1))))</f>
        <v>22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0.187845820049995</v>
      </c>
      <c r="E1032" s="16" t="n">
        <f aca="false">IF(D1032="","",D1032*$B$15)</f>
        <v>0.486896365569587</v>
      </c>
      <c r="F1032" s="16" t="n">
        <f aca="false" t="array" ref="F1032:F1032">IF(D1032="","",IFERROR(INDEX(Dados_Evap!$C$2:$N$15,MATCH($B$9,Dados_Evap!$A$2:$A$15,0),C1032),0))</f>
        <v>189</v>
      </c>
      <c r="G1032" s="16" t="n">
        <f aca="false">IF(F1032="","",F1032/1000)</f>
        <v>0.189</v>
      </c>
      <c r="H1032" s="16" t="n">
        <f aca="false">IF(D1032="","",MAX(0,MIN($B$8,IFERROR(LOOKUP(2,1/($U$24:U1031&lt;&gt;""),$U$24:U1031),$B$11))))</f>
        <v>103.734251074686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11.5408592841734</v>
      </c>
      <c r="J1032" s="16" t="n">
        <f aca="false">IF(D1032="","",$B$12)</f>
        <v>0.432</v>
      </c>
      <c r="K1032" s="16" t="n">
        <f aca="false">IF(J1032="","",J1032*$B$15)</f>
        <v>1.119744</v>
      </c>
      <c r="L1032" s="16" t="n">
        <f aca="false">IF(D1032="","",H1032+E1032-K1032-G1032*I1032)</f>
        <v>100.920181035547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11.3359759468714</v>
      </c>
      <c r="N1032" s="16" t="n">
        <f aca="false">IF(D1032="","",(I1032+M1032)/2)</f>
        <v>11.4384176155224</v>
      </c>
      <c r="O1032" s="16" t="n">
        <f aca="false">IF(D1032="","",G1032*N1032)</f>
        <v>2.16186092933373</v>
      </c>
      <c r="P1032" s="16" t="n">
        <f aca="false">IF(D1032="","",H1032+E1032-K1032-O1032)</f>
        <v>100.939542510922</v>
      </c>
      <c r="Q1032" s="16" t="n">
        <f aca="false">IF(D1032="","",IF(P1032&gt;=0,K1032,MAX(0,K1032+P1032)))</f>
        <v>1.119744</v>
      </c>
      <c r="R1032" s="16" t="n">
        <f aca="false">IF(D1032="","",Q1032/$B$15)</f>
        <v>0.432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100.939542510922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62.3083595746431</v>
      </c>
      <c r="Z1032" s="18" t="n">
        <f aca="false">IF(D1032="","",MAX(0,IF(P1032&gt;=0,P1032,IF(K1032+P1032&gt;=0,0,P1032+K1032))))</f>
        <v>100.939542510922</v>
      </c>
      <c r="AA1032" s="18" t="n">
        <f aca="false">IF(D1032="","",IF(H1032&lt;=$B$16,1,IF(H1032&gt;=$B$17,$B$21,MATCH(H1032,Aux_CAV!$A$2:$A$121,1))))</f>
        <v>22</v>
      </c>
      <c r="AB1032" s="18" t="n">
        <f aca="false">IF(D1032="","",IF(L1032&lt;=$B$16,1,IF(L1032&gt;=$B$17,$B$21,MATCH(L1032,Aux_CAV!$A$2:$A$121,1))))</f>
        <v>22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0.473806571118013</v>
      </c>
      <c r="E1033" s="16" t="n">
        <f aca="false">IF(D1033="","",D1033*$B$15)</f>
        <v>1.22810663233789</v>
      </c>
      <c r="F1033" s="16" t="n">
        <f aca="false" t="array" ref="F1033:F1033">IF(D1033="","",IFERROR(INDEX(Dados_Evap!$C$2:$N$15,MATCH($B$9,Dados_Evap!$A$2:$A$15,0),C1033),0))</f>
        <v>136.9</v>
      </c>
      <c r="G1033" s="16" t="n">
        <f aca="false">IF(F1033="","",F1033/1000)</f>
        <v>0.1369</v>
      </c>
      <c r="H1033" s="16" t="n">
        <f aca="false">IF(D1033="","",MAX(0,MIN($B$8,IFERROR(LOOKUP(2,1/($U$24:U1032&lt;&gt;""),$U$24:U1032),$B$11))))</f>
        <v>100.939542510922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11.3373855932678</v>
      </c>
      <c r="J1033" s="16" t="n">
        <f aca="false">IF(D1033="","",$B$12)</f>
        <v>0.432</v>
      </c>
      <c r="K1033" s="16" t="n">
        <f aca="false">IF(J1033="","",J1033*$B$15)</f>
        <v>1.119744</v>
      </c>
      <c r="L1033" s="16" t="n">
        <f aca="false">IF(D1033="","",H1033+E1033-K1033-G1033*I1033)</f>
        <v>99.4958170555413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11.2322726126624</v>
      </c>
      <c r="N1033" s="16" t="n">
        <f aca="false">IF(D1033="","",(I1033+M1033)/2)</f>
        <v>11.2848291029651</v>
      </c>
      <c r="O1033" s="16" t="n">
        <f aca="false">IF(D1033="","",G1033*N1033)</f>
        <v>1.54489310419592</v>
      </c>
      <c r="P1033" s="16" t="n">
        <f aca="false">IF(D1033="","",H1033+E1033-K1033-O1033)</f>
        <v>99.5030120390637</v>
      </c>
      <c r="Q1033" s="16" t="n">
        <f aca="false">IF(D1033="","",IF(P1033&gt;=0,K1033,MAX(0,K1033+P1033)))</f>
        <v>1.119744</v>
      </c>
      <c r="R1033" s="16" t="n">
        <f aca="false">IF(D1033="","",Q1033/$B$15)</f>
        <v>0.432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99.5030120390637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61.4216123697924</v>
      </c>
      <c r="Z1033" s="18" t="n">
        <f aca="false">IF(D1033="","",MAX(0,IF(P1033&gt;=0,P1033,IF(K1033+P1033&gt;=0,0,P1033+K1033))))</f>
        <v>99.5030120390637</v>
      </c>
      <c r="AA1033" s="18" t="n">
        <f aca="false">IF(D1033="","",IF(H1033&lt;=$B$16,1,IF(H1033&gt;=$B$17,$B$21,MATCH(H1033,Aux_CAV!$A$2:$A$121,1))))</f>
        <v>22</v>
      </c>
      <c r="AB1033" s="18" t="n">
        <f aca="false">IF(D1033="","",IF(L1033&lt;=$B$16,1,IF(L1033&gt;=$B$17,$B$21,MATCH(L1033,Aux_CAV!$A$2:$A$121,1))))</f>
        <v>22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1.92285129053914</v>
      </c>
      <c r="E1034" s="16" t="n">
        <f aca="false">IF(D1034="","",D1034*$B$15)</f>
        <v>4.98403054507745</v>
      </c>
      <c r="F1034" s="16" t="n">
        <f aca="false" t="array" ref="F1034:F1034">IF(D1034="","",IFERROR(INDEX(Dados_Evap!$C$2:$N$15,MATCH($B$9,Dados_Evap!$A$2:$A$15,0),C1034),0))</f>
        <v>102.9</v>
      </c>
      <c r="G1034" s="16" t="n">
        <f aca="false">IF(F1034="","",F1034/1000)</f>
        <v>0.1029</v>
      </c>
      <c r="H1034" s="16" t="n">
        <f aca="false">IF(D1034="","",MAX(0,MIN($B$8,IFERROR(LOOKUP(2,1/($U$24:U1033&lt;&gt;""),$U$24:U1033),$B$11))))</f>
        <v>99.5030120390637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11.2327964561401</v>
      </c>
      <c r="J1034" s="16" t="n">
        <f aca="false">IF(D1034="","",$B$12)</f>
        <v>0.432</v>
      </c>
      <c r="K1034" s="16" t="n">
        <f aca="false">IF(J1034="","",J1034*$B$15)</f>
        <v>1.119744</v>
      </c>
      <c r="L1034" s="16" t="n">
        <f aca="false">IF(D1034="","",H1034+E1034-K1034-G1034*I1034)</f>
        <v>102.211443828804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11.4299886141956</v>
      </c>
      <c r="N1034" s="16" t="n">
        <f aca="false">IF(D1034="","",(I1034+M1034)/2)</f>
        <v>11.3313925351679</v>
      </c>
      <c r="O1034" s="16" t="n">
        <f aca="false">IF(D1034="","",G1034*N1034)</f>
        <v>1.16600029186877</v>
      </c>
      <c r="P1034" s="16" t="n">
        <f aca="false">IF(D1034="","",H1034+E1034-K1034-O1034)</f>
        <v>102.201298292272</v>
      </c>
      <c r="Q1034" s="16" t="n">
        <f aca="false">IF(D1034="","",IF(P1034&gt;=0,K1034,MAX(0,K1034+P1034)))</f>
        <v>1.119744</v>
      </c>
      <c r="R1034" s="16" t="n">
        <f aca="false">IF(D1034="","",Q1034/$B$15)</f>
        <v>0.432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102.201298292272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63.0872211680694</v>
      </c>
      <c r="Z1034" s="18" t="n">
        <f aca="false">IF(D1034="","",MAX(0,IF(P1034&gt;=0,P1034,IF(K1034+P1034&gt;=0,0,P1034+K1034))))</f>
        <v>102.201298292272</v>
      </c>
      <c r="AA1034" s="18" t="n">
        <f aca="false">IF(D1034="","",IF(H1034&lt;=$B$16,1,IF(H1034&gt;=$B$17,$B$21,MATCH(H1034,Aux_CAV!$A$2:$A$121,1))))</f>
        <v>22</v>
      </c>
      <c r="AB1034" s="18" t="n">
        <f aca="false">IF(D1034="","",IF(L1034&lt;=$B$16,1,IF(L1034&gt;=$B$17,$B$21,MATCH(L1034,Aux_CAV!$A$2:$A$121,1))))</f>
        <v>22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5.26428711879044</v>
      </c>
      <c r="E1035" s="16" t="n">
        <f aca="false">IF(D1035="","",D1035*$B$15)</f>
        <v>13.6450322119048</v>
      </c>
      <c r="F1035" s="16" t="n">
        <f aca="false" t="array" ref="F1035:F1035">IF(D1035="","",IFERROR(INDEX(Dados_Evap!$C$2:$N$15,MATCH($B$9,Dados_Evap!$A$2:$A$15,0),C1035),0))</f>
        <v>81.8</v>
      </c>
      <c r="G1035" s="16" t="n">
        <f aca="false">IF(F1035="","",F1035/1000)</f>
        <v>0.0818</v>
      </c>
      <c r="H1035" s="16" t="n">
        <f aca="false">IF(D1035="","",MAX(0,MIN($B$8,IFERROR(LOOKUP(2,1/($U$24:U1034&lt;&gt;""),$U$24:U1034),$B$11))))</f>
        <v>102.201298292272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11.4292499504969</v>
      </c>
      <c r="J1035" s="16" t="n">
        <f aca="false">IF(D1035="","",$B$12)</f>
        <v>0.432</v>
      </c>
      <c r="K1035" s="16" t="n">
        <f aca="false">IF(J1035="","",J1035*$B$15)</f>
        <v>1.119744</v>
      </c>
      <c r="L1035" s="16" t="n">
        <f aca="false">IF(D1035="","",H1035+E1035-K1035-G1035*I1035)</f>
        <v>113.791673858227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12.2731077058152</v>
      </c>
      <c r="N1035" s="16" t="n">
        <f aca="false">IF(D1035="","",(I1035+M1035)/2)</f>
        <v>11.8511788281561</v>
      </c>
      <c r="O1035" s="16" t="n">
        <f aca="false">IF(D1035="","",G1035*N1035)</f>
        <v>0.969426428143166</v>
      </c>
      <c r="P1035" s="16" t="n">
        <f aca="false">IF(D1035="","",H1035+E1035-K1035-O1035)</f>
        <v>113.757160076034</v>
      </c>
      <c r="Q1035" s="16" t="n">
        <f aca="false">IF(D1035="","",IF(P1035&gt;=0,K1035,MAX(0,K1035+P1035)))</f>
        <v>1.119744</v>
      </c>
      <c r="R1035" s="16" t="n">
        <f aca="false">IF(D1035="","",Q1035/$B$15)</f>
        <v>0.432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113.757160076034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70.2204691827371</v>
      </c>
      <c r="Z1035" s="18" t="n">
        <f aca="false">IF(D1035="","",MAX(0,IF(P1035&gt;=0,P1035,IF(K1035+P1035&gt;=0,0,P1035+K1035))))</f>
        <v>113.757160076034</v>
      </c>
      <c r="AA1035" s="18" t="n">
        <f aca="false">IF(D1035="","",IF(H1035&lt;=$B$16,1,IF(H1035&gt;=$B$17,$B$21,MATCH(H1035,Aux_CAV!$A$2:$A$121,1))))</f>
        <v>22</v>
      </c>
      <c r="AB1035" s="18" t="n">
        <f aca="false">IF(D1035="","",IF(L1035&lt;=$B$16,1,IF(L1035&gt;=$B$17,$B$21,MATCH(L1035,Aux_CAV!$A$2:$A$121,1))))</f>
        <v>22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8.43705582524371</v>
      </c>
      <c r="E1036" s="16" t="n">
        <f aca="false">IF(D1036="","",D1036*$B$15)</f>
        <v>21.8688486990317</v>
      </c>
      <c r="F1036" s="16" t="n">
        <f aca="false" t="array" ref="F1036:F1036">IF(D1036="","",IFERROR(INDEX(Dados_Evap!$C$2:$N$15,MATCH($B$9,Dados_Evap!$A$2:$A$15,0),C1036),0))</f>
        <v>83.6</v>
      </c>
      <c r="G1036" s="16" t="n">
        <f aca="false">IF(F1036="","",F1036/1000)</f>
        <v>0.0836</v>
      </c>
      <c r="H1036" s="16" t="n">
        <f aca="false">IF(D1036="","",MAX(0,MIN($B$8,IFERROR(LOOKUP(2,1/($U$24:U1035&lt;&gt;""),$U$24:U1035),$B$11))))</f>
        <v>113.757160076034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12.2705948689703</v>
      </c>
      <c r="J1036" s="16" t="n">
        <f aca="false">IF(D1036="","",$B$12)</f>
        <v>0.432</v>
      </c>
      <c r="K1036" s="16" t="n">
        <f aca="false">IF(J1036="","",J1036*$B$15)</f>
        <v>1.119744</v>
      </c>
      <c r="L1036" s="16" t="n">
        <f aca="false">IF(D1036="","",H1036+E1036-K1036-G1036*I1036)</f>
        <v>133.48044304402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13.7065833059423</v>
      </c>
      <c r="N1036" s="16" t="n">
        <f aca="false">IF(D1036="","",(I1036+M1036)/2)</f>
        <v>12.9885890874563</v>
      </c>
      <c r="O1036" s="16" t="n">
        <f aca="false">IF(D1036="","",G1036*N1036)</f>
        <v>1.08584604771135</v>
      </c>
      <c r="P1036" s="16" t="n">
        <f aca="false">IF(D1036="","",H1036+E1036-K1036-O1036)</f>
        <v>133.420418727354</v>
      </c>
      <c r="Q1036" s="16" t="n">
        <f aca="false">IF(D1036="","",IF(P1036&gt;=0,K1036,MAX(0,K1036+P1036)))</f>
        <v>1.119744</v>
      </c>
      <c r="R1036" s="16" t="n">
        <f aca="false">IF(D1036="","",Q1036/$B$15)</f>
        <v>0.432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133.420418727354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82.3582831650336</v>
      </c>
      <c r="Z1036" s="18" t="n">
        <f aca="false">IF(D1036="","",MAX(0,IF(P1036&gt;=0,P1036,IF(K1036+P1036&gt;=0,0,P1036+K1036))))</f>
        <v>133.420418727354</v>
      </c>
      <c r="AA1036" s="18" t="n">
        <f aca="false">IF(D1036="","",IF(H1036&lt;=$B$16,1,IF(H1036&gt;=$B$17,$B$21,MATCH(H1036,Aux_CAV!$A$2:$A$121,1))))</f>
        <v>22</v>
      </c>
      <c r="AB1036" s="18" t="n">
        <f aca="false">IF(D1036="","",IF(L1036&lt;=$B$16,1,IF(L1036&gt;=$B$17,$B$21,MATCH(L1036,Aux_CAV!$A$2:$A$121,1))))</f>
        <v>22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17.355129533733</v>
      </c>
      <c r="E1037" s="16" t="n">
        <f aca="false">IF(D1037="","",D1037*$B$15)</f>
        <v>44.9844957514359</v>
      </c>
      <c r="F1037" s="16" t="n">
        <f aca="false" t="array" ref="F1037:F1037">IF(D1037="","",IFERROR(INDEX(Dados_Evap!$C$2:$N$15,MATCH($B$9,Dados_Evap!$A$2:$A$15,0),C1037),0))</f>
        <v>108.2</v>
      </c>
      <c r="G1037" s="16" t="n">
        <f aca="false">IF(F1037="","",F1037/1000)</f>
        <v>0.1082</v>
      </c>
      <c r="H1037" s="16" t="n">
        <f aca="false">IF(D1037="","",MAX(0,MIN($B$8,IFERROR(LOOKUP(2,1/($U$24:U1036&lt;&gt;""),$U$24:U1036),$B$11))))</f>
        <v>133.420418727354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13.7022131295974</v>
      </c>
      <c r="J1037" s="16" t="n">
        <f aca="false">IF(D1037="","",$B$12)</f>
        <v>0.432</v>
      </c>
      <c r="K1037" s="16" t="n">
        <f aca="false">IF(J1037="","",J1037*$B$15)</f>
        <v>1.119744</v>
      </c>
      <c r="L1037" s="16" t="n">
        <f aca="false">IF(D1037="","",H1037+E1037-K1037-G1037*I1037)</f>
        <v>175.802591018168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16.6085263961342</v>
      </c>
      <c r="N1037" s="16" t="n">
        <f aca="false">IF(D1037="","",(I1037+M1037)/2)</f>
        <v>15.1553697628658</v>
      </c>
      <c r="O1037" s="16" t="n">
        <f aca="false">IF(D1037="","",G1037*N1037)</f>
        <v>1.63981100834208</v>
      </c>
      <c r="P1037" s="16" t="n">
        <f aca="false">IF(D1037="","",H1037+E1037-K1037-O1037)</f>
        <v>175.645359470448</v>
      </c>
      <c r="Q1037" s="16" t="n">
        <f aca="false">IF(D1037="","",IF(P1037&gt;=0,K1037,MAX(0,K1037+P1037)))</f>
        <v>1.119744</v>
      </c>
      <c r="R1037" s="16" t="n">
        <f aca="false">IF(D1037="","",Q1037/$B$15)</f>
        <v>0.432</v>
      </c>
      <c r="S1037" s="16" t="n">
        <f aca="false">IF(D1037="","",MAX(0,J1037-R1037))</f>
        <v>0</v>
      </c>
      <c r="T1037" s="16" t="n">
        <f aca="false">IF(D1037="","",MAX(0,Z1037-$B$8))</f>
        <v>13.6453594704482</v>
      </c>
      <c r="U1037" s="16" t="n">
        <f aca="false">IF(D1037="","",MAX(0,MIN($B$8,Z1037)))</f>
        <v>162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100</v>
      </c>
      <c r="Z1037" s="18" t="n">
        <f aca="false">IF(D1037="","",MAX(0,IF(P1037&gt;=0,P1037,IF(K1037+P1037&gt;=0,0,P1037+K1037))))</f>
        <v>175.645359470448</v>
      </c>
      <c r="AA1037" s="18" t="n">
        <f aca="false">IF(D1037="","",IF(H1037&lt;=$B$16,1,IF(H1037&gt;=$B$17,$B$21,MATCH(H1037,Aux_CAV!$A$2:$A$121,1))))</f>
        <v>22</v>
      </c>
      <c r="AB1037" s="18" t="n">
        <f aca="false">IF(D1037="","",IF(L1037&lt;=$B$16,1,IF(L1037&gt;=$B$17,$B$21,MATCH(L1037,Aux_CAV!$A$2:$A$121,1))))</f>
        <v>23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3.86291008688599</v>
      </c>
      <c r="E1038" s="16" t="n">
        <f aca="false">IF(D1038="","",D1038*$B$15)</f>
        <v>10.0126629452085</v>
      </c>
      <c r="F1038" s="16" t="n">
        <f aca="false" t="array" ref="F1038:F1038">IF(D1038="","",IFERROR(INDEX(Dados_Evap!$C$2:$N$15,MATCH($B$9,Dados_Evap!$A$2:$A$15,0),C1038),0))</f>
        <v>149</v>
      </c>
      <c r="G1038" s="16" t="n">
        <f aca="false">IF(F1038="","",F1038/1000)</f>
        <v>0.149</v>
      </c>
      <c r="H1038" s="16" t="n">
        <f aca="false">IF(D1038="","",MAX(0,MIN($B$8,IFERROR(LOOKUP(2,1/($U$24:U1037&lt;&gt;""),$U$24:U1037),$B$11))))</f>
        <v>162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15.783</v>
      </c>
      <c r="J1038" s="16" t="n">
        <f aca="false">IF(D1038="","",$B$12)</f>
        <v>0.432</v>
      </c>
      <c r="K1038" s="16" t="n">
        <f aca="false">IF(J1038="","",J1038*$B$15)</f>
        <v>1.119744</v>
      </c>
      <c r="L1038" s="16" t="n">
        <f aca="false">IF(D1038="","",H1038+E1038-K1038-G1038*I1038)</f>
        <v>168.541251945209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16.174229163961</v>
      </c>
      <c r="N1038" s="16" t="n">
        <f aca="false">IF(D1038="","",(I1038+M1038)/2)</f>
        <v>15.9786145819805</v>
      </c>
      <c r="O1038" s="16" t="n">
        <f aca="false">IF(D1038="","",G1038*N1038)</f>
        <v>2.3808135727151</v>
      </c>
      <c r="P1038" s="16" t="n">
        <f aca="false">IF(D1038="","",H1038+E1038-K1038-O1038)</f>
        <v>168.512105372493</v>
      </c>
      <c r="Q1038" s="16" t="n">
        <f aca="false">IF(D1038="","",IF(P1038&gt;=0,K1038,MAX(0,K1038+P1038)))</f>
        <v>1.119744</v>
      </c>
      <c r="R1038" s="16" t="n">
        <f aca="false">IF(D1038="","",Q1038/$B$15)</f>
        <v>0.432</v>
      </c>
      <c r="S1038" s="16" t="n">
        <f aca="false">IF(D1038="","",MAX(0,J1038-R1038))</f>
        <v>0</v>
      </c>
      <c r="T1038" s="16" t="n">
        <f aca="false">IF(D1038="","",MAX(0,Z1038-$B$8))</f>
        <v>6.51210537249341</v>
      </c>
      <c r="U1038" s="16" t="n">
        <f aca="false">IF(D1038="","",MAX(0,MIN($B$8,Z1038)))</f>
        <v>162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100</v>
      </c>
      <c r="Z1038" s="18" t="n">
        <f aca="false">IF(D1038="","",MAX(0,IF(P1038&gt;=0,P1038,IF(K1038+P1038&gt;=0,0,P1038+K1038))))</f>
        <v>168.512105372493</v>
      </c>
      <c r="AA1038" s="18" t="n">
        <f aca="false">IF(D1038="","",IF(H1038&lt;=$B$16,1,IF(H1038&gt;=$B$17,$B$21,MATCH(H1038,Aux_CAV!$A$2:$A$121,1))))</f>
        <v>23</v>
      </c>
      <c r="AB1038" s="18" t="n">
        <f aca="false">IF(D1038="","",IF(L1038&lt;=$B$16,1,IF(L1038&gt;=$B$17,$B$21,MATCH(L1038,Aux_CAV!$A$2:$A$121,1))))</f>
        <v>23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0.414589754397416</v>
      </c>
      <c r="E1039" s="16" t="n">
        <f aca="false">IF(D1039="","",D1039*$B$15)</f>
        <v>1.0746166433981</v>
      </c>
      <c r="F1039" s="16" t="n">
        <f aca="false" t="array" ref="F1039:F1039">IF(D1039="","",IFERROR(INDEX(Dados_Evap!$C$2:$N$15,MATCH($B$9,Dados_Evap!$A$2:$A$15,0),C1039),0))</f>
        <v>206.8</v>
      </c>
      <c r="G1039" s="16" t="n">
        <f aca="false">IF(F1039="","",F1039/1000)</f>
        <v>0.2068</v>
      </c>
      <c r="H1039" s="16" t="n">
        <f aca="false">IF(D1039="","",MAX(0,MIN($B$8,IFERROR(LOOKUP(2,1/($U$24:U1038&lt;&gt;""),$U$24:U1038),$B$11))))</f>
        <v>162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15.783</v>
      </c>
      <c r="J1039" s="16" t="n">
        <f aca="false">IF(D1039="","",$B$12)</f>
        <v>0.432</v>
      </c>
      <c r="K1039" s="16" t="n">
        <f aca="false">IF(J1039="","",J1039*$B$15)</f>
        <v>1.119744</v>
      </c>
      <c r="L1039" s="16" t="n">
        <f aca="false">IF(D1039="","",H1039+E1039-K1039-G1039*I1039)</f>
        <v>158.690948243398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15.5420786448922</v>
      </c>
      <c r="N1039" s="16" t="n">
        <f aca="false">IF(D1039="","",(I1039+M1039)/2)</f>
        <v>15.6625393224461</v>
      </c>
      <c r="O1039" s="16" t="n">
        <f aca="false">IF(D1039="","",G1039*N1039)</f>
        <v>3.23901313188185</v>
      </c>
      <c r="P1039" s="16" t="n">
        <f aca="false">IF(D1039="","",H1039+E1039-K1039-O1039)</f>
        <v>158.715859511516</v>
      </c>
      <c r="Q1039" s="16" t="n">
        <f aca="false">IF(D1039="","",IF(P1039&gt;=0,K1039,MAX(0,K1039+P1039)))</f>
        <v>1.119744</v>
      </c>
      <c r="R1039" s="16" t="n">
        <f aca="false">IF(D1039="","",Q1039/$B$15)</f>
        <v>0.432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158.715859511516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97.9727527848866</v>
      </c>
      <c r="Z1039" s="18" t="n">
        <f aca="false">IF(D1039="","",MAX(0,IF(P1039&gt;=0,P1039,IF(K1039+P1039&gt;=0,0,P1039+K1039))))</f>
        <v>158.715859511516</v>
      </c>
      <c r="AA1039" s="18" t="n">
        <f aca="false">IF(D1039="","",IF(H1039&lt;=$B$16,1,IF(H1039&gt;=$B$17,$B$21,MATCH(H1039,Aux_CAV!$A$2:$A$121,1))))</f>
        <v>23</v>
      </c>
      <c r="AB1039" s="18" t="n">
        <f aca="false">IF(D1039="","",IF(L1039&lt;=$B$16,1,IF(L1039&gt;=$B$17,$B$21,MATCH(L1039,Aux_CAV!$A$2:$A$121,1))))</f>
        <v>22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0.448505071623566</v>
      </c>
      <c r="E1040" s="16" t="n">
        <f aca="false">IF(D1040="","",D1040*$B$15)</f>
        <v>1.16252514564828</v>
      </c>
      <c r="F1040" s="16" t="n">
        <f aca="false" t="array" ref="F1040:F1040">IF(D1040="","",IFERROR(INDEX(Dados_Evap!$C$2:$N$15,MATCH($B$9,Dados_Evap!$A$2:$A$15,0),C1040),0))</f>
        <v>245.9</v>
      </c>
      <c r="G1040" s="16" t="n">
        <f aca="false">IF(F1040="","",F1040/1000)</f>
        <v>0.2459</v>
      </c>
      <c r="H1040" s="16" t="n">
        <f aca="false">IF(D1040="","",MAX(0,MIN($B$8,IFERROR(LOOKUP(2,1/($U$24:U1039&lt;&gt;""),$U$24:U1039),$B$11))))</f>
        <v>158.715859511516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15.5438923537471</v>
      </c>
      <c r="J1040" s="16" t="n">
        <f aca="false">IF(D1040="","",$B$12)</f>
        <v>0.432</v>
      </c>
      <c r="K1040" s="16" t="n">
        <f aca="false">IF(J1040="","",J1040*$B$15)</f>
        <v>1.119744</v>
      </c>
      <c r="L1040" s="16" t="n">
        <f aca="false">IF(D1040="","",H1040+E1040-K1040-G1040*I1040)</f>
        <v>154.936397527378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15.2687219515374</v>
      </c>
      <c r="N1040" s="16" t="n">
        <f aca="false">IF(D1040="","",(I1040+M1040)/2)</f>
        <v>15.4063071526423</v>
      </c>
      <c r="O1040" s="16" t="n">
        <f aca="false">IF(D1040="","",G1040*N1040)</f>
        <v>3.78841092883473</v>
      </c>
      <c r="P1040" s="16" t="n">
        <f aca="false">IF(D1040="","",H1040+E1040-K1040-O1040)</f>
        <v>154.97022972833</v>
      </c>
      <c r="Q1040" s="16" t="n">
        <f aca="false">IF(D1040="","",IF(P1040&gt;=0,K1040,MAX(0,K1040+P1040)))</f>
        <v>1.119744</v>
      </c>
      <c r="R1040" s="16" t="n">
        <f aca="false">IF(D1040="","",Q1040/$B$15)</f>
        <v>0.432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154.97022972833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95.6606356347715</v>
      </c>
      <c r="Z1040" s="18" t="n">
        <f aca="false">IF(D1040="","",MAX(0,IF(P1040&gt;=0,P1040,IF(K1040+P1040&gt;=0,0,P1040+K1040))))</f>
        <v>154.97022972833</v>
      </c>
      <c r="AA1040" s="18" t="n">
        <f aca="false">IF(D1040="","",IF(H1040&lt;=$B$16,1,IF(H1040&gt;=$B$17,$B$21,MATCH(H1040,Aux_CAV!$A$2:$A$121,1))))</f>
        <v>22</v>
      </c>
      <c r="AB1040" s="18" t="n">
        <f aca="false">IF(D1040="","",IF(L1040&lt;=$B$16,1,IF(L1040&gt;=$B$17,$B$21,MATCH(L1040,Aux_CAV!$A$2:$A$121,1))))</f>
        <v>22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0.45665784174766</v>
      </c>
      <c r="E1041" s="16" t="n">
        <f aca="false">IF(D1041="","",D1041*$B$15)</f>
        <v>1.18365712580993</v>
      </c>
      <c r="F1041" s="16" t="n">
        <f aca="false" t="array" ref="F1041:F1041">IF(D1041="","",IFERROR(INDEX(Dados_Evap!$C$2:$N$15,MATCH($B$9,Dados_Evap!$A$2:$A$15,0),C1041),0))</f>
        <v>282.3</v>
      </c>
      <c r="G1041" s="16" t="n">
        <f aca="false">IF(F1041="","",F1041/1000)</f>
        <v>0.2823</v>
      </c>
      <c r="H1041" s="16" t="n">
        <f aca="false">IF(D1041="","",MAX(0,MIN($B$8,IFERROR(LOOKUP(2,1/($U$24:U1040&lt;&gt;""),$U$24:U1040),$B$11))))</f>
        <v>154.97022972833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15.2711851646568</v>
      </c>
      <c r="J1041" s="16" t="n">
        <f aca="false">IF(D1041="","",$B$12)</f>
        <v>0.432</v>
      </c>
      <c r="K1041" s="16" t="n">
        <f aca="false">IF(J1041="","",J1041*$B$15)</f>
        <v>1.119744</v>
      </c>
      <c r="L1041" s="16" t="n">
        <f aca="false">IF(D1041="","",H1041+E1041-K1041-G1041*I1041)</f>
        <v>150.723087282157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14.9619644607417</v>
      </c>
      <c r="N1041" s="16" t="n">
        <f aca="false">IF(D1041="","",(I1041+M1041)/2)</f>
        <v>15.1165748126992</v>
      </c>
      <c r="O1041" s="16" t="n">
        <f aca="false">IF(D1041="","",G1041*N1041)</f>
        <v>4.26740906962499</v>
      </c>
      <c r="P1041" s="16" t="n">
        <f aca="false">IF(D1041="","",H1041+E1041-K1041-O1041)</f>
        <v>150.766733784515</v>
      </c>
      <c r="Q1041" s="16" t="n">
        <f aca="false">IF(D1041="","",IF(P1041&gt;=0,K1041,MAX(0,K1041+P1041)))</f>
        <v>1.119744</v>
      </c>
      <c r="R1041" s="16" t="n">
        <f aca="false">IF(D1041="","",Q1041/$B$15)</f>
        <v>0.432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150.766733784515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93.0658850521696</v>
      </c>
      <c r="Z1041" s="18" t="n">
        <f aca="false">IF(D1041="","",MAX(0,IF(P1041&gt;=0,P1041,IF(K1041+P1041&gt;=0,0,P1041+K1041))))</f>
        <v>150.766733784515</v>
      </c>
      <c r="AA1041" s="18" t="n">
        <f aca="false">IF(D1041="","",IF(H1041&lt;=$B$16,1,IF(H1041&gt;=$B$17,$B$21,MATCH(H1041,Aux_CAV!$A$2:$A$121,1))))</f>
        <v>22</v>
      </c>
      <c r="AB1041" s="18" t="n">
        <f aca="false">IF(D1041="","",IF(L1041&lt;=$B$16,1,IF(L1041&gt;=$B$17,$B$21,MATCH(L1041,Aux_CAV!$A$2:$A$121,1))))</f>
        <v>22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0.493424069804475</v>
      </c>
      <c r="E1042" s="16" t="n">
        <f aca="false">IF(D1042="","",D1042*$B$15)</f>
        <v>1.2789551889332</v>
      </c>
      <c r="F1042" s="16" t="n">
        <f aca="false" t="array" ref="F1042:F1042">IF(D1042="","",IFERROR(INDEX(Dados_Evap!$C$2:$N$15,MATCH($B$9,Dados_Evap!$A$2:$A$15,0),C1042),0))</f>
        <v>241.3</v>
      </c>
      <c r="G1042" s="16" t="n">
        <f aca="false">IF(F1042="","",F1042/1000)</f>
        <v>0.2413</v>
      </c>
      <c r="H1042" s="16" t="n">
        <f aca="false">IF(D1042="","",MAX(0,MIN($B$8,IFERROR(LOOKUP(2,1/($U$24:U1041&lt;&gt;""),$U$24:U1041),$B$11))))</f>
        <v>150.766733784515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14.9651422214016</v>
      </c>
      <c r="J1042" s="16" t="n">
        <f aca="false">IF(D1042="","",$B$12)</f>
        <v>0.432</v>
      </c>
      <c r="K1042" s="16" t="n">
        <f aca="false">IF(J1042="","",J1042*$B$15)</f>
        <v>1.119744</v>
      </c>
      <c r="L1042" s="16" t="n">
        <f aca="false">IF(D1042="","",H1042+E1042-K1042-G1042*I1042)</f>
        <v>147.314856155424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14.7138221764952</v>
      </c>
      <c r="N1042" s="16" t="n">
        <f aca="false">IF(D1042="","",(I1042+M1042)/2)</f>
        <v>14.8394821989484</v>
      </c>
      <c r="O1042" s="16" t="n">
        <f aca="false">IF(D1042="","",G1042*N1042)</f>
        <v>3.58076705460624</v>
      </c>
      <c r="P1042" s="16" t="n">
        <f aca="false">IF(D1042="","",H1042+E1042-K1042-O1042)</f>
        <v>147.345177918842</v>
      </c>
      <c r="Q1042" s="16" t="n">
        <f aca="false">IF(D1042="","",IF(P1042&gt;=0,K1042,MAX(0,K1042+P1042)))</f>
        <v>1.119744</v>
      </c>
      <c r="R1042" s="16" t="n">
        <f aca="false">IF(D1042="","",Q1042/$B$15)</f>
        <v>0.432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147.345177918842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90.9538135301492</v>
      </c>
      <c r="Z1042" s="18" t="n">
        <f aca="false">IF(D1042="","",MAX(0,IF(P1042&gt;=0,P1042,IF(K1042+P1042&gt;=0,0,P1042+K1042))))</f>
        <v>147.345177918842</v>
      </c>
      <c r="AA1042" s="18" t="n">
        <f aca="false">IF(D1042="","",IF(H1042&lt;=$B$16,1,IF(H1042&gt;=$B$17,$B$21,MATCH(H1042,Aux_CAV!$A$2:$A$121,1))))</f>
        <v>22</v>
      </c>
      <c r="AB1042" s="18" t="n">
        <f aca="false">IF(D1042="","",IF(L1042&lt;=$B$16,1,IF(L1042&gt;=$B$17,$B$21,MATCH(L1042,Aux_CAV!$A$2:$A$121,1))))</f>
        <v>22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1.31313505626556</v>
      </c>
      <c r="E1043" s="16" t="n">
        <f aca="false">IF(D1043="","",D1043*$B$15)</f>
        <v>3.40364606584033</v>
      </c>
      <c r="F1043" s="16" t="n">
        <f aca="false" t="array" ref="F1043:F1043">IF(D1043="","",IFERROR(INDEX(Dados_Evap!$C$2:$N$15,MATCH($B$9,Dados_Evap!$A$2:$A$15,0),C1043),0))</f>
        <v>241.8</v>
      </c>
      <c r="G1043" s="16" t="n">
        <f aca="false">IF(F1043="","",F1043/1000)</f>
        <v>0.2418</v>
      </c>
      <c r="H1043" s="16" t="n">
        <f aca="false">IF(D1043="","",MAX(0,MIN($B$8,IFERROR(LOOKUP(2,1/($U$24:U1042&lt;&gt;""),$U$24:U1042),$B$11))))</f>
        <v>147.345177918842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14.7160298060124</v>
      </c>
      <c r="J1043" s="16" t="n">
        <f aca="false">IF(D1043="","",$B$12)</f>
        <v>0.432</v>
      </c>
      <c r="K1043" s="16" t="n">
        <f aca="false">IF(J1043="","",J1043*$B$15)</f>
        <v>1.119744</v>
      </c>
      <c r="L1043" s="16" t="n">
        <f aca="false">IF(D1043="","",H1043+E1043-K1043-G1043*I1043)</f>
        <v>146.070743977588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14.6232423929689</v>
      </c>
      <c r="N1043" s="16" t="n">
        <f aca="false">IF(D1043="","",(I1043+M1043)/2)</f>
        <v>14.6696360994906</v>
      </c>
      <c r="O1043" s="16" t="n">
        <f aca="false">IF(D1043="","",G1043*N1043)</f>
        <v>3.54711800885683</v>
      </c>
      <c r="P1043" s="16" t="n">
        <f aca="false">IF(D1043="","",H1043+E1043-K1043-O1043)</f>
        <v>146.081961975825</v>
      </c>
      <c r="Q1043" s="16" t="n">
        <f aca="false">IF(D1043="","",IF(P1043&gt;=0,K1043,MAX(0,K1043+P1043)))</f>
        <v>1.119744</v>
      </c>
      <c r="R1043" s="16" t="n">
        <f aca="false">IF(D1043="","",Q1043/$B$15)</f>
        <v>0.432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146.081961975825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90.1740506023613</v>
      </c>
      <c r="Z1043" s="18" t="n">
        <f aca="false">IF(D1043="","",MAX(0,IF(P1043&gt;=0,P1043,IF(K1043+P1043&gt;=0,0,P1043+K1043))))</f>
        <v>146.081961975825</v>
      </c>
      <c r="AA1043" s="18" t="n">
        <f aca="false">IF(D1043="","",IF(H1043&lt;=$B$16,1,IF(H1043&gt;=$B$17,$B$21,MATCH(H1043,Aux_CAV!$A$2:$A$121,1))))</f>
        <v>22</v>
      </c>
      <c r="AB1043" s="18" t="n">
        <f aca="false">IF(D1043="","",IF(L1043&lt;=$B$16,1,IF(L1043&gt;=$B$17,$B$21,MATCH(L1043,Aux_CAV!$A$2:$A$121,1))))</f>
        <v>22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1.1363044968443</v>
      </c>
      <c r="E1044" s="16" t="n">
        <f aca="false">IF(D1044="","",D1044*$B$15)</f>
        <v>2.94530125582043</v>
      </c>
      <c r="F1044" s="16" t="n">
        <f aca="false" t="array" ref="F1044:F1044">IF(D1044="","",IFERROR(INDEX(Dados_Evap!$C$2:$N$15,MATCH($B$9,Dados_Evap!$A$2:$A$15,0),C1044),0))</f>
        <v>189</v>
      </c>
      <c r="G1044" s="16" t="n">
        <f aca="false">IF(F1044="","",F1044/1000)</f>
        <v>0.189</v>
      </c>
      <c r="H1044" s="16" t="n">
        <f aca="false">IF(D1044="","",MAX(0,MIN($B$8,IFERROR(LOOKUP(2,1/($U$24:U1043&lt;&gt;""),$U$24:U1043),$B$11))))</f>
        <v>146.081961975825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14.6240591391353</v>
      </c>
      <c r="J1044" s="16" t="n">
        <f aca="false">IF(D1044="","",$B$12)</f>
        <v>0.432</v>
      </c>
      <c r="K1044" s="16" t="n">
        <f aca="false">IF(J1044="","",J1044*$B$15)</f>
        <v>1.119744</v>
      </c>
      <c r="L1044" s="16" t="n">
        <f aca="false">IF(D1044="","",H1044+E1044-K1044-G1044*I1044)</f>
        <v>145.143572054349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14.5557380042209</v>
      </c>
      <c r="N1044" s="16" t="n">
        <f aca="false">IF(D1044="","",(I1044+M1044)/2)</f>
        <v>14.5898985716781</v>
      </c>
      <c r="O1044" s="16" t="n">
        <f aca="false">IF(D1044="","",G1044*N1044)</f>
        <v>2.75749083004717</v>
      </c>
      <c r="P1044" s="16" t="n">
        <f aca="false">IF(D1044="","",H1044+E1044-K1044-O1044)</f>
        <v>145.150028401598</v>
      </c>
      <c r="Q1044" s="16" t="n">
        <f aca="false">IF(D1044="","",IF(P1044&gt;=0,K1044,MAX(0,K1044+P1044)))</f>
        <v>1.119744</v>
      </c>
      <c r="R1044" s="16" t="n">
        <f aca="false">IF(D1044="","",Q1044/$B$15)</f>
        <v>0.432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145.150028401598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89.5987829639497</v>
      </c>
      <c r="Z1044" s="18" t="n">
        <f aca="false">IF(D1044="","",MAX(0,IF(P1044&gt;=0,P1044,IF(K1044+P1044&gt;=0,0,P1044+K1044))))</f>
        <v>145.150028401598</v>
      </c>
      <c r="AA1044" s="18" t="n">
        <f aca="false">IF(D1044="","",IF(H1044&lt;=$B$16,1,IF(H1044&gt;=$B$17,$B$21,MATCH(H1044,Aux_CAV!$A$2:$A$121,1))))</f>
        <v>22</v>
      </c>
      <c r="AB1044" s="18" t="n">
        <f aca="false">IF(D1044="","",IF(L1044&lt;=$B$16,1,IF(L1044&gt;=$B$17,$B$21,MATCH(L1044,Aux_CAV!$A$2:$A$121,1))))</f>
        <v>22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2.23153464202885</v>
      </c>
      <c r="E1045" s="16" t="n">
        <f aca="false">IF(D1045="","",D1045*$B$15)</f>
        <v>5.78413779213878</v>
      </c>
      <c r="F1045" s="16" t="n">
        <f aca="false" t="array" ref="F1045:F1045">IF(D1045="","",IFERROR(INDEX(Dados_Evap!$C$2:$N$15,MATCH($B$9,Dados_Evap!$A$2:$A$15,0),C1045),0))</f>
        <v>136.9</v>
      </c>
      <c r="G1045" s="16" t="n">
        <f aca="false">IF(F1045="","",F1045/1000)</f>
        <v>0.1369</v>
      </c>
      <c r="H1045" s="16" t="n">
        <f aca="false">IF(D1045="","",MAX(0,MIN($B$8,IFERROR(LOOKUP(2,1/($U$24:U1044&lt;&gt;""),$U$24:U1044),$B$11))))</f>
        <v>145.150028401598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14.5562080699808</v>
      </c>
      <c r="J1045" s="16" t="n">
        <f aca="false">IF(D1045="","",$B$12)</f>
        <v>0.432</v>
      </c>
      <c r="K1045" s="16" t="n">
        <f aca="false">IF(J1045="","",J1045*$B$15)</f>
        <v>1.119744</v>
      </c>
      <c r="L1045" s="16" t="n">
        <f aca="false">IF(D1045="","",H1045+E1045-K1045-G1045*I1045)</f>
        <v>147.821677308957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14.750722185346</v>
      </c>
      <c r="N1045" s="16" t="n">
        <f aca="false">IF(D1045="","",(I1045+M1045)/2)</f>
        <v>14.6534651276634</v>
      </c>
      <c r="O1045" s="16" t="n">
        <f aca="false">IF(D1045="","",G1045*N1045)</f>
        <v>2.00605937597712</v>
      </c>
      <c r="P1045" s="16" t="n">
        <f aca="false">IF(D1045="","",H1045+E1045-K1045-O1045)</f>
        <v>147.80836281776</v>
      </c>
      <c r="Q1045" s="16" t="n">
        <f aca="false">IF(D1045="","",IF(P1045&gt;=0,K1045,MAX(0,K1045+P1045)))</f>
        <v>1.119744</v>
      </c>
      <c r="R1045" s="16" t="n">
        <f aca="false">IF(D1045="","",Q1045/$B$15)</f>
        <v>0.432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147.80836281776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91.2397301344198</v>
      </c>
      <c r="Z1045" s="18" t="n">
        <f aca="false">IF(D1045="","",MAX(0,IF(P1045&gt;=0,P1045,IF(K1045+P1045&gt;=0,0,P1045+K1045))))</f>
        <v>147.80836281776</v>
      </c>
      <c r="AA1045" s="18" t="n">
        <f aca="false">IF(D1045="","",IF(H1045&lt;=$B$16,1,IF(H1045&gt;=$B$17,$B$21,MATCH(H1045,Aux_CAV!$A$2:$A$121,1))))</f>
        <v>22</v>
      </c>
      <c r="AB1045" s="18" t="n">
        <f aca="false">IF(D1045="","",IF(L1045&lt;=$B$16,1,IF(L1045&gt;=$B$17,$B$21,MATCH(L1045,Aux_CAV!$A$2:$A$121,1))))</f>
        <v>22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3.08125992955018</v>
      </c>
      <c r="E1046" s="16" t="n">
        <f aca="false">IF(D1046="","",D1046*$B$15)</f>
        <v>7.98662573739407</v>
      </c>
      <c r="F1046" s="16" t="n">
        <f aca="false" t="array" ref="F1046:F1046">IF(D1046="","",IFERROR(INDEX(Dados_Evap!$C$2:$N$15,MATCH($B$9,Dados_Evap!$A$2:$A$15,0),C1046),0))</f>
        <v>102.9</v>
      </c>
      <c r="G1046" s="16" t="n">
        <f aca="false">IF(F1046="","",F1046/1000)</f>
        <v>0.1029</v>
      </c>
      <c r="H1046" s="16" t="n">
        <f aca="false">IF(D1046="","",MAX(0,MIN($B$8,IFERROR(LOOKUP(2,1/($U$24:U1045&lt;&gt;""),$U$24:U1045),$B$11))))</f>
        <v>147.80836281776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14.7497528003083</v>
      </c>
      <c r="J1046" s="16" t="n">
        <f aca="false">IF(D1046="","",$B$12)</f>
        <v>0.432</v>
      </c>
      <c r="K1046" s="16" t="n">
        <f aca="false">IF(J1046="","",J1046*$B$15)</f>
        <v>1.119744</v>
      </c>
      <c r="L1046" s="16" t="n">
        <f aca="false">IF(D1046="","",H1046+E1046-K1046-G1046*I1046)</f>
        <v>153.157494992002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15.1392058118843</v>
      </c>
      <c r="N1046" s="16" t="n">
        <f aca="false">IF(D1046="","",(I1046+M1046)/2)</f>
        <v>14.9444793060963</v>
      </c>
      <c r="O1046" s="16" t="n">
        <f aca="false">IF(D1046="","",G1046*N1046)</f>
        <v>1.53778692059731</v>
      </c>
      <c r="P1046" s="16" t="n">
        <f aca="false">IF(D1046="","",H1046+E1046-K1046-O1046)</f>
        <v>153.137457634557</v>
      </c>
      <c r="Q1046" s="16" t="n">
        <f aca="false">IF(D1046="","",IF(P1046&gt;=0,K1046,MAX(0,K1046+P1046)))</f>
        <v>1.119744</v>
      </c>
      <c r="R1046" s="16" t="n">
        <f aca="false">IF(D1046="","",Q1046/$B$15)</f>
        <v>0.432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153.137457634557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94.5292948361462</v>
      </c>
      <c r="Z1046" s="18" t="n">
        <f aca="false">IF(D1046="","",MAX(0,IF(P1046&gt;=0,P1046,IF(K1046+P1046&gt;=0,0,P1046+K1046))))</f>
        <v>153.137457634557</v>
      </c>
      <c r="AA1046" s="18" t="n">
        <f aca="false">IF(D1046="","",IF(H1046&lt;=$B$16,1,IF(H1046&gt;=$B$17,$B$21,MATCH(H1046,Aux_CAV!$A$2:$A$121,1))))</f>
        <v>22</v>
      </c>
      <c r="AB1046" s="18" t="n">
        <f aca="false">IF(D1046="","",IF(L1046&lt;=$B$16,1,IF(L1046&gt;=$B$17,$B$21,MATCH(L1046,Aux_CAV!$A$2:$A$121,1))))</f>
        <v>22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12.0638692179117</v>
      </c>
      <c r="E1047" s="16" t="n">
        <f aca="false">IF(D1047="","",D1047*$B$15)</f>
        <v>31.2695490128271</v>
      </c>
      <c r="F1047" s="16" t="n">
        <f aca="false" t="array" ref="F1047:F1047">IF(D1047="","",IFERROR(INDEX(Dados_Evap!$C$2:$N$15,MATCH($B$9,Dados_Evap!$A$2:$A$15,0),C1047),0))</f>
        <v>81.8</v>
      </c>
      <c r="G1047" s="16" t="n">
        <f aca="false">IF(F1047="","",F1047/1000)</f>
        <v>0.0818</v>
      </c>
      <c r="H1047" s="16" t="n">
        <f aca="false">IF(D1047="","",MAX(0,MIN($B$8,IFERROR(LOOKUP(2,1/($U$24:U1046&lt;&gt;""),$U$24:U1046),$B$11))))</f>
        <v>153.137457634557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15.1377469567005</v>
      </c>
      <c r="J1047" s="16" t="n">
        <f aca="false">IF(D1047="","",$B$12)</f>
        <v>0.432</v>
      </c>
      <c r="K1047" s="16" t="n">
        <f aca="false">IF(J1047="","",J1047*$B$15)</f>
        <v>1.119744</v>
      </c>
      <c r="L1047" s="16" t="n">
        <f aca="false">IF(D1047="","",H1047+E1047-K1047-G1047*I1047)</f>
        <v>182.048994946326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16.9821208405993</v>
      </c>
      <c r="N1047" s="16" t="n">
        <f aca="false">IF(D1047="","",(I1047+M1047)/2)</f>
        <v>16.0599338986499</v>
      </c>
      <c r="O1047" s="16" t="n">
        <f aca="false">IF(D1047="","",G1047*N1047)</f>
        <v>1.31370259290956</v>
      </c>
      <c r="P1047" s="16" t="n">
        <f aca="false">IF(D1047="","",H1047+E1047-K1047-O1047)</f>
        <v>181.973560054474</v>
      </c>
      <c r="Q1047" s="16" t="n">
        <f aca="false">IF(D1047="","",IF(P1047&gt;=0,K1047,MAX(0,K1047+P1047)))</f>
        <v>1.119744</v>
      </c>
      <c r="R1047" s="16" t="n">
        <f aca="false">IF(D1047="","",Q1047/$B$15)</f>
        <v>0.432</v>
      </c>
      <c r="S1047" s="16" t="n">
        <f aca="false">IF(D1047="","",MAX(0,J1047-R1047))</f>
        <v>0</v>
      </c>
      <c r="T1047" s="16" t="n">
        <f aca="false">IF(D1047="","",MAX(0,Z1047-$B$8))</f>
        <v>19.9735600544745</v>
      </c>
      <c r="U1047" s="16" t="n">
        <f aca="false">IF(D1047="","",MAX(0,MIN($B$8,Z1047)))</f>
        <v>162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181.973560054474</v>
      </c>
      <c r="AA1047" s="18" t="n">
        <f aca="false">IF(D1047="","",IF(H1047&lt;=$B$16,1,IF(H1047&gt;=$B$17,$B$21,MATCH(H1047,Aux_CAV!$A$2:$A$121,1))))</f>
        <v>22</v>
      </c>
      <c r="AB1047" s="18" t="n">
        <f aca="false">IF(D1047="","",IF(L1047&lt;=$B$16,1,IF(L1047&gt;=$B$17,$B$21,MATCH(L1047,Aux_CAV!$A$2:$A$121,1))))</f>
        <v>23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16.8300009847734</v>
      </c>
      <c r="E1048" s="16" t="n">
        <f aca="false">IF(D1048="","",D1048*$B$15)</f>
        <v>43.6233625525327</v>
      </c>
      <c r="F1048" s="16" t="n">
        <f aca="false" t="array" ref="F1048:F1048">IF(D1048="","",IFERROR(INDEX(Dados_Evap!$C$2:$N$15,MATCH($B$9,Dados_Evap!$A$2:$A$15,0),C1048),0))</f>
        <v>83.6</v>
      </c>
      <c r="G1048" s="16" t="n">
        <f aca="false">IF(F1048="","",F1048/1000)</f>
        <v>0.0836</v>
      </c>
      <c r="H1048" s="16" t="n">
        <f aca="false">IF(D1048="","",MAX(0,MIN($B$8,IFERROR(LOOKUP(2,1/($U$24:U1047&lt;&gt;""),$U$24:U1047),$B$11))))</f>
        <v>162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15.783</v>
      </c>
      <c r="J1048" s="16" t="n">
        <f aca="false">IF(D1048="","",$B$12)</f>
        <v>0.432</v>
      </c>
      <c r="K1048" s="16" t="n">
        <f aca="false">IF(J1048="","",J1048*$B$15)</f>
        <v>1.119744</v>
      </c>
      <c r="L1048" s="16" t="n">
        <f aca="false">IF(D1048="","",H1048+E1048-K1048-G1048*I1048)</f>
        <v>203.184159752533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18.2462049832943</v>
      </c>
      <c r="N1048" s="16" t="n">
        <f aca="false">IF(D1048="","",(I1048+M1048)/2)</f>
        <v>17.0146024916472</v>
      </c>
      <c r="O1048" s="16" t="n">
        <f aca="false">IF(D1048="","",G1048*N1048)</f>
        <v>1.4224207683017</v>
      </c>
      <c r="P1048" s="16" t="n">
        <f aca="false">IF(D1048="","",H1048+E1048-K1048-O1048)</f>
        <v>203.081197784231</v>
      </c>
      <c r="Q1048" s="16" t="n">
        <f aca="false">IF(D1048="","",IF(P1048&gt;=0,K1048,MAX(0,K1048+P1048)))</f>
        <v>1.119744</v>
      </c>
      <c r="R1048" s="16" t="n">
        <f aca="false">IF(D1048="","",Q1048/$B$15)</f>
        <v>0.432</v>
      </c>
      <c r="S1048" s="16" t="n">
        <f aca="false">IF(D1048="","",MAX(0,J1048-R1048))</f>
        <v>0</v>
      </c>
      <c r="T1048" s="16" t="n">
        <f aca="false">IF(D1048="","",MAX(0,Z1048-$B$8))</f>
        <v>41.081197784231</v>
      </c>
      <c r="U1048" s="16" t="n">
        <f aca="false">IF(D1048="","",MAX(0,MIN($B$8,Z1048)))</f>
        <v>162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203.081197784231</v>
      </c>
      <c r="AA1048" s="18" t="n">
        <f aca="false">IF(D1048="","",IF(H1048&lt;=$B$16,1,IF(H1048&gt;=$B$17,$B$21,MATCH(H1048,Aux_CAV!$A$2:$A$121,1))))</f>
        <v>23</v>
      </c>
      <c r="AB1048" s="18" t="n">
        <f aca="false">IF(D1048="","",IF(L1048&lt;=$B$16,1,IF(L1048&gt;=$B$17,$B$21,MATCH(L1048,Aux_CAV!$A$2:$A$121,1))))</f>
        <v>23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7.72422984045129</v>
      </c>
      <c r="E1049" s="16" t="n">
        <f aca="false">IF(D1049="","",D1049*$B$15)</f>
        <v>20.0212037464497</v>
      </c>
      <c r="F1049" s="16" t="n">
        <f aca="false" t="array" ref="F1049:F1049">IF(D1049="","",IFERROR(INDEX(Dados_Evap!$C$2:$N$15,MATCH($B$9,Dados_Evap!$A$2:$A$15,0),C1049),0))</f>
        <v>108.2</v>
      </c>
      <c r="G1049" s="16" t="n">
        <f aca="false">IF(F1049="","",F1049/1000)</f>
        <v>0.1082</v>
      </c>
      <c r="H1049" s="16" t="n">
        <f aca="false">IF(D1049="","",MAX(0,MIN($B$8,IFERROR(LOOKUP(2,1/($U$24:U1048&lt;&gt;""),$U$24:U1048),$B$11))))</f>
        <v>162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15.783</v>
      </c>
      <c r="J1049" s="16" t="n">
        <f aca="false">IF(D1049="","",$B$12)</f>
        <v>0.432</v>
      </c>
      <c r="K1049" s="16" t="n">
        <f aca="false">IF(J1049="","",J1049*$B$15)</f>
        <v>1.119744</v>
      </c>
      <c r="L1049" s="16" t="n">
        <f aca="false">IF(D1049="","",H1049+E1049-K1049-G1049*I1049)</f>
        <v>179.19373914645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16.8113493508543</v>
      </c>
      <c r="N1049" s="16" t="n">
        <f aca="false">IF(D1049="","",(I1049+M1049)/2)</f>
        <v>16.2971746754272</v>
      </c>
      <c r="O1049" s="16" t="n">
        <f aca="false">IF(D1049="","",G1049*N1049)</f>
        <v>1.76335429988122</v>
      </c>
      <c r="P1049" s="16" t="n">
        <f aca="false">IF(D1049="","",H1049+E1049-K1049-O1049)</f>
        <v>179.138105446569</v>
      </c>
      <c r="Q1049" s="16" t="n">
        <f aca="false">IF(D1049="","",IF(P1049&gt;=0,K1049,MAX(0,K1049+P1049)))</f>
        <v>1.119744</v>
      </c>
      <c r="R1049" s="16" t="n">
        <f aca="false">IF(D1049="","",Q1049/$B$15)</f>
        <v>0.432</v>
      </c>
      <c r="S1049" s="16" t="n">
        <f aca="false">IF(D1049="","",MAX(0,J1049-R1049))</f>
        <v>0</v>
      </c>
      <c r="T1049" s="16" t="n">
        <f aca="false">IF(D1049="","",MAX(0,Z1049-$B$8))</f>
        <v>17.1381054465685</v>
      </c>
      <c r="U1049" s="16" t="n">
        <f aca="false">IF(D1049="","",MAX(0,MIN($B$8,Z1049)))</f>
        <v>162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179.138105446569</v>
      </c>
      <c r="AA1049" s="18" t="n">
        <f aca="false">IF(D1049="","",IF(H1049&lt;=$B$16,1,IF(H1049&gt;=$B$17,$B$21,MATCH(H1049,Aux_CAV!$A$2:$A$121,1))))</f>
        <v>23</v>
      </c>
      <c r="AB1049" s="18" t="n">
        <f aca="false">IF(D1049="","",IF(L1049&lt;=$B$16,1,IF(L1049&gt;=$B$17,$B$21,MATCH(L1049,Aux_CAV!$A$2:$A$121,1))))</f>
        <v>23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6.13205550816859</v>
      </c>
      <c r="E1050" s="16" t="n">
        <f aca="false">IF(D1050="","",D1050*$B$15)</f>
        <v>15.894287877173</v>
      </c>
      <c r="F1050" s="16" t="n">
        <f aca="false" t="array" ref="F1050:F1050">IF(D1050="","",IFERROR(INDEX(Dados_Evap!$C$2:$N$15,MATCH($B$9,Dados_Evap!$A$2:$A$15,0),C1050),0))</f>
        <v>149</v>
      </c>
      <c r="G1050" s="16" t="n">
        <f aca="false">IF(F1050="","",F1050/1000)</f>
        <v>0.149</v>
      </c>
      <c r="H1050" s="16" t="n">
        <f aca="false">IF(D1050="","",MAX(0,MIN($B$8,IFERROR(LOOKUP(2,1/($U$24:U1049&lt;&gt;""),$U$24:U1049),$B$11))))</f>
        <v>162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15.783</v>
      </c>
      <c r="J1050" s="16" t="n">
        <f aca="false">IF(D1050="","",$B$12)</f>
        <v>0.432</v>
      </c>
      <c r="K1050" s="16" t="n">
        <f aca="false">IF(J1050="","",J1050*$B$15)</f>
        <v>1.119744</v>
      </c>
      <c r="L1050" s="16" t="n">
        <f aca="false">IF(D1050="","",H1050+E1050-K1050-G1050*I1050)</f>
        <v>174.422876877173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16.5260063503681</v>
      </c>
      <c r="N1050" s="16" t="n">
        <f aca="false">IF(D1050="","",(I1050+M1050)/2)</f>
        <v>16.154503175184</v>
      </c>
      <c r="O1050" s="16" t="n">
        <f aca="false">IF(D1050="","",G1050*N1050)</f>
        <v>2.40702097310242</v>
      </c>
      <c r="P1050" s="16" t="n">
        <f aca="false">IF(D1050="","",H1050+E1050-K1050-O1050)</f>
        <v>174.367522904071</v>
      </c>
      <c r="Q1050" s="16" t="n">
        <f aca="false">IF(D1050="","",IF(P1050&gt;=0,K1050,MAX(0,K1050+P1050)))</f>
        <v>1.119744</v>
      </c>
      <c r="R1050" s="16" t="n">
        <f aca="false">IF(D1050="","",Q1050/$B$15)</f>
        <v>0.432</v>
      </c>
      <c r="S1050" s="16" t="n">
        <f aca="false">IF(D1050="","",MAX(0,J1050-R1050))</f>
        <v>0</v>
      </c>
      <c r="T1050" s="16" t="n">
        <f aca="false">IF(D1050="","",MAX(0,Z1050-$B$8))</f>
        <v>12.3675229040706</v>
      </c>
      <c r="U1050" s="16" t="n">
        <f aca="false">IF(D1050="","",MAX(0,MIN($B$8,Z1050)))</f>
        <v>162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100</v>
      </c>
      <c r="Z1050" s="18" t="n">
        <f aca="false">IF(D1050="","",MAX(0,IF(P1050&gt;=0,P1050,IF(K1050+P1050&gt;=0,0,P1050+K1050))))</f>
        <v>174.367522904071</v>
      </c>
      <c r="AA1050" s="18" t="n">
        <f aca="false">IF(D1050="","",IF(H1050&lt;=$B$16,1,IF(H1050&gt;=$B$17,$B$21,MATCH(H1050,Aux_CAV!$A$2:$A$121,1))))</f>
        <v>23</v>
      </c>
      <c r="AB1050" s="18" t="n">
        <f aca="false">IF(D1050="","",IF(L1050&lt;=$B$16,1,IF(L1050&gt;=$B$17,$B$21,MATCH(L1050,Aux_CAV!$A$2:$A$121,1))))</f>
        <v>23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0.656788856185391</v>
      </c>
      <c r="E1051" s="16" t="n">
        <f aca="false">IF(D1051="","",D1051*$B$15)</f>
        <v>1.70239671523253</v>
      </c>
      <c r="F1051" s="16" t="n">
        <f aca="false" t="array" ref="F1051:F1051">IF(D1051="","",IFERROR(INDEX(Dados_Evap!$C$2:$N$15,MATCH($B$9,Dados_Evap!$A$2:$A$15,0),C1051),0))</f>
        <v>206.8</v>
      </c>
      <c r="G1051" s="16" t="n">
        <f aca="false">IF(F1051="","",F1051/1000)</f>
        <v>0.2068</v>
      </c>
      <c r="H1051" s="16" t="n">
        <f aca="false">IF(D1051="","",MAX(0,MIN($B$8,IFERROR(LOOKUP(2,1/($U$24:U1050&lt;&gt;""),$U$24:U1050),$B$11))))</f>
        <v>162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15.783</v>
      </c>
      <c r="J1051" s="16" t="n">
        <f aca="false">IF(D1051="","",$B$12)</f>
        <v>0.432</v>
      </c>
      <c r="K1051" s="16" t="n">
        <f aca="false">IF(J1051="","",J1051*$B$15)</f>
        <v>1.119744</v>
      </c>
      <c r="L1051" s="16" t="n">
        <f aca="false">IF(D1051="","",H1051+E1051-K1051-G1051*I1051)</f>
        <v>159.318728315233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15.587785281337</v>
      </c>
      <c r="N1051" s="16" t="n">
        <f aca="false">IF(D1051="","",(I1051+M1051)/2)</f>
        <v>15.6853926406685</v>
      </c>
      <c r="O1051" s="16" t="n">
        <f aca="false">IF(D1051="","",G1051*N1051)</f>
        <v>3.24373919809024</v>
      </c>
      <c r="P1051" s="16" t="n">
        <f aca="false">IF(D1051="","",H1051+E1051-K1051-O1051)</f>
        <v>159.338913517142</v>
      </c>
      <c r="Q1051" s="16" t="n">
        <f aca="false">IF(D1051="","",IF(P1051&gt;=0,K1051,MAX(0,K1051+P1051)))</f>
        <v>1.119744</v>
      </c>
      <c r="R1051" s="16" t="n">
        <f aca="false">IF(D1051="","",Q1051/$B$15)</f>
        <v>0.432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159.338913517142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98.3573540229273</v>
      </c>
      <c r="Z1051" s="18" t="n">
        <f aca="false">IF(D1051="","",MAX(0,IF(P1051&gt;=0,P1051,IF(K1051+P1051&gt;=0,0,P1051+K1051))))</f>
        <v>159.338913517142</v>
      </c>
      <c r="AA1051" s="18" t="n">
        <f aca="false">IF(D1051="","",IF(H1051&lt;=$B$16,1,IF(H1051&gt;=$B$17,$B$21,MATCH(H1051,Aux_CAV!$A$2:$A$121,1))))</f>
        <v>23</v>
      </c>
      <c r="AB1051" s="18" t="n">
        <f aca="false">IF(D1051="","",IF(L1051&lt;=$B$16,1,IF(L1051&gt;=$B$17,$B$21,MATCH(L1051,Aux_CAV!$A$2:$A$121,1))))</f>
        <v>22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0.636617635693876</v>
      </c>
      <c r="E1052" s="16" t="n">
        <f aca="false">IF(D1052="","",D1052*$B$15)</f>
        <v>1.65011291171853</v>
      </c>
      <c r="F1052" s="16" t="n">
        <f aca="false" t="array" ref="F1052:F1052">IF(D1052="","",IFERROR(INDEX(Dados_Evap!$C$2:$N$15,MATCH($B$9,Dados_Evap!$A$2:$A$15,0),C1052),0))</f>
        <v>245.9</v>
      </c>
      <c r="G1052" s="16" t="n">
        <f aca="false">IF(F1052="","",F1052/1000)</f>
        <v>0.2459</v>
      </c>
      <c r="H1052" s="16" t="n">
        <f aca="false">IF(D1052="","",MAX(0,MIN($B$8,IFERROR(LOOKUP(2,1/($U$24:U1051&lt;&gt;""),$U$24:U1051),$B$11))))</f>
        <v>159.338913517142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15.589254900598</v>
      </c>
      <c r="J1052" s="16" t="n">
        <f aca="false">IF(D1052="","",$B$12)</f>
        <v>0.432</v>
      </c>
      <c r="K1052" s="16" t="n">
        <f aca="false">IF(J1052="","",J1052*$B$15)</f>
        <v>1.119744</v>
      </c>
      <c r="L1052" s="16" t="n">
        <f aca="false">IF(D1052="","",H1052+E1052-K1052-G1052*I1052)</f>
        <v>156.035884648804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15.3487720525033</v>
      </c>
      <c r="N1052" s="16" t="n">
        <f aca="false">IF(D1052="","",(I1052+M1052)/2)</f>
        <v>15.4690134765507</v>
      </c>
      <c r="O1052" s="16" t="n">
        <f aca="false">IF(D1052="","",G1052*N1052)</f>
        <v>3.80383041388381</v>
      </c>
      <c r="P1052" s="16" t="n">
        <f aca="false">IF(D1052="","",H1052+E1052-K1052-O1052)</f>
        <v>156.065452014977</v>
      </c>
      <c r="Q1052" s="16" t="n">
        <f aca="false">IF(D1052="","",IF(P1052&gt;=0,K1052,MAX(0,K1052+P1052)))</f>
        <v>1.119744</v>
      </c>
      <c r="R1052" s="16" t="n">
        <f aca="false">IF(D1052="","",Q1052/$B$15)</f>
        <v>0.432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156.065452014977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96.3366987746772</v>
      </c>
      <c r="Z1052" s="18" t="n">
        <f aca="false">IF(D1052="","",MAX(0,IF(P1052&gt;=0,P1052,IF(K1052+P1052&gt;=0,0,P1052+K1052))))</f>
        <v>156.065452014977</v>
      </c>
      <c r="AA1052" s="18" t="n">
        <f aca="false">IF(D1052="","",IF(H1052&lt;=$B$16,1,IF(H1052&gt;=$B$17,$B$21,MATCH(H1052,Aux_CAV!$A$2:$A$121,1))))</f>
        <v>22</v>
      </c>
      <c r="AB1052" s="18" t="n">
        <f aca="false">IF(D1052="","",IF(L1052&lt;=$B$16,1,IF(L1052&gt;=$B$17,$B$21,MATCH(L1052,Aux_CAV!$A$2:$A$121,1))))</f>
        <v>22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0.694672317271345</v>
      </c>
      <c r="E1053" s="16" t="n">
        <f aca="false">IF(D1053="","",D1053*$B$15)</f>
        <v>1.80059064636733</v>
      </c>
      <c r="F1053" s="16" t="n">
        <f aca="false" t="array" ref="F1053:F1053">IF(D1053="","",IFERROR(INDEX(Dados_Evap!$C$2:$N$15,MATCH($B$9,Dados_Evap!$A$2:$A$15,0),C1053),0))</f>
        <v>282.3</v>
      </c>
      <c r="G1053" s="16" t="n">
        <f aca="false">IF(F1053="","",F1053/1000)</f>
        <v>0.2823</v>
      </c>
      <c r="H1053" s="16" t="n">
        <f aca="false">IF(D1053="","",MAX(0,MIN($B$8,IFERROR(LOOKUP(2,1/($U$24:U1052&lt;&gt;""),$U$24:U1052),$B$11))))</f>
        <v>156.065452014977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15.3509247567973</v>
      </c>
      <c r="J1053" s="16" t="n">
        <f aca="false">IF(D1053="","",$B$12)</f>
        <v>0.432</v>
      </c>
      <c r="K1053" s="16" t="n">
        <f aca="false">IF(J1053="","",J1053*$B$15)</f>
        <v>1.119744</v>
      </c>
      <c r="L1053" s="16" t="n">
        <f aca="false">IF(D1053="","",H1053+E1053-K1053-G1053*I1053)</f>
        <v>152.4127326025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15.0849820712752</v>
      </c>
      <c r="N1053" s="16" t="n">
        <f aca="false">IF(D1053="","",(I1053+M1053)/2)</f>
        <v>15.2179534140362</v>
      </c>
      <c r="O1053" s="16" t="n">
        <f aca="false">IF(D1053="","",G1053*N1053)</f>
        <v>4.29602824878243</v>
      </c>
      <c r="P1053" s="16" t="n">
        <f aca="false">IF(D1053="","",H1053+E1053-K1053-O1053)</f>
        <v>152.450270412562</v>
      </c>
      <c r="Q1053" s="16" t="n">
        <f aca="false">IF(D1053="","",IF(P1053&gt;=0,K1053,MAX(0,K1053+P1053)))</f>
        <v>1.119744</v>
      </c>
      <c r="R1053" s="16" t="n">
        <f aca="false">IF(D1053="","",Q1053/$B$15)</f>
        <v>0.432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152.450270412562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94.1051051929395</v>
      </c>
      <c r="Z1053" s="18" t="n">
        <f aca="false">IF(D1053="","",MAX(0,IF(P1053&gt;=0,P1053,IF(K1053+P1053&gt;=0,0,P1053+K1053))))</f>
        <v>152.450270412562</v>
      </c>
      <c r="AA1053" s="18" t="n">
        <f aca="false">IF(D1053="","",IF(H1053&lt;=$B$16,1,IF(H1053&gt;=$B$17,$B$21,MATCH(H1053,Aux_CAV!$A$2:$A$121,1))))</f>
        <v>22</v>
      </c>
      <c r="AB1053" s="18" t="n">
        <f aca="false">IF(D1053="","",IF(L1053&lt;=$B$16,1,IF(L1053&gt;=$B$17,$B$21,MATCH(L1053,Aux_CAV!$A$2:$A$121,1))))</f>
        <v>22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0.732668248367949</v>
      </c>
      <c r="E1054" s="16" t="n">
        <f aca="false">IF(D1054="","",D1054*$B$15)</f>
        <v>1.89907609976972</v>
      </c>
      <c r="F1054" s="16" t="n">
        <f aca="false" t="array" ref="F1054:F1054">IF(D1054="","",IFERROR(INDEX(Dados_Evap!$C$2:$N$15,MATCH($B$9,Dados_Evap!$A$2:$A$15,0),C1054),0))</f>
        <v>241.3</v>
      </c>
      <c r="G1054" s="16" t="n">
        <f aca="false">IF(F1054="","",F1054/1000)</f>
        <v>0.2413</v>
      </c>
      <c r="H1054" s="16" t="n">
        <f aca="false">IF(D1054="","",MAX(0,MIN($B$8,IFERROR(LOOKUP(2,1/($U$24:U1053&lt;&gt;""),$U$24:U1053),$B$11))))</f>
        <v>152.450270412562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15.0877150778078</v>
      </c>
      <c r="J1054" s="16" t="n">
        <f aca="false">IF(D1054="","",$B$12)</f>
        <v>0.432</v>
      </c>
      <c r="K1054" s="16" t="n">
        <f aca="false">IF(J1054="","",J1054*$B$15)</f>
        <v>1.119744</v>
      </c>
      <c r="L1054" s="16" t="n">
        <f aca="false">IF(D1054="","",H1054+E1054-K1054-G1054*I1054)</f>
        <v>149.588936864057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14.879390637265</v>
      </c>
      <c r="N1054" s="16" t="n">
        <f aca="false">IF(D1054="","",(I1054+M1054)/2)</f>
        <v>14.9835528575364</v>
      </c>
      <c r="O1054" s="16" t="n">
        <f aca="false">IF(D1054="","",G1054*N1054)</f>
        <v>3.61553130452354</v>
      </c>
      <c r="P1054" s="16" t="n">
        <f aca="false">IF(D1054="","",H1054+E1054-K1054-O1054)</f>
        <v>149.614071207808</v>
      </c>
      <c r="Q1054" s="16" t="n">
        <f aca="false">IF(D1054="","",IF(P1054&gt;=0,K1054,MAX(0,K1054+P1054)))</f>
        <v>1.119744</v>
      </c>
      <c r="R1054" s="16" t="n">
        <f aca="false">IF(D1054="","",Q1054/$B$15)</f>
        <v>0.432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149.614071207808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92.3543649430914</v>
      </c>
      <c r="Z1054" s="18" t="n">
        <f aca="false">IF(D1054="","",MAX(0,IF(P1054&gt;=0,P1054,IF(K1054+P1054&gt;=0,0,P1054+K1054))))</f>
        <v>149.614071207808</v>
      </c>
      <c r="AA1054" s="18" t="n">
        <f aca="false">IF(D1054="","",IF(H1054&lt;=$B$16,1,IF(H1054&gt;=$B$17,$B$21,MATCH(H1054,Aux_CAV!$A$2:$A$121,1))))</f>
        <v>22</v>
      </c>
      <c r="AB1054" s="18" t="n">
        <f aca="false">IF(D1054="","",IF(L1054&lt;=$B$16,1,IF(L1054&gt;=$B$17,$B$21,MATCH(L1054,Aux_CAV!$A$2:$A$121,1))))</f>
        <v>22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0.551084711935386</v>
      </c>
      <c r="E1055" s="16" t="n">
        <f aca="false">IF(D1055="","",D1055*$B$15)</f>
        <v>1.42841157333652</v>
      </c>
      <c r="F1055" s="16" t="n">
        <f aca="false" t="array" ref="F1055:F1055">IF(D1055="","",IFERROR(INDEX(Dados_Evap!$C$2:$N$15,MATCH($B$9,Dados_Evap!$A$2:$A$15,0),C1055),0))</f>
        <v>241.8</v>
      </c>
      <c r="G1055" s="16" t="n">
        <f aca="false">IF(F1055="","",F1055/1000)</f>
        <v>0.2418</v>
      </c>
      <c r="H1055" s="16" t="n">
        <f aca="false">IF(D1055="","",MAX(0,MIN($B$8,IFERROR(LOOKUP(2,1/($U$24:U1054&lt;&gt;""),$U$24:U1054),$B$11))))</f>
        <v>149.614071207808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14.8812205875353</v>
      </c>
      <c r="J1055" s="16" t="n">
        <f aca="false">IF(D1055="","",$B$12)</f>
        <v>0.432</v>
      </c>
      <c r="K1055" s="16" t="n">
        <f aca="false">IF(J1055="","",J1055*$B$15)</f>
        <v>1.119744</v>
      </c>
      <c r="L1055" s="16" t="n">
        <f aca="false">IF(D1055="","",H1055+E1055-K1055-G1055*I1055)</f>
        <v>146.324459643079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14.6417146099174</v>
      </c>
      <c r="N1055" s="16" t="n">
        <f aca="false">IF(D1055="","",(I1055+M1055)/2)</f>
        <v>14.7614675987264</v>
      </c>
      <c r="O1055" s="16" t="n">
        <f aca="false">IF(D1055="","",G1055*N1055)</f>
        <v>3.56932286537204</v>
      </c>
      <c r="P1055" s="16" t="n">
        <f aca="false">IF(D1055="","",H1055+E1055-K1055-O1055)</f>
        <v>146.353415915773</v>
      </c>
      <c r="Q1055" s="16" t="n">
        <f aca="false">IF(D1055="","",IF(P1055&gt;=0,K1055,MAX(0,K1055+P1055)))</f>
        <v>1.119744</v>
      </c>
      <c r="R1055" s="16" t="n">
        <f aca="false">IF(D1055="","",Q1055/$B$15)</f>
        <v>0.432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146.353415915773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90.3416147628226</v>
      </c>
      <c r="Z1055" s="18" t="n">
        <f aca="false">IF(D1055="","",MAX(0,IF(P1055&gt;=0,P1055,IF(K1055+P1055&gt;=0,0,P1055+K1055))))</f>
        <v>146.353415915773</v>
      </c>
      <c r="AA1055" s="18" t="n">
        <f aca="false">IF(D1055="","",IF(H1055&lt;=$B$16,1,IF(H1055&gt;=$B$17,$B$21,MATCH(H1055,Aux_CAV!$A$2:$A$121,1))))</f>
        <v>22</v>
      </c>
      <c r="AB1055" s="18" t="n">
        <f aca="false">IF(D1055="","",IF(L1055&lt;=$B$16,1,IF(L1055&gt;=$B$17,$B$21,MATCH(L1055,Aux_CAV!$A$2:$A$121,1))))</f>
        <v>22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2.53208441588874</v>
      </c>
      <c r="E1056" s="16" t="n">
        <f aca="false">IF(D1056="","",D1056*$B$15)</f>
        <v>6.56316280598361</v>
      </c>
      <c r="F1056" s="16" t="n">
        <f aca="false" t="array" ref="F1056:F1056">IF(D1056="","",IFERROR(INDEX(Dados_Evap!$C$2:$N$15,MATCH($B$9,Dados_Evap!$A$2:$A$15,0),C1056),0))</f>
        <v>189</v>
      </c>
      <c r="G1056" s="16" t="n">
        <f aca="false">IF(F1056="","",F1056/1000)</f>
        <v>0.189</v>
      </c>
      <c r="H1056" s="16" t="n">
        <f aca="false">IF(D1056="","",MAX(0,MIN($B$8,IFERROR(LOOKUP(2,1/($U$24:U1055&lt;&gt;""),$U$24:U1055),$B$11))))</f>
        <v>146.353415915773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14.6438228224718</v>
      </c>
      <c r="J1056" s="16" t="n">
        <f aca="false">IF(D1056="","",$B$12)</f>
        <v>0.432</v>
      </c>
      <c r="K1056" s="16" t="n">
        <f aca="false">IF(J1056="","",J1056*$B$15)</f>
        <v>1.119744</v>
      </c>
      <c r="L1056" s="16" t="n">
        <f aca="false">IF(D1056="","",H1056+E1056-K1056-G1056*I1056)</f>
        <v>149.029152208309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14.838634527131</v>
      </c>
      <c r="N1056" s="16" t="n">
        <f aca="false">IF(D1056="","",(I1056+M1056)/2)</f>
        <v>14.7412286748014</v>
      </c>
      <c r="O1056" s="16" t="n">
        <f aca="false">IF(D1056="","",G1056*N1056)</f>
        <v>2.78609221953746</v>
      </c>
      <c r="P1056" s="16" t="n">
        <f aca="false">IF(D1056="","",H1056+E1056-K1056-O1056)</f>
        <v>149.010742502219</v>
      </c>
      <c r="Q1056" s="16" t="n">
        <f aca="false">IF(D1056="","",IF(P1056&gt;=0,K1056,MAX(0,K1056+P1056)))</f>
        <v>1.119744</v>
      </c>
      <c r="R1056" s="16" t="n">
        <f aca="false">IF(D1056="","",Q1056/$B$15)</f>
        <v>0.432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149.010742502219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91.9819398161844</v>
      </c>
      <c r="Z1056" s="18" t="n">
        <f aca="false">IF(D1056="","",MAX(0,IF(P1056&gt;=0,P1056,IF(K1056+P1056&gt;=0,0,P1056+K1056))))</f>
        <v>149.010742502219</v>
      </c>
      <c r="AA1056" s="18" t="n">
        <f aca="false">IF(D1056="","",IF(H1056&lt;=$B$16,1,IF(H1056&gt;=$B$17,$B$21,MATCH(H1056,Aux_CAV!$A$2:$A$121,1))))</f>
        <v>22</v>
      </c>
      <c r="AB1056" s="18" t="n">
        <f aca="false">IF(D1056="","",IF(L1056&lt;=$B$16,1,IF(L1056&gt;=$B$17,$B$21,MATCH(L1056,Aux_CAV!$A$2:$A$121,1))))</f>
        <v>22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2.41663545049859</v>
      </c>
      <c r="E1057" s="16" t="n">
        <f aca="false">IF(D1057="","",D1057*$B$15)</f>
        <v>6.26391908769235</v>
      </c>
      <c r="F1057" s="16" t="n">
        <f aca="false" t="array" ref="F1057:F1057">IF(D1057="","",IFERROR(INDEX(Dados_Evap!$C$2:$N$15,MATCH($B$9,Dados_Evap!$A$2:$A$15,0),C1057),0))</f>
        <v>136.9</v>
      </c>
      <c r="G1057" s="16" t="n">
        <f aca="false">IF(F1057="","",F1057/1000)</f>
        <v>0.1369</v>
      </c>
      <c r="H1057" s="16" t="n">
        <f aca="false">IF(D1057="","",MAX(0,MIN($B$8,IFERROR(LOOKUP(2,1/($U$24:U1056&lt;&gt;""),$U$24:U1056),$B$11))))</f>
        <v>149.010742502219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14.8372941759776</v>
      </c>
      <c r="J1057" s="16" t="n">
        <f aca="false">IF(D1057="","",$B$12)</f>
        <v>0.432</v>
      </c>
      <c r="K1057" s="16" t="n">
        <f aca="false">IF(J1057="","",J1057*$B$15)</f>
        <v>1.119744</v>
      </c>
      <c r="L1057" s="16" t="n">
        <f aca="false">IF(D1057="","",H1057+E1057-K1057-G1057*I1057)</f>
        <v>152.12369201722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15.0639379611768</v>
      </c>
      <c r="N1057" s="16" t="n">
        <f aca="false">IF(D1057="","",(I1057+M1057)/2)</f>
        <v>14.9506160685772</v>
      </c>
      <c r="O1057" s="16" t="n">
        <f aca="false">IF(D1057="","",G1057*N1057)</f>
        <v>2.04673933978822</v>
      </c>
      <c r="P1057" s="16" t="n">
        <f aca="false">IF(D1057="","",H1057+E1057-K1057-O1057)</f>
        <v>152.108178250123</v>
      </c>
      <c r="Q1057" s="16" t="n">
        <f aca="false">IF(D1057="","",IF(P1057&gt;=0,K1057,MAX(0,K1057+P1057)))</f>
        <v>1.119744</v>
      </c>
      <c r="R1057" s="16" t="n">
        <f aca="false">IF(D1057="","",Q1057/$B$15)</f>
        <v>0.432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152.108178250123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93.8939371914339</v>
      </c>
      <c r="Z1057" s="18" t="n">
        <f aca="false">IF(D1057="","",MAX(0,IF(P1057&gt;=0,P1057,IF(K1057+P1057&gt;=0,0,P1057+K1057))))</f>
        <v>152.108178250123</v>
      </c>
      <c r="AA1057" s="18" t="n">
        <f aca="false">IF(D1057="","",IF(H1057&lt;=$B$16,1,IF(H1057&gt;=$B$17,$B$21,MATCH(H1057,Aux_CAV!$A$2:$A$121,1))))</f>
        <v>22</v>
      </c>
      <c r="AB1057" s="18" t="n">
        <f aca="false">IF(D1057="","",IF(L1057&lt;=$B$16,1,IF(L1057&gt;=$B$17,$B$21,MATCH(L1057,Aux_CAV!$A$2:$A$121,1))))</f>
        <v>22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9.91303543835977</v>
      </c>
      <c r="E1058" s="16" t="n">
        <f aca="false">IF(D1058="","",D1058*$B$15)</f>
        <v>25.6945878562285</v>
      </c>
      <c r="F1058" s="16" t="n">
        <f aca="false" t="array" ref="F1058:F1058">IF(D1058="","",IFERROR(INDEX(Dados_Evap!$C$2:$N$15,MATCH($B$9,Dados_Evap!$A$2:$A$15,0),C1058),0))</f>
        <v>102.9</v>
      </c>
      <c r="G1058" s="16" t="n">
        <f aca="false">IF(F1058="","",F1058/1000)</f>
        <v>0.1029</v>
      </c>
      <c r="H1058" s="16" t="n">
        <f aca="false">IF(D1058="","",MAX(0,MIN($B$8,IFERROR(LOOKUP(2,1/($U$24:U1057&lt;&gt;""),$U$24:U1057),$B$11))))</f>
        <v>152.108178250123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15.0628084539745</v>
      </c>
      <c r="J1058" s="16" t="n">
        <f aca="false">IF(D1058="","",$B$12)</f>
        <v>0.432</v>
      </c>
      <c r="K1058" s="16" t="n">
        <f aca="false">IF(J1058="","",J1058*$B$15)</f>
        <v>1.119744</v>
      </c>
      <c r="L1058" s="16" t="n">
        <f aca="false">IF(D1058="","",H1058+E1058-K1058-G1058*I1058)</f>
        <v>175.133059116437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16.5684820119165</v>
      </c>
      <c r="N1058" s="16" t="n">
        <f aca="false">IF(D1058="","",(I1058+M1058)/2)</f>
        <v>15.8156452329455</v>
      </c>
      <c r="O1058" s="16" t="n">
        <f aca="false">IF(D1058="","",G1058*N1058)</f>
        <v>1.62742989447009</v>
      </c>
      <c r="P1058" s="16" t="n">
        <f aca="false">IF(D1058="","",H1058+E1058-K1058-O1058)</f>
        <v>175.055592211881</v>
      </c>
      <c r="Q1058" s="16" t="n">
        <f aca="false">IF(D1058="","",IF(P1058&gt;=0,K1058,MAX(0,K1058+P1058)))</f>
        <v>1.119744</v>
      </c>
      <c r="R1058" s="16" t="n">
        <f aca="false">IF(D1058="","",Q1058/$B$15)</f>
        <v>0.432</v>
      </c>
      <c r="S1058" s="16" t="n">
        <f aca="false">IF(D1058="","",MAX(0,J1058-R1058))</f>
        <v>0</v>
      </c>
      <c r="T1058" s="16" t="n">
        <f aca="false">IF(D1058="","",MAX(0,Z1058-$B$8))</f>
        <v>13.0555922118814</v>
      </c>
      <c r="U1058" s="16" t="n">
        <f aca="false">IF(D1058="","",MAX(0,MIN($B$8,Z1058)))</f>
        <v>162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100</v>
      </c>
      <c r="Z1058" s="18" t="n">
        <f aca="false">IF(D1058="","",MAX(0,IF(P1058&gt;=0,P1058,IF(K1058+P1058&gt;=0,0,P1058+K1058))))</f>
        <v>175.055592211881</v>
      </c>
      <c r="AA1058" s="18" t="n">
        <f aca="false">IF(D1058="","",IF(H1058&lt;=$B$16,1,IF(H1058&gt;=$B$17,$B$21,MATCH(H1058,Aux_CAV!$A$2:$A$121,1))))</f>
        <v>22</v>
      </c>
      <c r="AB1058" s="18" t="n">
        <f aca="false">IF(D1058="","",IF(L1058&lt;=$B$16,1,IF(L1058&gt;=$B$17,$B$21,MATCH(L1058,Aux_CAV!$A$2:$A$121,1))))</f>
        <v>23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18.8597918936359</v>
      </c>
      <c r="E1059" s="16" t="n">
        <f aca="false">IF(D1059="","",D1059*$B$15)</f>
        <v>48.8845805883043</v>
      </c>
      <c r="F1059" s="16" t="n">
        <f aca="false" t="array" ref="F1059:F1059">IF(D1059="","",IFERROR(INDEX(Dados_Evap!$C$2:$N$15,MATCH($B$9,Dados_Evap!$A$2:$A$15,0),C1059),0))</f>
        <v>81.8</v>
      </c>
      <c r="G1059" s="16" t="n">
        <f aca="false">IF(F1059="","",F1059/1000)</f>
        <v>0.0818</v>
      </c>
      <c r="H1059" s="16" t="n">
        <f aca="false">IF(D1059="","",MAX(0,MIN($B$8,IFERROR(LOOKUP(2,1/($U$24:U1058&lt;&gt;""),$U$24:U1058),$B$11))))</f>
        <v>162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15.783</v>
      </c>
      <c r="J1059" s="16" t="n">
        <f aca="false">IF(D1059="","",$B$12)</f>
        <v>0.432</v>
      </c>
      <c r="K1059" s="16" t="n">
        <f aca="false">IF(J1059="","",J1059*$B$15)</f>
        <v>1.119744</v>
      </c>
      <c r="L1059" s="16" t="n">
        <f aca="false">IF(D1059="","",H1059+E1059-K1059-G1059*I1059)</f>
        <v>208.473787188304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18.5625750813576</v>
      </c>
      <c r="N1059" s="16" t="n">
        <f aca="false">IF(D1059="","",(I1059+M1059)/2)</f>
        <v>17.1727875406788</v>
      </c>
      <c r="O1059" s="16" t="n">
        <f aca="false">IF(D1059="","",G1059*N1059)</f>
        <v>1.40473402082753</v>
      </c>
      <c r="P1059" s="16" t="n">
        <f aca="false">IF(D1059="","",H1059+E1059-K1059-O1059)</f>
        <v>208.360102567477</v>
      </c>
      <c r="Q1059" s="16" t="n">
        <f aca="false">IF(D1059="","",IF(P1059&gt;=0,K1059,MAX(0,K1059+P1059)))</f>
        <v>1.119744</v>
      </c>
      <c r="R1059" s="16" t="n">
        <f aca="false">IF(D1059="","",Q1059/$B$15)</f>
        <v>0.432</v>
      </c>
      <c r="S1059" s="16" t="n">
        <f aca="false">IF(D1059="","",MAX(0,J1059-R1059))</f>
        <v>0</v>
      </c>
      <c r="T1059" s="16" t="n">
        <f aca="false">IF(D1059="","",MAX(0,Z1059-$B$8))</f>
        <v>46.3601025674767</v>
      </c>
      <c r="U1059" s="16" t="n">
        <f aca="false">IF(D1059="","",MAX(0,MIN($B$8,Z1059)))</f>
        <v>162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208.360102567477</v>
      </c>
      <c r="AA1059" s="18" t="n">
        <f aca="false">IF(D1059="","",IF(H1059&lt;=$B$16,1,IF(H1059&gt;=$B$17,$B$21,MATCH(H1059,Aux_CAV!$A$2:$A$121,1))))</f>
        <v>23</v>
      </c>
      <c r="AB1059" s="18" t="n">
        <f aca="false">IF(D1059="","",IF(L1059&lt;=$B$16,1,IF(L1059&gt;=$B$17,$B$21,MATCH(L1059,Aux_CAV!$A$2:$A$121,1))))</f>
        <v>23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10.4571597091767</v>
      </c>
      <c r="E1060" s="16" t="n">
        <f aca="false">IF(D1060="","",D1060*$B$15)</f>
        <v>27.104957966186</v>
      </c>
      <c r="F1060" s="16" t="n">
        <f aca="false" t="array" ref="F1060:F1060">IF(D1060="","",IFERROR(INDEX(Dados_Evap!$C$2:$N$15,MATCH($B$9,Dados_Evap!$A$2:$A$15,0),C1060),0))</f>
        <v>83.6</v>
      </c>
      <c r="G1060" s="16" t="n">
        <f aca="false">IF(F1060="","",F1060/1000)</f>
        <v>0.0836</v>
      </c>
      <c r="H1060" s="16" t="n">
        <f aca="false">IF(D1060="","",MAX(0,MIN($B$8,IFERROR(LOOKUP(2,1/($U$24:U1059&lt;&gt;""),$U$24:U1059),$B$11))))</f>
        <v>162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15.783</v>
      </c>
      <c r="J1060" s="16" t="n">
        <f aca="false">IF(D1060="","",$B$12)</f>
        <v>0.432</v>
      </c>
      <c r="K1060" s="16" t="n">
        <f aca="false">IF(J1060="","",J1060*$B$15)</f>
        <v>1.119744</v>
      </c>
      <c r="L1060" s="16" t="n">
        <f aca="false">IF(D1060="","",H1060+E1060-K1060-G1060*I1060)</f>
        <v>186.665755166186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17.2582470708919</v>
      </c>
      <c r="N1060" s="16" t="n">
        <f aca="false">IF(D1060="","",(I1060+M1060)/2)</f>
        <v>16.5206235354459</v>
      </c>
      <c r="O1060" s="16" t="n">
        <f aca="false">IF(D1060="","",G1060*N1060)</f>
        <v>1.38112412756328</v>
      </c>
      <c r="P1060" s="16" t="n">
        <f aca="false">IF(D1060="","",H1060+E1060-K1060-O1060)</f>
        <v>186.604089838623</v>
      </c>
      <c r="Q1060" s="16" t="n">
        <f aca="false">IF(D1060="","",IF(P1060&gt;=0,K1060,MAX(0,K1060+P1060)))</f>
        <v>1.119744</v>
      </c>
      <c r="R1060" s="16" t="n">
        <f aca="false">IF(D1060="","",Q1060/$B$15)</f>
        <v>0.432</v>
      </c>
      <c r="S1060" s="16" t="n">
        <f aca="false">IF(D1060="","",MAX(0,J1060-R1060))</f>
        <v>0</v>
      </c>
      <c r="T1060" s="16" t="n">
        <f aca="false">IF(D1060="","",MAX(0,Z1060-$B$8))</f>
        <v>24.6040898386227</v>
      </c>
      <c r="U1060" s="16" t="n">
        <f aca="false">IF(D1060="","",MAX(0,MIN($B$8,Z1060)))</f>
        <v>162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186.604089838623</v>
      </c>
      <c r="AA1060" s="18" t="n">
        <f aca="false">IF(D1060="","",IF(H1060&lt;=$B$16,1,IF(H1060&gt;=$B$17,$B$21,MATCH(H1060,Aux_CAV!$A$2:$A$121,1))))</f>
        <v>23</v>
      </c>
      <c r="AB1060" s="18" t="n">
        <f aca="false">IF(D1060="","",IF(L1060&lt;=$B$16,1,IF(L1060&gt;=$B$17,$B$21,MATCH(L1060,Aux_CAV!$A$2:$A$121,1))))</f>
        <v>23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2.75384424007757</v>
      </c>
      <c r="E1061" s="16" t="n">
        <f aca="false">IF(D1061="","",D1061*$B$15)</f>
        <v>7.13796427028106</v>
      </c>
      <c r="F1061" s="16" t="n">
        <f aca="false" t="array" ref="F1061:F1061">IF(D1061="","",IFERROR(INDEX(Dados_Evap!$C$2:$N$15,MATCH($B$9,Dados_Evap!$A$2:$A$15,0),C1061),0))</f>
        <v>108.2</v>
      </c>
      <c r="G1061" s="16" t="n">
        <f aca="false">IF(F1061="","",F1061/1000)</f>
        <v>0.1082</v>
      </c>
      <c r="H1061" s="16" t="n">
        <f aca="false">IF(D1061="","",MAX(0,MIN($B$8,IFERROR(LOOKUP(2,1/($U$24:U1060&lt;&gt;""),$U$24:U1060),$B$11))))</f>
        <v>162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15.783</v>
      </c>
      <c r="J1061" s="16" t="n">
        <f aca="false">IF(D1061="","",$B$12)</f>
        <v>0.432</v>
      </c>
      <c r="K1061" s="16" t="n">
        <f aca="false">IF(J1061="","",J1061*$B$15)</f>
        <v>1.119744</v>
      </c>
      <c r="L1061" s="16" t="n">
        <f aca="false">IF(D1061="","",H1061+E1061-K1061-G1061*I1061)</f>
        <v>166.310499670281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16.0408089326606</v>
      </c>
      <c r="N1061" s="16" t="n">
        <f aca="false">IF(D1061="","",(I1061+M1061)/2)</f>
        <v>15.9119044663303</v>
      </c>
      <c r="O1061" s="16" t="n">
        <f aca="false">IF(D1061="","",G1061*N1061)</f>
        <v>1.72166806325694</v>
      </c>
      <c r="P1061" s="16" t="n">
        <f aca="false">IF(D1061="","",H1061+E1061-K1061-O1061)</f>
        <v>166.296552207024</v>
      </c>
      <c r="Q1061" s="16" t="n">
        <f aca="false">IF(D1061="","",IF(P1061&gt;=0,K1061,MAX(0,K1061+P1061)))</f>
        <v>1.119744</v>
      </c>
      <c r="R1061" s="16" t="n">
        <f aca="false">IF(D1061="","",Q1061/$B$15)</f>
        <v>0.432</v>
      </c>
      <c r="S1061" s="16" t="n">
        <f aca="false">IF(D1061="","",MAX(0,J1061-R1061))</f>
        <v>0</v>
      </c>
      <c r="T1061" s="16" t="n">
        <f aca="false">IF(D1061="","",MAX(0,Z1061-$B$8))</f>
        <v>4.29655220702412</v>
      </c>
      <c r="U1061" s="16" t="n">
        <f aca="false">IF(D1061="","",MAX(0,MIN($B$8,Z1061)))</f>
        <v>162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100</v>
      </c>
      <c r="Z1061" s="18" t="n">
        <f aca="false">IF(D1061="","",MAX(0,IF(P1061&gt;=0,P1061,IF(K1061+P1061&gt;=0,0,P1061+K1061))))</f>
        <v>166.296552207024</v>
      </c>
      <c r="AA1061" s="18" t="n">
        <f aca="false">IF(D1061="","",IF(H1061&lt;=$B$16,1,IF(H1061&gt;=$B$17,$B$21,MATCH(H1061,Aux_CAV!$A$2:$A$121,1))))</f>
        <v>23</v>
      </c>
      <c r="AB1061" s="18" t="n">
        <f aca="false">IF(D1061="","",IF(L1061&lt;=$B$16,1,IF(L1061&gt;=$B$17,$B$21,MATCH(L1061,Aux_CAV!$A$2:$A$121,1))))</f>
        <v>23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1.7639701074029</v>
      </c>
      <c r="E1062" s="16" t="n">
        <f aca="false">IF(D1062="","",D1062*$B$15)</f>
        <v>4.57221051838832</v>
      </c>
      <c r="F1062" s="16" t="n">
        <f aca="false" t="array" ref="F1062:F1062">IF(D1062="","",IFERROR(INDEX(Dados_Evap!$C$2:$N$15,MATCH($B$9,Dados_Evap!$A$2:$A$15,0),C1062),0))</f>
        <v>149</v>
      </c>
      <c r="G1062" s="16" t="n">
        <f aca="false">IF(F1062="","",F1062/1000)</f>
        <v>0.149</v>
      </c>
      <c r="H1062" s="16" t="n">
        <f aca="false">IF(D1062="","",MAX(0,MIN($B$8,IFERROR(LOOKUP(2,1/($U$24:U1061&lt;&gt;""),$U$24:U1061),$B$11))))</f>
        <v>162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15.783</v>
      </c>
      <c r="J1062" s="16" t="n">
        <f aca="false">IF(D1062="","",$B$12)</f>
        <v>0.432</v>
      </c>
      <c r="K1062" s="16" t="n">
        <f aca="false">IF(J1062="","",J1062*$B$15)</f>
        <v>1.119744</v>
      </c>
      <c r="L1062" s="16" t="n">
        <f aca="false">IF(D1062="","",H1062+E1062-K1062-G1062*I1062)</f>
        <v>163.100799518388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15.8488382950046</v>
      </c>
      <c r="N1062" s="16" t="n">
        <f aca="false">IF(D1062="","",(I1062+M1062)/2)</f>
        <v>15.8159191475023</v>
      </c>
      <c r="O1062" s="16" t="n">
        <f aca="false">IF(D1062="","",G1062*N1062)</f>
        <v>2.35657195297784</v>
      </c>
      <c r="P1062" s="16" t="n">
        <f aca="false">IF(D1062="","",H1062+E1062-K1062-O1062)</f>
        <v>163.09589456541</v>
      </c>
      <c r="Q1062" s="16" t="n">
        <f aca="false">IF(D1062="","",IF(P1062&gt;=0,K1062,MAX(0,K1062+P1062)))</f>
        <v>1.119744</v>
      </c>
      <c r="R1062" s="16" t="n">
        <f aca="false">IF(D1062="","",Q1062/$B$15)</f>
        <v>0.432</v>
      </c>
      <c r="S1062" s="16" t="n">
        <f aca="false">IF(D1062="","",MAX(0,J1062-R1062))</f>
        <v>0</v>
      </c>
      <c r="T1062" s="16" t="n">
        <f aca="false">IF(D1062="","",MAX(0,Z1062-$B$8))</f>
        <v>1.09589456541048</v>
      </c>
      <c r="U1062" s="16" t="n">
        <f aca="false">IF(D1062="","",MAX(0,MIN($B$8,Z1062)))</f>
        <v>162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100</v>
      </c>
      <c r="Z1062" s="18" t="n">
        <f aca="false">IF(D1062="","",MAX(0,IF(P1062&gt;=0,P1062,IF(K1062+P1062&gt;=0,0,P1062+K1062))))</f>
        <v>163.09589456541</v>
      </c>
      <c r="AA1062" s="18" t="n">
        <f aca="false">IF(D1062="","",IF(H1062&lt;=$B$16,1,IF(H1062&gt;=$B$17,$B$21,MATCH(H1062,Aux_CAV!$A$2:$A$121,1))))</f>
        <v>23</v>
      </c>
      <c r="AB1062" s="18" t="n">
        <f aca="false">IF(D1062="","",IF(L1062&lt;=$B$16,1,IF(L1062&gt;=$B$17,$B$21,MATCH(L1062,Aux_CAV!$A$2:$A$121,1))))</f>
        <v>23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1.94846005500337</v>
      </c>
      <c r="E1063" s="16" t="n">
        <f aca="false">IF(D1063="","",D1063*$B$15)</f>
        <v>5.05040846256874</v>
      </c>
      <c r="F1063" s="16" t="n">
        <f aca="false" t="array" ref="F1063:F1063">IF(D1063="","",IFERROR(INDEX(Dados_Evap!$C$2:$N$15,MATCH($B$9,Dados_Evap!$A$2:$A$15,0),C1063),0))</f>
        <v>206.8</v>
      </c>
      <c r="G1063" s="16" t="n">
        <f aca="false">IF(F1063="","",F1063/1000)</f>
        <v>0.2068</v>
      </c>
      <c r="H1063" s="16" t="n">
        <f aca="false">IF(D1063="","",MAX(0,MIN($B$8,IFERROR(LOOKUP(2,1/($U$24:U1062&lt;&gt;""),$U$24:U1062),$B$11))))</f>
        <v>162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15.783</v>
      </c>
      <c r="J1063" s="16" t="n">
        <f aca="false">IF(D1063="","",$B$12)</f>
        <v>0.432</v>
      </c>
      <c r="K1063" s="16" t="n">
        <f aca="false">IF(J1063="","",J1063*$B$15)</f>
        <v>1.119744</v>
      </c>
      <c r="L1063" s="16" t="n">
        <f aca="false">IF(D1063="","",H1063+E1063-K1063-G1063*I1063)</f>
        <v>162.666740062569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15.822877405647</v>
      </c>
      <c r="N1063" s="16" t="n">
        <f aca="false">IF(D1063="","",(I1063+M1063)/2)</f>
        <v>15.8029387028235</v>
      </c>
      <c r="O1063" s="16" t="n">
        <f aca="false">IF(D1063="","",G1063*N1063)</f>
        <v>3.2680477237439</v>
      </c>
      <c r="P1063" s="16" t="n">
        <f aca="false">IF(D1063="","",H1063+E1063-K1063-O1063)</f>
        <v>162.662616738825</v>
      </c>
      <c r="Q1063" s="16" t="n">
        <f aca="false">IF(D1063="","",IF(P1063&gt;=0,K1063,MAX(0,K1063+P1063)))</f>
        <v>1.119744</v>
      </c>
      <c r="R1063" s="16" t="n">
        <f aca="false">IF(D1063="","",Q1063/$B$15)</f>
        <v>0.432</v>
      </c>
      <c r="S1063" s="16" t="n">
        <f aca="false">IF(D1063="","",MAX(0,J1063-R1063))</f>
        <v>0</v>
      </c>
      <c r="T1063" s="16" t="n">
        <f aca="false">IF(D1063="","",MAX(0,Z1063-$B$8))</f>
        <v>0.662616738824823</v>
      </c>
      <c r="U1063" s="16" t="n">
        <f aca="false">IF(D1063="","",MAX(0,MIN($B$8,Z1063)))</f>
        <v>162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100</v>
      </c>
      <c r="Z1063" s="18" t="n">
        <f aca="false">IF(D1063="","",MAX(0,IF(P1063&gt;=0,P1063,IF(K1063+P1063&gt;=0,0,P1063+K1063))))</f>
        <v>162.662616738825</v>
      </c>
      <c r="AA1063" s="18" t="n">
        <f aca="false">IF(D1063="","",IF(H1063&lt;=$B$16,1,IF(H1063&gt;=$B$17,$B$21,MATCH(H1063,Aux_CAV!$A$2:$A$121,1))))</f>
        <v>23</v>
      </c>
      <c r="AB1063" s="18" t="n">
        <f aca="false">IF(D1063="","",IF(L1063&lt;=$B$16,1,IF(L1063&gt;=$B$17,$B$21,MATCH(L1063,Aux_CAV!$A$2:$A$121,1))))</f>
        <v>23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0.921859181930361</v>
      </c>
      <c r="E1064" s="16" t="n">
        <f aca="false">IF(D1064="","",D1064*$B$15)</f>
        <v>2.3894589995635</v>
      </c>
      <c r="F1064" s="16" t="n">
        <f aca="false" t="array" ref="F1064:F1064">IF(D1064="","",IFERROR(INDEX(Dados_Evap!$C$2:$N$15,MATCH($B$9,Dados_Evap!$A$2:$A$15,0),C1064),0))</f>
        <v>245.9</v>
      </c>
      <c r="G1064" s="16" t="n">
        <f aca="false">IF(F1064="","",F1064/1000)</f>
        <v>0.2459</v>
      </c>
      <c r="H1064" s="16" t="n">
        <f aca="false">IF(D1064="","",MAX(0,MIN($B$8,IFERROR(LOOKUP(2,1/($U$24:U1063&lt;&gt;""),$U$24:U1063),$B$11))))</f>
        <v>162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15.783</v>
      </c>
      <c r="J1064" s="16" t="n">
        <f aca="false">IF(D1064="","",$B$12)</f>
        <v>0.432</v>
      </c>
      <c r="K1064" s="16" t="n">
        <f aca="false">IF(J1064="","",J1064*$B$15)</f>
        <v>1.119744</v>
      </c>
      <c r="L1064" s="16" t="n">
        <f aca="false">IF(D1064="","",H1064+E1064-K1064-G1064*I1064)</f>
        <v>159.388675299564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15.5928778950192</v>
      </c>
      <c r="N1064" s="16" t="n">
        <f aca="false">IF(D1064="","",(I1064+M1064)/2)</f>
        <v>15.6879389475096</v>
      </c>
      <c r="O1064" s="16" t="n">
        <f aca="false">IF(D1064="","",G1064*N1064)</f>
        <v>3.85766418719261</v>
      </c>
      <c r="P1064" s="16" t="n">
        <f aca="false">IF(D1064="","",H1064+E1064-K1064-O1064)</f>
        <v>159.412050812371</v>
      </c>
      <c r="Q1064" s="16" t="n">
        <f aca="false">IF(D1064="","",IF(P1064&gt;=0,K1064,MAX(0,K1064+P1064)))</f>
        <v>1.119744</v>
      </c>
      <c r="R1064" s="16" t="n">
        <f aca="false">IF(D1064="","",Q1064/$B$15)</f>
        <v>0.432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159.412050812371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98.4025005014635</v>
      </c>
      <c r="Z1064" s="18" t="n">
        <f aca="false">IF(D1064="","",MAX(0,IF(P1064&gt;=0,P1064,IF(K1064+P1064&gt;=0,0,P1064+K1064))))</f>
        <v>159.412050812371</v>
      </c>
      <c r="AA1064" s="18" t="n">
        <f aca="false">IF(D1064="","",IF(H1064&lt;=$B$16,1,IF(H1064&gt;=$B$17,$B$21,MATCH(H1064,Aux_CAV!$A$2:$A$121,1))))</f>
        <v>23</v>
      </c>
      <c r="AB1064" s="18" t="n">
        <f aca="false">IF(D1064="","",IF(L1064&lt;=$B$16,1,IF(L1064&gt;=$B$17,$B$21,MATCH(L1064,Aux_CAV!$A$2:$A$121,1))))</f>
        <v>22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1.04180652137297</v>
      </c>
      <c r="E1065" s="16" t="n">
        <f aca="false">IF(D1065="","",D1065*$B$15)</f>
        <v>2.70036250339874</v>
      </c>
      <c r="F1065" s="16" t="n">
        <f aca="false" t="array" ref="F1065:F1065">IF(D1065="","",IFERROR(INDEX(Dados_Evap!$C$2:$N$15,MATCH($B$9,Dados_Evap!$A$2:$A$15,0),C1065),0))</f>
        <v>282.3</v>
      </c>
      <c r="G1065" s="16" t="n">
        <f aca="false">IF(F1065="","",F1065/1000)</f>
        <v>0.2823</v>
      </c>
      <c r="H1065" s="16" t="n">
        <f aca="false">IF(D1065="","",MAX(0,MIN($B$8,IFERROR(LOOKUP(2,1/($U$24:U1064&lt;&gt;""),$U$24:U1064),$B$11))))</f>
        <v>159.412050812371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15.5945797904974</v>
      </c>
      <c r="J1065" s="16" t="n">
        <f aca="false">IF(D1065="","",$B$12)</f>
        <v>0.432</v>
      </c>
      <c r="K1065" s="16" t="n">
        <f aca="false">IF(J1065="","",J1065*$B$15)</f>
        <v>1.119744</v>
      </c>
      <c r="L1065" s="16" t="n">
        <f aca="false">IF(D1065="","",H1065+E1065-K1065-G1065*I1065)</f>
        <v>156.590319440912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15.3891386563702</v>
      </c>
      <c r="N1065" s="16" t="n">
        <f aca="false">IF(D1065="","",(I1065+M1065)/2)</f>
        <v>15.4918592234338</v>
      </c>
      <c r="O1065" s="16" t="n">
        <f aca="false">IF(D1065="","",G1065*N1065)</f>
        <v>4.37335185877536</v>
      </c>
      <c r="P1065" s="16" t="n">
        <f aca="false">IF(D1065="","",H1065+E1065-K1065-O1065)</f>
        <v>156.619317456994</v>
      </c>
      <c r="Q1065" s="16" t="n">
        <f aca="false">IF(D1065="","",IF(P1065&gt;=0,K1065,MAX(0,K1065+P1065)))</f>
        <v>1.119744</v>
      </c>
      <c r="R1065" s="16" t="n">
        <f aca="false">IF(D1065="","",Q1065/$B$15)</f>
        <v>0.432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156.619317456994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96.678591022836</v>
      </c>
      <c r="Z1065" s="18" t="n">
        <f aca="false">IF(D1065="","",MAX(0,IF(P1065&gt;=0,P1065,IF(K1065+P1065&gt;=0,0,P1065+K1065))))</f>
        <v>156.619317456994</v>
      </c>
      <c r="AA1065" s="18" t="n">
        <f aca="false">IF(D1065="","",IF(H1065&lt;=$B$16,1,IF(H1065&gt;=$B$17,$B$21,MATCH(H1065,Aux_CAV!$A$2:$A$121,1))))</f>
        <v>22</v>
      </c>
      <c r="AB1065" s="18" t="n">
        <f aca="false">IF(D1065="","",IF(L1065&lt;=$B$16,1,IF(L1065&gt;=$B$17,$B$21,MATCH(L1065,Aux_CAV!$A$2:$A$121,1))))</f>
        <v>22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0.949458874240736</v>
      </c>
      <c r="E1066" s="16" t="n">
        <f aca="false">IF(D1066="","",D1066*$B$15)</f>
        <v>2.46099740203199</v>
      </c>
      <c r="F1066" s="16" t="n">
        <f aca="false" t="array" ref="F1066:F1066">IF(D1066="","",IFERROR(INDEX(Dados_Evap!$C$2:$N$15,MATCH($B$9,Dados_Evap!$A$2:$A$15,0),C1066),0))</f>
        <v>241.3</v>
      </c>
      <c r="G1066" s="16" t="n">
        <f aca="false">IF(F1066="","",F1066/1000)</f>
        <v>0.2413</v>
      </c>
      <c r="H1066" s="16" t="n">
        <f aca="false">IF(D1066="","",MAX(0,MIN($B$8,IFERROR(LOOKUP(2,1/($U$24:U1065&lt;&gt;""),$U$24:U1065),$B$11))))</f>
        <v>156.619317456994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15.3912499081256</v>
      </c>
      <c r="J1066" s="16" t="n">
        <f aca="false">IF(D1066="","",$B$12)</f>
        <v>0.432</v>
      </c>
      <c r="K1066" s="16" t="n">
        <f aca="false">IF(J1066="","",J1066*$B$15)</f>
        <v>1.119744</v>
      </c>
      <c r="L1066" s="16" t="n">
        <f aca="false">IF(D1066="","",H1066+E1066-K1066-G1066*I1066)</f>
        <v>154.246662256196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15.2185045574252</v>
      </c>
      <c r="N1066" s="16" t="n">
        <f aca="false">IF(D1066="","",(I1066+M1066)/2)</f>
        <v>15.3048772327754</v>
      </c>
      <c r="O1066" s="16" t="n">
        <f aca="false">IF(D1066="","",G1066*N1066)</f>
        <v>3.6930668762687</v>
      </c>
      <c r="P1066" s="16" t="n">
        <f aca="false">IF(D1066="","",H1066+E1066-K1066-O1066)</f>
        <v>154.267503982758</v>
      </c>
      <c r="Q1066" s="16" t="n">
        <f aca="false">IF(D1066="","",IF(P1066&gt;=0,K1066,MAX(0,K1066+P1066)))</f>
        <v>1.119744</v>
      </c>
      <c r="R1066" s="16" t="n">
        <f aca="false">IF(D1066="","",Q1066/$B$15)</f>
        <v>0.432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154.267503982758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95.2268543103442</v>
      </c>
      <c r="Z1066" s="18" t="n">
        <f aca="false">IF(D1066="","",MAX(0,IF(P1066&gt;=0,P1066,IF(K1066+P1066&gt;=0,0,P1066+K1066))))</f>
        <v>154.267503982758</v>
      </c>
      <c r="AA1066" s="18" t="n">
        <f aca="false">IF(D1066="","",IF(H1066&lt;=$B$16,1,IF(H1066&gt;=$B$17,$B$21,MATCH(H1066,Aux_CAV!$A$2:$A$121,1))))</f>
        <v>22</v>
      </c>
      <c r="AB1066" s="18" t="n">
        <f aca="false">IF(D1066="","",IF(L1066&lt;=$B$16,1,IF(L1066&gt;=$B$17,$B$21,MATCH(L1066,Aux_CAV!$A$2:$A$121,1))))</f>
        <v>22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0.522387859526024</v>
      </c>
      <c r="E1067" s="16" t="n">
        <f aca="false">IF(D1067="","",D1067*$B$15)</f>
        <v>1.35402933189145</v>
      </c>
      <c r="F1067" s="16" t="n">
        <f aca="false" t="array" ref="F1067:F1067">IF(D1067="","",IFERROR(INDEX(Dados_Evap!$C$2:$N$15,MATCH($B$9,Dados_Evap!$A$2:$A$15,0),C1067),0))</f>
        <v>241.8</v>
      </c>
      <c r="G1067" s="16" t="n">
        <f aca="false">IF(F1067="","",F1067/1000)</f>
        <v>0.2418</v>
      </c>
      <c r="H1067" s="16" t="n">
        <f aca="false">IF(D1067="","",MAX(0,MIN($B$8,IFERROR(LOOKUP(2,1/($U$24:U1066&lt;&gt;""),$U$24:U1066),$B$11))))</f>
        <v>154.267503982758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15.2200219761226</v>
      </c>
      <c r="J1067" s="16" t="n">
        <f aca="false">IF(D1067="","",$B$12)</f>
        <v>0.432</v>
      </c>
      <c r="K1067" s="16" t="n">
        <f aca="false">IF(J1067="","",J1067*$B$15)</f>
        <v>1.119744</v>
      </c>
      <c r="L1067" s="16" t="n">
        <f aca="false">IF(D1067="","",H1067+E1067-K1067-G1067*I1067)</f>
        <v>150.821588000823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14.9691359794623</v>
      </c>
      <c r="N1067" s="16" t="n">
        <f aca="false">IF(D1067="","",(I1067+M1067)/2)</f>
        <v>15.0945789777925</v>
      </c>
      <c r="O1067" s="16" t="n">
        <f aca="false">IF(D1067="","",G1067*N1067)</f>
        <v>3.64986919683021</v>
      </c>
      <c r="P1067" s="16" t="n">
        <f aca="false">IF(D1067="","",H1067+E1067-K1067-O1067)</f>
        <v>150.851920117819</v>
      </c>
      <c r="Q1067" s="16" t="n">
        <f aca="false">IF(D1067="","",IF(P1067&gt;=0,K1067,MAX(0,K1067+P1067)))</f>
        <v>1.119744</v>
      </c>
      <c r="R1067" s="16" t="n">
        <f aca="false">IF(D1067="","",Q1067/$B$15)</f>
        <v>0.432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150.851920117819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93.1184692085301</v>
      </c>
      <c r="Z1067" s="18" t="n">
        <f aca="false">IF(D1067="","",MAX(0,IF(P1067&gt;=0,P1067,IF(K1067+P1067&gt;=0,0,P1067+K1067))))</f>
        <v>150.851920117819</v>
      </c>
      <c r="AA1067" s="18" t="n">
        <f aca="false">IF(D1067="","",IF(H1067&lt;=$B$16,1,IF(H1067&gt;=$B$17,$B$21,MATCH(H1067,Aux_CAV!$A$2:$A$121,1))))</f>
        <v>22</v>
      </c>
      <c r="AB1067" s="18" t="n">
        <f aca="false">IF(D1067="","",IF(L1067&lt;=$B$16,1,IF(L1067&gt;=$B$17,$B$21,MATCH(L1067,Aux_CAV!$A$2:$A$121,1))))</f>
        <v>22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0.760021088597541</v>
      </c>
      <c r="E1068" s="16" t="n">
        <f aca="false">IF(D1068="","",D1068*$B$15)</f>
        <v>1.96997466164483</v>
      </c>
      <c r="F1068" s="16" t="n">
        <f aca="false" t="array" ref="F1068:F1068">IF(D1068="","",IFERROR(INDEX(Dados_Evap!$C$2:$N$15,MATCH($B$9,Dados_Evap!$A$2:$A$15,0),C1068),0))</f>
        <v>189</v>
      </c>
      <c r="G1068" s="16" t="n">
        <f aca="false">IF(F1068="","",F1068/1000)</f>
        <v>0.189</v>
      </c>
      <c r="H1068" s="16" t="n">
        <f aca="false">IF(D1068="","",MAX(0,MIN($B$8,IFERROR(LOOKUP(2,1/($U$24:U1067&lt;&gt;""),$U$24:U1067),$B$11))))</f>
        <v>150.851920117819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14.9713443627901</v>
      </c>
      <c r="J1068" s="16" t="n">
        <f aca="false">IF(D1068="","",$B$12)</f>
        <v>0.432</v>
      </c>
      <c r="K1068" s="16" t="n">
        <f aca="false">IF(J1068="","",J1068*$B$15)</f>
        <v>1.119744</v>
      </c>
      <c r="L1068" s="16" t="n">
        <f aca="false">IF(D1068="","",H1068+E1068-K1068-G1068*I1068)</f>
        <v>148.872566694896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14.8272340423829</v>
      </c>
      <c r="N1068" s="16" t="n">
        <f aca="false">IF(D1068="","",(I1068+M1068)/2)</f>
        <v>14.8992892025865</v>
      </c>
      <c r="O1068" s="16" t="n">
        <f aca="false">IF(D1068="","",G1068*N1068)</f>
        <v>2.81596565928885</v>
      </c>
      <c r="P1068" s="16" t="n">
        <f aca="false">IF(D1068="","",H1068+E1068-K1068-O1068)</f>
        <v>148.886185120175</v>
      </c>
      <c r="Q1068" s="16" t="n">
        <f aca="false">IF(D1068="","",IF(P1068&gt;=0,K1068,MAX(0,K1068+P1068)))</f>
        <v>1.119744</v>
      </c>
      <c r="R1068" s="16" t="n">
        <f aca="false">IF(D1068="","",Q1068/$B$15)</f>
        <v>0.432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148.886185120175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91.9050525433178</v>
      </c>
      <c r="Z1068" s="18" t="n">
        <f aca="false">IF(D1068="","",MAX(0,IF(P1068&gt;=0,P1068,IF(K1068+P1068&gt;=0,0,P1068+K1068))))</f>
        <v>148.886185120175</v>
      </c>
      <c r="AA1068" s="18" t="n">
        <f aca="false">IF(D1068="","",IF(H1068&lt;=$B$16,1,IF(H1068&gt;=$B$17,$B$21,MATCH(H1068,Aux_CAV!$A$2:$A$121,1))))</f>
        <v>22</v>
      </c>
      <c r="AB1068" s="18" t="n">
        <f aca="false">IF(D1068="","",IF(L1068&lt;=$B$16,1,IF(L1068&gt;=$B$17,$B$21,MATCH(L1068,Aux_CAV!$A$2:$A$121,1))))</f>
        <v>22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0.826079674401203</v>
      </c>
      <c r="E1069" s="16" t="n">
        <f aca="false">IF(D1069="","",D1069*$B$15)</f>
        <v>2.14119851604792</v>
      </c>
      <c r="F1069" s="16" t="n">
        <f aca="false" t="array" ref="F1069:F1069">IF(D1069="","",IFERROR(INDEX(Dados_Evap!$C$2:$N$15,MATCH($B$9,Dados_Evap!$A$2:$A$15,0),C1069),0))</f>
        <v>136.9</v>
      </c>
      <c r="G1069" s="16" t="n">
        <f aca="false">IF(F1069="","",F1069/1000)</f>
        <v>0.1369</v>
      </c>
      <c r="H1069" s="16" t="n">
        <f aca="false">IF(D1069="","",MAX(0,MIN($B$8,IFERROR(LOOKUP(2,1/($U$24:U1068&lt;&gt;""),$U$24:U1068),$B$11))))</f>
        <v>148.886185120175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14.828225555878</v>
      </c>
      <c r="J1069" s="16" t="n">
        <f aca="false">IF(D1069="","",$B$12)</f>
        <v>0.432</v>
      </c>
      <c r="K1069" s="16" t="n">
        <f aca="false">IF(J1069="","",J1069*$B$15)</f>
        <v>1.119744</v>
      </c>
      <c r="L1069" s="16" t="n">
        <f aca="false">IF(D1069="","",H1069+E1069-K1069-G1069*I1069)</f>
        <v>147.877655557623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14.754797780567</v>
      </c>
      <c r="N1069" s="16" t="n">
        <f aca="false">IF(D1069="","",(I1069+M1069)/2)</f>
        <v>14.7915116682225</v>
      </c>
      <c r="O1069" s="16" t="n">
        <f aca="false">IF(D1069="","",G1069*N1069)</f>
        <v>2.02495794737966</v>
      </c>
      <c r="P1069" s="16" t="n">
        <f aca="false">IF(D1069="","",H1069+E1069-K1069-O1069)</f>
        <v>147.882681688843</v>
      </c>
      <c r="Q1069" s="16" t="n">
        <f aca="false">IF(D1069="","",IF(P1069&gt;=0,K1069,MAX(0,K1069+P1069)))</f>
        <v>1.119744</v>
      </c>
      <c r="R1069" s="16" t="n">
        <f aca="false">IF(D1069="","",Q1069/$B$15)</f>
        <v>0.432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147.882681688843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91.2856059807673</v>
      </c>
      <c r="Z1069" s="18" t="n">
        <f aca="false">IF(D1069="","",MAX(0,IF(P1069&gt;=0,P1069,IF(K1069+P1069&gt;=0,0,P1069+K1069))))</f>
        <v>147.882681688843</v>
      </c>
      <c r="AA1069" s="18" t="n">
        <f aca="false">IF(D1069="","",IF(H1069&lt;=$B$16,1,IF(H1069&gt;=$B$17,$B$21,MATCH(H1069,Aux_CAV!$A$2:$A$121,1))))</f>
        <v>22</v>
      </c>
      <c r="AB1069" s="18" t="n">
        <f aca="false">IF(D1069="","",IF(L1069&lt;=$B$16,1,IF(L1069&gt;=$B$17,$B$21,MATCH(L1069,Aux_CAV!$A$2:$A$121,1))))</f>
        <v>22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1.73593133699649</v>
      </c>
      <c r="E1070" s="16" t="n">
        <f aca="false">IF(D1070="","",D1070*$B$15)</f>
        <v>4.4995340254949</v>
      </c>
      <c r="F1070" s="16" t="n">
        <f aca="false" t="array" ref="F1070:F1070">IF(D1070="","",IFERROR(INDEX(Dados_Evap!$C$2:$N$15,MATCH($B$9,Dados_Evap!$A$2:$A$15,0),C1070),0))</f>
        <v>102.9</v>
      </c>
      <c r="G1070" s="16" t="n">
        <f aca="false">IF(F1070="","",F1070/1000)</f>
        <v>0.1029</v>
      </c>
      <c r="H1070" s="16" t="n">
        <f aca="false">IF(D1070="","",MAX(0,MIN($B$8,IFERROR(LOOKUP(2,1/($U$24:U1069&lt;&gt;""),$U$24:U1069),$B$11))))</f>
        <v>147.882681688843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14.7551637169238</v>
      </c>
      <c r="J1070" s="16" t="n">
        <f aca="false">IF(D1070="","",$B$12)</f>
        <v>0.432</v>
      </c>
      <c r="K1070" s="16" t="n">
        <f aca="false">IF(J1070="","",J1070*$B$15)</f>
        <v>1.119744</v>
      </c>
      <c r="L1070" s="16" t="n">
        <f aca="false">IF(D1070="","",H1070+E1070-K1070-G1070*I1070)</f>
        <v>149.744165367867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14.8906923225332</v>
      </c>
      <c r="N1070" s="16" t="n">
        <f aca="false">IF(D1070="","",(I1070+M1070)/2)</f>
        <v>14.8229280197285</v>
      </c>
      <c r="O1070" s="16" t="n">
        <f aca="false">IF(D1070="","",G1070*N1070)</f>
        <v>1.52527929323006</v>
      </c>
      <c r="P1070" s="16" t="n">
        <f aca="false">IF(D1070="","",H1070+E1070-K1070-O1070)</f>
        <v>149.737192421108</v>
      </c>
      <c r="Q1070" s="16" t="n">
        <f aca="false">IF(D1070="","",IF(P1070&gt;=0,K1070,MAX(0,K1070+P1070)))</f>
        <v>1.119744</v>
      </c>
      <c r="R1070" s="16" t="n">
        <f aca="false">IF(D1070="","",Q1070/$B$15)</f>
        <v>0.432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149.737192421108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92.4303656920419</v>
      </c>
      <c r="Z1070" s="18" t="n">
        <f aca="false">IF(D1070="","",MAX(0,IF(P1070&gt;=0,P1070,IF(K1070+P1070&gt;=0,0,P1070+K1070))))</f>
        <v>149.737192421108</v>
      </c>
      <c r="AA1070" s="18" t="n">
        <f aca="false">IF(D1070="","",IF(H1070&lt;=$B$16,1,IF(H1070&gt;=$B$17,$B$21,MATCH(H1070,Aux_CAV!$A$2:$A$121,1))))</f>
        <v>22</v>
      </c>
      <c r="AB1070" s="18" t="n">
        <f aca="false">IF(D1070="","",IF(L1070&lt;=$B$16,1,IF(L1070&gt;=$B$17,$B$21,MATCH(L1070,Aux_CAV!$A$2:$A$121,1))))</f>
        <v>22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2.80834228379619</v>
      </c>
      <c r="E1071" s="16" t="n">
        <f aca="false">IF(D1071="","",D1071*$B$15)</f>
        <v>7.27922319959973</v>
      </c>
      <c r="F1071" s="16" t="n">
        <f aca="false" t="array" ref="F1071:F1071">IF(D1071="","",IFERROR(INDEX(Dados_Evap!$C$2:$N$15,MATCH($B$9,Dados_Evap!$A$2:$A$15,0),C1071),0))</f>
        <v>81.8</v>
      </c>
      <c r="G1071" s="16" t="n">
        <f aca="false">IF(F1071="","",F1071/1000)</f>
        <v>0.0818</v>
      </c>
      <c r="H1071" s="16" t="n">
        <f aca="false">IF(D1071="","",MAX(0,MIN($B$8,IFERROR(LOOKUP(2,1/($U$24:U1070&lt;&gt;""),$U$24:U1070),$B$11))))</f>
        <v>149.737192421108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14.890184644834</v>
      </c>
      <c r="J1071" s="16" t="n">
        <f aca="false">IF(D1071="","",$B$12)</f>
        <v>0.432</v>
      </c>
      <c r="K1071" s="16" t="n">
        <f aca="false">IF(J1071="","",J1071*$B$15)</f>
        <v>1.119744</v>
      </c>
      <c r="L1071" s="16" t="n">
        <f aca="false">IF(D1071="","",H1071+E1071-K1071-G1071*I1071)</f>
        <v>154.67865451676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15.2499565166167</v>
      </c>
      <c r="N1071" s="16" t="n">
        <f aca="false">IF(D1071="","",(I1071+M1071)/2)</f>
        <v>15.0700705807254</v>
      </c>
      <c r="O1071" s="16" t="n">
        <f aca="false">IF(D1071="","",G1071*N1071)</f>
        <v>1.23273177350334</v>
      </c>
      <c r="P1071" s="16" t="n">
        <f aca="false">IF(D1071="","",H1071+E1071-K1071-O1071)</f>
        <v>154.663939847204</v>
      </c>
      <c r="Q1071" s="16" t="n">
        <f aca="false">IF(D1071="","",IF(P1071&gt;=0,K1071,MAX(0,K1071+P1071)))</f>
        <v>1.119744</v>
      </c>
      <c r="R1071" s="16" t="n">
        <f aca="false">IF(D1071="","",Q1071/$B$15)</f>
        <v>0.432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154.663939847204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95.4715678069162</v>
      </c>
      <c r="Z1071" s="18" t="n">
        <f aca="false">IF(D1071="","",MAX(0,IF(P1071&gt;=0,P1071,IF(K1071+P1071&gt;=0,0,P1071+K1071))))</f>
        <v>154.663939847204</v>
      </c>
      <c r="AA1071" s="18" t="n">
        <f aca="false">IF(D1071="","",IF(H1071&lt;=$B$16,1,IF(H1071&gt;=$B$17,$B$21,MATCH(H1071,Aux_CAV!$A$2:$A$121,1))))</f>
        <v>22</v>
      </c>
      <c r="AB1071" s="18" t="n">
        <f aca="false">IF(D1071="","",IF(L1071&lt;=$B$16,1,IF(L1071&gt;=$B$17,$B$21,MATCH(L1071,Aux_CAV!$A$2:$A$121,1))))</f>
        <v>22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3.88653602647178</v>
      </c>
      <c r="E1072" s="16" t="n">
        <f aca="false">IF(D1072="","",D1072*$B$15)</f>
        <v>10.0739013806149</v>
      </c>
      <c r="F1072" s="16" t="n">
        <f aca="false" t="array" ref="F1072:F1072">IF(D1072="","",IFERROR(INDEX(Dados_Evap!$C$2:$N$15,MATCH($B$9,Dados_Evap!$A$2:$A$15,0),C1072),0))</f>
        <v>83.6</v>
      </c>
      <c r="G1072" s="16" t="n">
        <f aca="false">IF(F1072="","",F1072/1000)</f>
        <v>0.0836</v>
      </c>
      <c r="H1072" s="16" t="n">
        <f aca="false">IF(D1072="","",MAX(0,MIN($B$8,IFERROR(LOOKUP(2,1/($U$24:U1071&lt;&gt;""),$U$24:U1071),$B$11))))</f>
        <v>154.663939847204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15.2488851891217</v>
      </c>
      <c r="J1072" s="16" t="n">
        <f aca="false">IF(D1072="","",$B$12)</f>
        <v>0.432</v>
      </c>
      <c r="K1072" s="16" t="n">
        <f aca="false">IF(J1072="","",J1072*$B$15)</f>
        <v>1.119744</v>
      </c>
      <c r="L1072" s="16" t="n">
        <f aca="false">IF(D1072="","",H1072+E1072-K1072-G1072*I1072)</f>
        <v>162.343290426009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15.8035320369079</v>
      </c>
      <c r="N1072" s="16" t="n">
        <f aca="false">IF(D1072="","",(I1072+M1072)/2)</f>
        <v>15.5262086130148</v>
      </c>
      <c r="O1072" s="16" t="n">
        <f aca="false">IF(D1072="","",G1072*N1072)</f>
        <v>1.29799104004804</v>
      </c>
      <c r="P1072" s="16" t="n">
        <f aca="false">IF(D1072="","",H1072+E1072-K1072-O1072)</f>
        <v>162.320106187771</v>
      </c>
      <c r="Q1072" s="16" t="n">
        <f aca="false">IF(D1072="","",IF(P1072&gt;=0,K1072,MAX(0,K1072+P1072)))</f>
        <v>1.119744</v>
      </c>
      <c r="R1072" s="16" t="n">
        <f aca="false">IF(D1072="","",Q1072/$B$15)</f>
        <v>0.432</v>
      </c>
      <c r="S1072" s="16" t="n">
        <f aca="false">IF(D1072="","",MAX(0,J1072-R1072))</f>
        <v>0</v>
      </c>
      <c r="T1072" s="16" t="n">
        <f aca="false">IF(D1072="","",MAX(0,Z1072-$B$8))</f>
        <v>0.320106187771103</v>
      </c>
      <c r="U1072" s="16" t="n">
        <f aca="false">IF(D1072="","",MAX(0,MIN($B$8,Z1072)))</f>
        <v>162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100</v>
      </c>
      <c r="Z1072" s="18" t="n">
        <f aca="false">IF(D1072="","",MAX(0,IF(P1072&gt;=0,P1072,IF(K1072+P1072&gt;=0,0,P1072+K1072))))</f>
        <v>162.320106187771</v>
      </c>
      <c r="AA1072" s="18" t="n">
        <f aca="false">IF(D1072="","",IF(H1072&lt;=$B$16,1,IF(H1072&gt;=$B$17,$B$21,MATCH(H1072,Aux_CAV!$A$2:$A$121,1))))</f>
        <v>22</v>
      </c>
      <c r="AB1072" s="18" t="n">
        <f aca="false">IF(D1072="","",IF(L1072&lt;=$B$16,1,IF(L1072&gt;=$B$17,$B$21,MATCH(L1072,Aux_CAV!$A$2:$A$121,1))))</f>
        <v>23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0.359201423461006</v>
      </c>
      <c r="E1073" s="16" t="n">
        <f aca="false">IF(D1073="","",D1073*$B$15)</f>
        <v>0.931050089610928</v>
      </c>
      <c r="F1073" s="16" t="n">
        <f aca="false" t="array" ref="F1073:F1073">IF(D1073="","",IFERROR(INDEX(Dados_Evap!$C$2:$N$15,MATCH($B$9,Dados_Evap!$A$2:$A$15,0),C1073),0))</f>
        <v>108.2</v>
      </c>
      <c r="G1073" s="16" t="n">
        <f aca="false">IF(F1073="","",F1073/1000)</f>
        <v>0.1082</v>
      </c>
      <c r="H1073" s="16" t="n">
        <f aca="false">IF(D1073="","",MAX(0,MIN($B$8,IFERROR(LOOKUP(2,1/($U$24:U1072&lt;&gt;""),$U$24:U1072),$B$11))))</f>
        <v>162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15.783</v>
      </c>
      <c r="J1073" s="16" t="n">
        <f aca="false">IF(D1073="","",$B$12)</f>
        <v>0.432</v>
      </c>
      <c r="K1073" s="16" t="n">
        <f aca="false">IF(J1073="","",J1073*$B$15)</f>
        <v>1.119744</v>
      </c>
      <c r="L1073" s="16" t="n">
        <f aca="false">IF(D1073="","",H1073+E1073-K1073-G1073*I1073)</f>
        <v>160.103585489611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15.6449281935444</v>
      </c>
      <c r="N1073" s="16" t="n">
        <f aca="false">IF(D1073="","",(I1073+M1073)/2)</f>
        <v>15.7139640967722</v>
      </c>
      <c r="O1073" s="16" t="n">
        <f aca="false">IF(D1073="","",G1073*N1073)</f>
        <v>1.70025091527075</v>
      </c>
      <c r="P1073" s="16" t="n">
        <f aca="false">IF(D1073="","",H1073+E1073-K1073-O1073)</f>
        <v>160.11105517434</v>
      </c>
      <c r="Q1073" s="16" t="n">
        <f aca="false">IF(D1073="","",IF(P1073&gt;=0,K1073,MAX(0,K1073+P1073)))</f>
        <v>1.119744</v>
      </c>
      <c r="R1073" s="16" t="n">
        <f aca="false">IF(D1073="","",Q1073/$B$15)</f>
        <v>0.432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160.11105517434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98.8339846755186</v>
      </c>
      <c r="Z1073" s="18" t="n">
        <f aca="false">IF(D1073="","",MAX(0,IF(P1073&gt;=0,P1073,IF(K1073+P1073&gt;=0,0,P1073+K1073))))</f>
        <v>160.11105517434</v>
      </c>
      <c r="AA1073" s="18" t="n">
        <f aca="false">IF(D1073="","",IF(H1073&lt;=$B$16,1,IF(H1073&gt;=$B$17,$B$21,MATCH(H1073,Aux_CAV!$A$2:$A$121,1))))</f>
        <v>23</v>
      </c>
      <c r="AB1073" s="18" t="n">
        <f aca="false">IF(D1073="","",IF(L1073&lt;=$B$16,1,IF(L1073&gt;=$B$17,$B$21,MATCH(L1073,Aux_CAV!$A$2:$A$121,1))))</f>
        <v>22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0.454133541552485</v>
      </c>
      <c r="E1074" s="16" t="n">
        <f aca="false">IF(D1074="","",D1074*$B$15)</f>
        <v>1.17711413970404</v>
      </c>
      <c r="F1074" s="16" t="n">
        <f aca="false" t="array" ref="F1074:F1074">IF(D1074="","",IFERROR(INDEX(Dados_Evap!$C$2:$N$15,MATCH($B$9,Dados_Evap!$A$2:$A$15,0),C1074),0))</f>
        <v>149</v>
      </c>
      <c r="G1074" s="16" t="n">
        <f aca="false">IF(F1074="","",F1074/1000)</f>
        <v>0.149</v>
      </c>
      <c r="H1074" s="16" t="n">
        <f aca="false">IF(D1074="","",MAX(0,MIN($B$8,IFERROR(LOOKUP(2,1/($U$24:U1073&lt;&gt;""),$U$24:U1073),$B$11))))</f>
        <v>160.11105517434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15.6454720371285</v>
      </c>
      <c r="J1074" s="16" t="n">
        <f aca="false">IF(D1074="","",$B$12)</f>
        <v>0.432</v>
      </c>
      <c r="K1074" s="16" t="n">
        <f aca="false">IF(J1074="","",J1074*$B$15)</f>
        <v>1.119744</v>
      </c>
      <c r="L1074" s="16" t="n">
        <f aca="false">IF(D1074="","",H1074+E1074-K1074-G1074*I1074)</f>
        <v>157.837249980512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15.4799236357004</v>
      </c>
      <c r="N1074" s="16" t="n">
        <f aca="false">IF(D1074="","",(I1074+M1074)/2)</f>
        <v>15.5626978364144</v>
      </c>
      <c r="O1074" s="16" t="n">
        <f aca="false">IF(D1074="","",G1074*N1074)</f>
        <v>2.31884197762575</v>
      </c>
      <c r="P1074" s="16" t="n">
        <f aca="false">IF(D1074="","",H1074+E1074-K1074-O1074)</f>
        <v>157.849583336418</v>
      </c>
      <c r="Q1074" s="16" t="n">
        <f aca="false">IF(D1074="","",IF(P1074&gt;=0,K1074,MAX(0,K1074+P1074)))</f>
        <v>1.119744</v>
      </c>
      <c r="R1074" s="16" t="n">
        <f aca="false">IF(D1074="","",Q1074/$B$15)</f>
        <v>0.432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157.849583336418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97.4380144051966</v>
      </c>
      <c r="Z1074" s="18" t="n">
        <f aca="false">IF(D1074="","",MAX(0,IF(P1074&gt;=0,P1074,IF(K1074+P1074&gt;=0,0,P1074+K1074))))</f>
        <v>157.849583336418</v>
      </c>
      <c r="AA1074" s="18" t="n">
        <f aca="false">IF(D1074="","",IF(H1074&lt;=$B$16,1,IF(H1074&gt;=$B$17,$B$21,MATCH(H1074,Aux_CAV!$A$2:$A$121,1))))</f>
        <v>22</v>
      </c>
      <c r="AB1074" s="18" t="n">
        <f aca="false">IF(D1074="","",IF(L1074&lt;=$B$16,1,IF(L1074&gt;=$B$17,$B$21,MATCH(L1074,Aux_CAV!$A$2:$A$121,1))))</f>
        <v>22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0.305834164520645</v>
      </c>
      <c r="E1075" s="16" t="n">
        <f aca="false">IF(D1075="","",D1075*$B$15)</f>
        <v>0.792722154437512</v>
      </c>
      <c r="F1075" s="16" t="n">
        <f aca="false" t="array" ref="F1075:F1075">IF(D1075="","",IFERROR(INDEX(Dados_Evap!$C$2:$N$15,MATCH($B$9,Dados_Evap!$A$2:$A$15,0),C1075),0))</f>
        <v>206.8</v>
      </c>
      <c r="G1075" s="16" t="n">
        <f aca="false">IF(F1075="","",F1075/1000)</f>
        <v>0.2068</v>
      </c>
      <c r="H1075" s="16" t="n">
        <f aca="false">IF(D1075="","",MAX(0,MIN($B$8,IFERROR(LOOKUP(2,1/($U$24:U1074&lt;&gt;""),$U$24:U1074),$B$11))))</f>
        <v>157.849583336418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15.4808215874511</v>
      </c>
      <c r="J1075" s="16" t="n">
        <f aca="false">IF(D1075="","",$B$12)</f>
        <v>0.432</v>
      </c>
      <c r="K1075" s="16" t="n">
        <f aca="false">IF(J1075="","",J1075*$B$15)</f>
        <v>1.119744</v>
      </c>
      <c r="L1075" s="16" t="n">
        <f aca="false">IF(D1075="","",H1075+E1075-K1075-G1075*I1075)</f>
        <v>154.321127586571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15.2239261372681</v>
      </c>
      <c r="N1075" s="16" t="n">
        <f aca="false">IF(D1075="","",(I1075+M1075)/2)</f>
        <v>15.3523738623596</v>
      </c>
      <c r="O1075" s="16" t="n">
        <f aca="false">IF(D1075="","",G1075*N1075)</f>
        <v>3.17487091473596</v>
      </c>
      <c r="P1075" s="16" t="n">
        <f aca="false">IF(D1075="","",H1075+E1075-K1075-O1075)</f>
        <v>154.34769057612</v>
      </c>
      <c r="Q1075" s="16" t="n">
        <f aca="false">IF(D1075="","",IF(P1075&gt;=0,K1075,MAX(0,K1075+P1075)))</f>
        <v>1.119744</v>
      </c>
      <c r="R1075" s="16" t="n">
        <f aca="false">IF(D1075="","",Q1075/$B$15)</f>
        <v>0.432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154.34769057612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95.2763522074815</v>
      </c>
      <c r="Z1075" s="18" t="n">
        <f aca="false">IF(D1075="","",MAX(0,IF(P1075&gt;=0,P1075,IF(K1075+P1075&gt;=0,0,P1075+K1075))))</f>
        <v>154.34769057612</v>
      </c>
      <c r="AA1075" s="18" t="n">
        <f aca="false">IF(D1075="","",IF(H1075&lt;=$B$16,1,IF(H1075&gt;=$B$17,$B$21,MATCH(H1075,Aux_CAV!$A$2:$A$121,1))))</f>
        <v>22</v>
      </c>
      <c r="AB1075" s="18" t="n">
        <f aca="false">IF(D1075="","",IF(L1075&lt;=$B$16,1,IF(L1075&gt;=$B$17,$B$21,MATCH(L1075,Aux_CAV!$A$2:$A$121,1))))</f>
        <v>22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0.253944156887013</v>
      </c>
      <c r="E1076" s="16" t="n">
        <f aca="false">IF(D1076="","",D1076*$B$15)</f>
        <v>0.658223254651138</v>
      </c>
      <c r="F1076" s="16" t="n">
        <f aca="false" t="array" ref="F1076:F1076">IF(D1076="","",IFERROR(INDEX(Dados_Evap!$C$2:$N$15,MATCH($B$9,Dados_Evap!$A$2:$A$15,0),C1076),0))</f>
        <v>245.9</v>
      </c>
      <c r="G1076" s="16" t="n">
        <f aca="false">IF(F1076="","",F1076/1000)</f>
        <v>0.2459</v>
      </c>
      <c r="H1076" s="16" t="n">
        <f aca="false">IF(D1076="","",MAX(0,MIN($B$8,IFERROR(LOOKUP(2,1/($U$24:U1075&lt;&gt;""),$U$24:U1075),$B$11))))</f>
        <v>154.34769057612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15.2258601026178</v>
      </c>
      <c r="J1076" s="16" t="n">
        <f aca="false">IF(D1076="","",$B$12)</f>
        <v>0.432</v>
      </c>
      <c r="K1076" s="16" t="n">
        <f aca="false">IF(J1076="","",J1076*$B$15)</f>
        <v>1.119744</v>
      </c>
      <c r="L1076" s="16" t="n">
        <f aca="false">IF(D1076="","",H1076+E1076-K1076-G1076*I1076)</f>
        <v>150.142130831537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14.9196669007042</v>
      </c>
      <c r="N1076" s="16" t="n">
        <f aca="false">IF(D1076="","",(I1076+M1076)/2)</f>
        <v>15.072763501661</v>
      </c>
      <c r="O1076" s="16" t="n">
        <f aca="false">IF(D1076="","",G1076*N1076)</f>
        <v>3.70639254505845</v>
      </c>
      <c r="P1076" s="16" t="n">
        <f aca="false">IF(D1076="","",H1076+E1076-K1076-O1076)</f>
        <v>150.179777285713</v>
      </c>
      <c r="Q1076" s="16" t="n">
        <f aca="false">IF(D1076="","",IF(P1076&gt;=0,K1076,MAX(0,K1076+P1076)))</f>
        <v>1.119744</v>
      </c>
      <c r="R1076" s="16" t="n">
        <f aca="false">IF(D1076="","",Q1076/$B$15)</f>
        <v>0.432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150.179777285713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92.7035662257486</v>
      </c>
      <c r="Z1076" s="18" t="n">
        <f aca="false">IF(D1076="","",MAX(0,IF(P1076&gt;=0,P1076,IF(K1076+P1076&gt;=0,0,P1076+K1076))))</f>
        <v>150.179777285713</v>
      </c>
      <c r="AA1076" s="18" t="n">
        <f aca="false">IF(D1076="","",IF(H1076&lt;=$B$16,1,IF(H1076&gt;=$B$17,$B$21,MATCH(H1076,Aux_CAV!$A$2:$A$121,1))))</f>
        <v>22</v>
      </c>
      <c r="AB1076" s="18" t="n">
        <f aca="false">IF(D1076="","",IF(L1076&lt;=$B$16,1,IF(L1076&gt;=$B$17,$B$21,MATCH(L1076,Aux_CAV!$A$2:$A$121,1))))</f>
        <v>22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0.231692048392527</v>
      </c>
      <c r="E1077" s="16" t="n">
        <f aca="false">IF(D1077="","",D1077*$B$15)</f>
        <v>0.60054578943343</v>
      </c>
      <c r="F1077" s="16" t="n">
        <f aca="false" t="array" ref="F1077:F1077">IF(D1077="","",IFERROR(INDEX(Dados_Evap!$C$2:$N$15,MATCH($B$9,Dados_Evap!$A$2:$A$15,0),C1077),0))</f>
        <v>282.3</v>
      </c>
      <c r="G1077" s="16" t="n">
        <f aca="false">IF(F1077="","",F1077/1000)</f>
        <v>0.2823</v>
      </c>
      <c r="H1077" s="16" t="n">
        <f aca="false">IF(D1077="","",MAX(0,MIN($B$8,IFERROR(LOOKUP(2,1/($U$24:U1076&lt;&gt;""),$U$24:U1076),$B$11))))</f>
        <v>150.179777285713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14.9224078172634</v>
      </c>
      <c r="J1077" s="16" t="n">
        <f aca="false">IF(D1077="","",$B$12)</f>
        <v>0.432</v>
      </c>
      <c r="K1077" s="16" t="n">
        <f aca="false">IF(J1077="","",J1077*$B$15)</f>
        <v>1.119744</v>
      </c>
      <c r="L1077" s="16" t="n">
        <f aca="false">IF(D1077="","",H1077+E1077-K1077-G1077*I1077)</f>
        <v>145.447983348333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14.5779012059026</v>
      </c>
      <c r="N1077" s="16" t="n">
        <f aca="false">IF(D1077="","",(I1077+M1077)/2)</f>
        <v>14.750154511583</v>
      </c>
      <c r="O1077" s="16" t="n">
        <f aca="false">IF(D1077="","",G1077*N1077)</f>
        <v>4.16396861861989</v>
      </c>
      <c r="P1077" s="16" t="n">
        <f aca="false">IF(D1077="","",H1077+E1077-K1077-O1077)</f>
        <v>145.496610456526</v>
      </c>
      <c r="Q1077" s="16" t="n">
        <f aca="false">IF(D1077="","",IF(P1077&gt;=0,K1077,MAX(0,K1077+P1077)))</f>
        <v>1.119744</v>
      </c>
      <c r="R1077" s="16" t="n">
        <f aca="false">IF(D1077="","",Q1077/$B$15)</f>
        <v>0.432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145.496610456526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89.8127225040286</v>
      </c>
      <c r="Z1077" s="18" t="n">
        <f aca="false">IF(D1077="","",MAX(0,IF(P1077&gt;=0,P1077,IF(K1077+P1077&gt;=0,0,P1077+K1077))))</f>
        <v>145.496610456526</v>
      </c>
      <c r="AA1077" s="18" t="n">
        <f aca="false">IF(D1077="","",IF(H1077&lt;=$B$16,1,IF(H1077&gt;=$B$17,$B$21,MATCH(H1077,Aux_CAV!$A$2:$A$121,1))))</f>
        <v>22</v>
      </c>
      <c r="AB1077" s="18" t="n">
        <f aca="false">IF(D1077="","",IF(L1077&lt;=$B$16,1,IF(L1077&gt;=$B$17,$B$21,MATCH(L1077,Aux_CAV!$A$2:$A$121,1))))</f>
        <v>22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0.230206634874561</v>
      </c>
      <c r="E1078" s="16" t="n">
        <f aca="false">IF(D1078="","",D1078*$B$15)</f>
        <v>0.596695597594862</v>
      </c>
      <c r="F1078" s="16" t="n">
        <f aca="false" t="array" ref="F1078:F1078">IF(D1078="","",IFERROR(INDEX(Dados_Evap!$C$2:$N$15,MATCH($B$9,Dados_Evap!$A$2:$A$15,0),C1078),0))</f>
        <v>241.3</v>
      </c>
      <c r="G1078" s="16" t="n">
        <f aca="false">IF(F1078="","",F1078/1000)</f>
        <v>0.2413</v>
      </c>
      <c r="H1078" s="16" t="n">
        <f aca="false">IF(D1078="","",MAX(0,MIN($B$8,IFERROR(LOOKUP(2,1/($U$24:U1077&lt;&gt;""),$U$24:U1077),$B$11))))</f>
        <v>145.496610456526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14.5814415883634</v>
      </c>
      <c r="J1078" s="16" t="n">
        <f aca="false">IF(D1078="","",$B$12)</f>
        <v>0.432</v>
      </c>
      <c r="K1078" s="16" t="n">
        <f aca="false">IF(J1078="","",J1078*$B$15)</f>
        <v>1.119744</v>
      </c>
      <c r="L1078" s="16" t="n">
        <f aca="false">IF(D1078="","",H1078+E1078-K1078-G1078*I1078)</f>
        <v>141.455060198849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14.2871893866947</v>
      </c>
      <c r="N1078" s="16" t="n">
        <f aca="false">IF(D1078="","",(I1078+M1078)/2)</f>
        <v>14.434315487529</v>
      </c>
      <c r="O1078" s="16" t="n">
        <f aca="false">IF(D1078="","",G1078*N1078)</f>
        <v>3.48300032714076</v>
      </c>
      <c r="P1078" s="16" t="n">
        <f aca="false">IF(D1078="","",H1078+E1078-K1078-O1078)</f>
        <v>141.49056172698</v>
      </c>
      <c r="Q1078" s="16" t="n">
        <f aca="false">IF(D1078="","",IF(P1078&gt;=0,K1078,MAX(0,K1078+P1078)))</f>
        <v>1.119744</v>
      </c>
      <c r="R1078" s="16" t="n">
        <f aca="false">IF(D1078="","",Q1078/$B$15)</f>
        <v>0.432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141.49056172698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87.3398529178892</v>
      </c>
      <c r="Z1078" s="18" t="n">
        <f aca="false">IF(D1078="","",MAX(0,IF(P1078&gt;=0,P1078,IF(K1078+P1078&gt;=0,0,P1078+K1078))))</f>
        <v>141.49056172698</v>
      </c>
      <c r="AA1078" s="18" t="n">
        <f aca="false">IF(D1078="","",IF(H1078&lt;=$B$16,1,IF(H1078&gt;=$B$17,$B$21,MATCH(H1078,Aux_CAV!$A$2:$A$121,1))))</f>
        <v>22</v>
      </c>
      <c r="AB1078" s="18" t="n">
        <f aca="false">IF(D1078="","",IF(L1078&lt;=$B$16,1,IF(L1078&gt;=$B$17,$B$21,MATCH(L1078,Aux_CAV!$A$2:$A$121,1))))</f>
        <v>22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0.358616765815819</v>
      </c>
      <c r="E1079" s="16" t="n">
        <f aca="false">IF(D1079="","",D1079*$B$15)</f>
        <v>0.929534656994603</v>
      </c>
      <c r="F1079" s="16" t="n">
        <f aca="false" t="array" ref="F1079:F1079">IF(D1079="","",IFERROR(INDEX(Dados_Evap!$C$2:$N$15,MATCH($B$9,Dados_Evap!$A$2:$A$15,0),C1079),0))</f>
        <v>241.8</v>
      </c>
      <c r="G1079" s="16" t="n">
        <f aca="false">IF(F1079="","",F1079/1000)</f>
        <v>0.2418</v>
      </c>
      <c r="H1079" s="16" t="n">
        <f aca="false">IF(D1079="","",MAX(0,MIN($B$8,IFERROR(LOOKUP(2,1/($U$24:U1078&lt;&gt;""),$U$24:U1078),$B$11))))</f>
        <v>141.49056172698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14.2897741381265</v>
      </c>
      <c r="J1079" s="16" t="n">
        <f aca="false">IF(D1079="","",$B$12)</f>
        <v>0.432</v>
      </c>
      <c r="K1079" s="16" t="n">
        <f aca="false">IF(J1079="","",J1079*$B$15)</f>
        <v>1.119744</v>
      </c>
      <c r="L1079" s="16" t="n">
        <f aca="false">IF(D1079="","",H1079+E1079-K1079-G1079*I1079)</f>
        <v>137.845084997376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14.0243587689174</v>
      </c>
      <c r="N1079" s="16" t="n">
        <f aca="false">IF(D1079="","",(I1079+M1079)/2)</f>
        <v>14.157066453522</v>
      </c>
      <c r="O1079" s="16" t="n">
        <f aca="false">IF(D1079="","",G1079*N1079)</f>
        <v>3.42317866846161</v>
      </c>
      <c r="P1079" s="16" t="n">
        <f aca="false">IF(D1079="","",H1079+E1079-K1079-O1079)</f>
        <v>137.877173715513</v>
      </c>
      <c r="Q1079" s="16" t="n">
        <f aca="false">IF(D1079="","",IF(P1079&gt;=0,K1079,MAX(0,K1079+P1079)))</f>
        <v>1.119744</v>
      </c>
      <c r="R1079" s="16" t="n">
        <f aca="false">IF(D1079="","",Q1079/$B$15)</f>
        <v>0.432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137.877173715513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85.1093664910577</v>
      </c>
      <c r="Z1079" s="18" t="n">
        <f aca="false">IF(D1079="","",MAX(0,IF(P1079&gt;=0,P1079,IF(K1079+P1079&gt;=0,0,P1079+K1079))))</f>
        <v>137.877173715513</v>
      </c>
      <c r="AA1079" s="18" t="n">
        <f aca="false">IF(D1079="","",IF(H1079&lt;=$B$16,1,IF(H1079&gt;=$B$17,$B$21,MATCH(H1079,Aux_CAV!$A$2:$A$121,1))))</f>
        <v>22</v>
      </c>
      <c r="AB1079" s="18" t="n">
        <f aca="false">IF(D1079="","",IF(L1079&lt;=$B$16,1,IF(L1079&gt;=$B$17,$B$21,MATCH(L1079,Aux_CAV!$A$2:$A$121,1))))</f>
        <v>22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1.02096907778157</v>
      </c>
      <c r="E1080" s="16" t="n">
        <f aca="false">IF(D1080="","",D1080*$B$15)</f>
        <v>2.64635184960983</v>
      </c>
      <c r="F1080" s="16" t="n">
        <f aca="false" t="array" ref="F1080:F1080">IF(D1080="","",IFERROR(INDEX(Dados_Evap!$C$2:$N$15,MATCH($B$9,Dados_Evap!$A$2:$A$15,0),C1080),0))</f>
        <v>189</v>
      </c>
      <c r="G1080" s="16" t="n">
        <f aca="false">IF(F1080="","",F1080/1000)</f>
        <v>0.189</v>
      </c>
      <c r="H1080" s="16" t="n">
        <f aca="false">IF(D1080="","",MAX(0,MIN($B$8,IFERROR(LOOKUP(2,1/($U$24:U1079&lt;&gt;""),$U$24:U1079),$B$11))))</f>
        <v>137.877173715513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14.0266950446925</v>
      </c>
      <c r="J1080" s="16" t="n">
        <f aca="false">IF(D1080="","",$B$12)</f>
        <v>0.432</v>
      </c>
      <c r="K1080" s="16" t="n">
        <f aca="false">IF(J1080="","",J1080*$B$15)</f>
        <v>1.119744</v>
      </c>
      <c r="L1080" s="16" t="n">
        <f aca="false">IF(D1080="","",H1080+E1080-K1080-G1080*I1080)</f>
        <v>136.752736201676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13.9448283863584</v>
      </c>
      <c r="N1080" s="16" t="n">
        <f aca="false">IF(D1080="","",(I1080+M1080)/2)</f>
        <v>13.9857617155254</v>
      </c>
      <c r="O1080" s="16" t="n">
        <f aca="false">IF(D1080="","",G1080*N1080)</f>
        <v>2.6433089642343</v>
      </c>
      <c r="P1080" s="16" t="n">
        <f aca="false">IF(D1080="","",H1080+E1080-K1080-O1080)</f>
        <v>136.760472600889</v>
      </c>
      <c r="Q1080" s="16" t="n">
        <f aca="false">IF(D1080="","",IF(P1080&gt;=0,K1080,MAX(0,K1080+P1080)))</f>
        <v>1.119744</v>
      </c>
      <c r="R1080" s="16" t="n">
        <f aca="false">IF(D1080="","",Q1080/$B$15)</f>
        <v>0.432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136.760472600889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84.4200448153635</v>
      </c>
      <c r="Z1080" s="18" t="n">
        <f aca="false">IF(D1080="","",MAX(0,IF(P1080&gt;=0,P1080,IF(K1080+P1080&gt;=0,0,P1080+K1080))))</f>
        <v>136.760472600889</v>
      </c>
      <c r="AA1080" s="18" t="n">
        <f aca="false">IF(D1080="","",IF(H1080&lt;=$B$16,1,IF(H1080&gt;=$B$17,$B$21,MATCH(H1080,Aux_CAV!$A$2:$A$121,1))))</f>
        <v>22</v>
      </c>
      <c r="AB1080" s="18" t="n">
        <f aca="false">IF(D1080="","",IF(L1080&lt;=$B$16,1,IF(L1080&gt;=$B$17,$B$21,MATCH(L1080,Aux_CAV!$A$2:$A$121,1))))</f>
        <v>22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0.607445967944631</v>
      </c>
      <c r="E1081" s="16" t="n">
        <f aca="false">IF(D1081="","",D1081*$B$15)</f>
        <v>1.57449994891248</v>
      </c>
      <c r="F1081" s="16" t="n">
        <f aca="false" t="array" ref="F1081:F1081">IF(D1081="","",IFERROR(INDEX(Dados_Evap!$C$2:$N$15,MATCH($B$9,Dados_Evap!$A$2:$A$15,0),C1081),0))</f>
        <v>136.9</v>
      </c>
      <c r="G1081" s="16" t="n">
        <f aca="false">IF(F1081="","",F1081/1000)</f>
        <v>0.1369</v>
      </c>
      <c r="H1081" s="16" t="n">
        <f aca="false">IF(D1081="","",MAX(0,MIN($B$8,IFERROR(LOOKUP(2,1/($U$24:U1080&lt;&gt;""),$U$24:U1080),$B$11))))</f>
        <v>136.760472600889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13.9453916485613</v>
      </c>
      <c r="J1081" s="16" t="n">
        <f aca="false">IF(D1081="","",$B$12)</f>
        <v>0.432</v>
      </c>
      <c r="K1081" s="16" t="n">
        <f aca="false">IF(J1081="","",J1081*$B$15)</f>
        <v>1.119744</v>
      </c>
      <c r="L1081" s="16" t="n">
        <f aca="false">IF(D1081="","",H1081+E1081-K1081-G1081*I1081)</f>
        <v>135.306104433113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13.8395038064908</v>
      </c>
      <c r="N1081" s="16" t="n">
        <f aca="false">IF(D1081="","",(I1081+M1081)/2)</f>
        <v>13.892447727526</v>
      </c>
      <c r="O1081" s="16" t="n">
        <f aca="false">IF(D1081="","",G1081*N1081)</f>
        <v>1.90187609389831</v>
      </c>
      <c r="P1081" s="16" t="n">
        <f aca="false">IF(D1081="","",H1081+E1081-K1081-O1081)</f>
        <v>135.313352455903</v>
      </c>
      <c r="Q1081" s="16" t="n">
        <f aca="false">IF(D1081="","",IF(P1081&gt;=0,K1081,MAX(0,K1081+P1081)))</f>
        <v>1.119744</v>
      </c>
      <c r="R1081" s="16" t="n">
        <f aca="false">IF(D1081="","",Q1081/$B$15)</f>
        <v>0.432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135.313352455903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83.5267607752488</v>
      </c>
      <c r="Z1081" s="18" t="n">
        <f aca="false">IF(D1081="","",MAX(0,IF(P1081&gt;=0,P1081,IF(K1081+P1081&gt;=0,0,P1081+K1081))))</f>
        <v>135.313352455903</v>
      </c>
      <c r="AA1081" s="18" t="n">
        <f aca="false">IF(D1081="","",IF(H1081&lt;=$B$16,1,IF(H1081&gt;=$B$17,$B$21,MATCH(H1081,Aux_CAV!$A$2:$A$121,1))))</f>
        <v>22</v>
      </c>
      <c r="AB1081" s="18" t="n">
        <f aca="false">IF(D1081="","",IF(L1081&lt;=$B$16,1,IF(L1081&gt;=$B$17,$B$21,MATCH(L1081,Aux_CAV!$A$2:$A$121,1))))</f>
        <v>22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1.59978783167111</v>
      </c>
      <c r="E1082" s="16" t="n">
        <f aca="false">IF(D1082="","",D1082*$B$15)</f>
        <v>4.14665005969152</v>
      </c>
      <c r="F1082" s="16" t="n">
        <f aca="false" t="array" ref="F1082:F1082">IF(D1082="","",IFERROR(INDEX(Dados_Evap!$C$2:$N$15,MATCH($B$9,Dados_Evap!$A$2:$A$15,0),C1082),0))</f>
        <v>102.9</v>
      </c>
      <c r="G1082" s="16" t="n">
        <f aca="false">IF(F1082="","",F1082/1000)</f>
        <v>0.1029</v>
      </c>
      <c r="H1082" s="16" t="n">
        <f aca="false">IF(D1082="","",MAX(0,MIN($B$8,IFERROR(LOOKUP(2,1/($U$24:U1081&lt;&gt;""),$U$24:U1081),$B$11))))</f>
        <v>135.313352455903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13.840031511586</v>
      </c>
      <c r="J1082" s="16" t="n">
        <f aca="false">IF(D1082="","",$B$12)</f>
        <v>0.432</v>
      </c>
      <c r="K1082" s="16" t="n">
        <f aca="false">IF(J1082="","",J1082*$B$15)</f>
        <v>1.119744</v>
      </c>
      <c r="L1082" s="16" t="n">
        <f aca="false">IF(D1082="","",H1082+E1082-K1082-G1082*I1082)</f>
        <v>136.916119273052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13.9567237793147</v>
      </c>
      <c r="N1082" s="16" t="n">
        <f aca="false">IF(D1082="","",(I1082+M1082)/2)</f>
        <v>13.8983776454503</v>
      </c>
      <c r="O1082" s="16" t="n">
        <f aca="false">IF(D1082="","",G1082*N1082)</f>
        <v>1.43014305971684</v>
      </c>
      <c r="P1082" s="16" t="n">
        <f aca="false">IF(D1082="","",H1082+E1082-K1082-O1082)</f>
        <v>136.910115455878</v>
      </c>
      <c r="Q1082" s="16" t="n">
        <f aca="false">IF(D1082="","",IF(P1082&gt;=0,K1082,MAX(0,K1082+P1082)))</f>
        <v>1.119744</v>
      </c>
      <c r="R1082" s="16" t="n">
        <f aca="false">IF(D1082="","",Q1082/$B$15)</f>
        <v>0.432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136.910115455878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84.5124169480727</v>
      </c>
      <c r="Z1082" s="18" t="n">
        <f aca="false">IF(D1082="","",MAX(0,IF(P1082&gt;=0,P1082,IF(K1082+P1082&gt;=0,0,P1082+K1082))))</f>
        <v>136.910115455878</v>
      </c>
      <c r="AA1082" s="18" t="n">
        <f aca="false">IF(D1082="","",IF(H1082&lt;=$B$16,1,IF(H1082&gt;=$B$17,$B$21,MATCH(H1082,Aux_CAV!$A$2:$A$121,1))))</f>
        <v>22</v>
      </c>
      <c r="AB1082" s="18" t="n">
        <f aca="false">IF(D1082="","",IF(L1082&lt;=$B$16,1,IF(L1082&gt;=$B$17,$B$21,MATCH(L1082,Aux_CAV!$A$2:$A$121,1))))</f>
        <v>22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1.31383517941024</v>
      </c>
      <c r="E1083" s="16" t="n">
        <f aca="false">IF(D1083="","",D1083*$B$15)</f>
        <v>3.40546078503134</v>
      </c>
      <c r="F1083" s="16" t="n">
        <f aca="false" t="array" ref="F1083:F1083">IF(D1083="","",IFERROR(INDEX(Dados_Evap!$C$2:$N$15,MATCH($B$9,Dados_Evap!$A$2:$A$15,0),C1083),0))</f>
        <v>81.8</v>
      </c>
      <c r="G1083" s="16" t="n">
        <f aca="false">IF(F1083="","",F1083/1000)</f>
        <v>0.0818</v>
      </c>
      <c r="H1083" s="16" t="n">
        <f aca="false">IF(D1083="","",MAX(0,MIN($B$8,IFERROR(LOOKUP(2,1/($U$24:U1082&lt;&gt;""),$U$24:U1082),$B$11))))</f>
        <v>136.910115455878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13.9562866608058</v>
      </c>
      <c r="J1083" s="16" t="n">
        <f aca="false">IF(D1083="","",$B$12)</f>
        <v>0.432</v>
      </c>
      <c r="K1083" s="16" t="n">
        <f aca="false">IF(J1083="","",J1083*$B$15)</f>
        <v>1.119744</v>
      </c>
      <c r="L1083" s="16" t="n">
        <f aca="false">IF(D1083="","",H1083+E1083-K1083-G1083*I1083)</f>
        <v>138.054207992055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14.0395843377414</v>
      </c>
      <c r="N1083" s="16" t="n">
        <f aca="false">IF(D1083="","",(I1083+M1083)/2)</f>
        <v>13.9979354992736</v>
      </c>
      <c r="O1083" s="16" t="n">
        <f aca="false">IF(D1083="","",G1083*N1083)</f>
        <v>1.14503112384058</v>
      </c>
      <c r="P1083" s="16" t="n">
        <f aca="false">IF(D1083="","",H1083+E1083-K1083-O1083)</f>
        <v>138.050801117069</v>
      </c>
      <c r="Q1083" s="16" t="n">
        <f aca="false">IF(D1083="","",IF(P1083&gt;=0,K1083,MAX(0,K1083+P1083)))</f>
        <v>1.119744</v>
      </c>
      <c r="R1083" s="16" t="n">
        <f aca="false">IF(D1083="","",Q1083/$B$15)</f>
        <v>0.432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138.050801117069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85.216543899425</v>
      </c>
      <c r="Z1083" s="18" t="n">
        <f aca="false">IF(D1083="","",MAX(0,IF(P1083&gt;=0,P1083,IF(K1083+P1083&gt;=0,0,P1083+K1083))))</f>
        <v>138.050801117069</v>
      </c>
      <c r="AA1083" s="18" t="n">
        <f aca="false">IF(D1083="","",IF(H1083&lt;=$B$16,1,IF(H1083&gt;=$B$17,$B$21,MATCH(H1083,Aux_CAV!$A$2:$A$121,1))))</f>
        <v>22</v>
      </c>
      <c r="AB1083" s="18" t="n">
        <f aca="false">IF(D1083="","",IF(L1083&lt;=$B$16,1,IF(L1083&gt;=$B$17,$B$21,MATCH(L1083,Aux_CAV!$A$2:$A$121,1))))</f>
        <v>22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0.509851487489813</v>
      </c>
      <c r="E1084" s="16" t="n">
        <f aca="false">IF(D1084="","",D1084*$B$15)</f>
        <v>1.3215350555736</v>
      </c>
      <c r="F1084" s="16" t="n">
        <f aca="false" t="array" ref="F1084:F1084">IF(D1084="","",IFERROR(INDEX(Dados_Evap!$C$2:$N$15,MATCH($B$9,Dados_Evap!$A$2:$A$15,0),C1084),0))</f>
        <v>83.6</v>
      </c>
      <c r="G1084" s="16" t="n">
        <f aca="false">IF(F1084="","",F1084/1000)</f>
        <v>0.0836</v>
      </c>
      <c r="H1084" s="16" t="n">
        <f aca="false">IF(D1084="","",MAX(0,MIN($B$8,IFERROR(LOOKUP(2,1/($U$24:U1083&lt;&gt;""),$U$24:U1083),$B$11))))</f>
        <v>138.050801117069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14.0393362941934</v>
      </c>
      <c r="J1084" s="16" t="n">
        <f aca="false">IF(D1084="","",$B$12)</f>
        <v>0.432</v>
      </c>
      <c r="K1084" s="16" t="n">
        <f aca="false">IF(J1084="","",J1084*$B$15)</f>
        <v>1.119744</v>
      </c>
      <c r="L1084" s="16" t="n">
        <f aca="false">IF(D1084="","",H1084+E1084-K1084-G1084*I1084)</f>
        <v>137.078903658448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13.9685755838812</v>
      </c>
      <c r="N1084" s="16" t="n">
        <f aca="false">IF(D1084="","",(I1084+M1084)/2)</f>
        <v>14.0039559390373</v>
      </c>
      <c r="O1084" s="16" t="n">
        <f aca="false">IF(D1084="","",G1084*N1084)</f>
        <v>1.17073071650352</v>
      </c>
      <c r="P1084" s="16" t="n">
        <f aca="false">IF(D1084="","",H1084+E1084-K1084-O1084)</f>
        <v>137.081861456139</v>
      </c>
      <c r="Q1084" s="16" t="n">
        <f aca="false">IF(D1084="","",IF(P1084&gt;=0,K1084,MAX(0,K1084+P1084)))</f>
        <v>1.119744</v>
      </c>
      <c r="R1084" s="16" t="n">
        <f aca="false">IF(D1084="","",Q1084/$B$15)</f>
        <v>0.432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137.081861456139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84.6184329976164</v>
      </c>
      <c r="Z1084" s="18" t="n">
        <f aca="false">IF(D1084="","",MAX(0,IF(P1084&gt;=0,P1084,IF(K1084+P1084&gt;=0,0,P1084+K1084))))</f>
        <v>137.081861456139</v>
      </c>
      <c r="AA1084" s="18" t="n">
        <f aca="false">IF(D1084="","",IF(H1084&lt;=$B$16,1,IF(H1084&gt;=$B$17,$B$21,MATCH(H1084,Aux_CAV!$A$2:$A$121,1))))</f>
        <v>22</v>
      </c>
      <c r="AB1084" s="18" t="n">
        <f aca="false">IF(D1084="","",IF(L1084&lt;=$B$16,1,IF(L1084&gt;=$B$17,$B$21,MATCH(L1084,Aux_CAV!$A$2:$A$121,1))))</f>
        <v>22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0.205655196918246</v>
      </c>
      <c r="E1085" s="16" t="n">
        <f aca="false">IF(D1085="","",D1085*$B$15)</f>
        <v>0.533058270412094</v>
      </c>
      <c r="F1085" s="16" t="n">
        <f aca="false" t="array" ref="F1085:F1085">IF(D1085="","",IFERROR(INDEX(Dados_Evap!$C$2:$N$15,MATCH($B$9,Dados_Evap!$A$2:$A$15,0),C1085),0))</f>
        <v>108.2</v>
      </c>
      <c r="G1085" s="16" t="n">
        <f aca="false">IF(F1085="","",F1085/1000)</f>
        <v>0.1082</v>
      </c>
      <c r="H1085" s="16" t="n">
        <f aca="false">IF(D1085="","",MAX(0,MIN($B$8,IFERROR(LOOKUP(2,1/($U$24:U1084&lt;&gt;""),$U$24:U1084),$B$11))))</f>
        <v>137.081861456139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13.968790931564</v>
      </c>
      <c r="J1085" s="16" t="n">
        <f aca="false">IF(D1085="","",$B$12)</f>
        <v>0.432</v>
      </c>
      <c r="K1085" s="16" t="n">
        <f aca="false">IF(J1085="","",J1085*$B$15)</f>
        <v>1.119744</v>
      </c>
      <c r="L1085" s="16" t="n">
        <f aca="false">IF(D1085="","",H1085+E1085-K1085-G1085*I1085)</f>
        <v>134.983752547756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13.8160344083809</v>
      </c>
      <c r="N1085" s="16" t="n">
        <f aca="false">IF(D1085="","",(I1085+M1085)/2)</f>
        <v>13.8924126699724</v>
      </c>
      <c r="O1085" s="16" t="n">
        <f aca="false">IF(D1085="","",G1085*N1085)</f>
        <v>1.50315905089101</v>
      </c>
      <c r="P1085" s="16" t="n">
        <f aca="false">IF(D1085="","",H1085+E1085-K1085-O1085)</f>
        <v>134.99201667566</v>
      </c>
      <c r="Q1085" s="16" t="n">
        <f aca="false">IF(D1085="","",IF(P1085&gt;=0,K1085,MAX(0,K1085+P1085)))</f>
        <v>1.119744</v>
      </c>
      <c r="R1085" s="16" t="n">
        <f aca="false">IF(D1085="","",Q1085/$B$15)</f>
        <v>0.432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134.99201667566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83.3284053553455</v>
      </c>
      <c r="Z1085" s="18" t="n">
        <f aca="false">IF(D1085="","",MAX(0,IF(P1085&gt;=0,P1085,IF(K1085+P1085&gt;=0,0,P1085+K1085))))</f>
        <v>134.99201667566</v>
      </c>
      <c r="AA1085" s="18" t="n">
        <f aca="false">IF(D1085="","",IF(H1085&lt;=$B$16,1,IF(H1085&gt;=$B$17,$B$21,MATCH(H1085,Aux_CAV!$A$2:$A$121,1))))</f>
        <v>22</v>
      </c>
      <c r="AB1085" s="18" t="n">
        <f aca="false">IF(D1085="","",IF(L1085&lt;=$B$16,1,IF(L1085&gt;=$B$17,$B$21,MATCH(L1085,Aux_CAV!$A$2:$A$121,1))))</f>
        <v>22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0.194355242702285</v>
      </c>
      <c r="E1086" s="16" t="n">
        <f aca="false">IF(D1086="","",D1086*$B$15)</f>
        <v>0.503768789084323</v>
      </c>
      <c r="F1086" s="16" t="n">
        <f aca="false" t="array" ref="F1086:F1086">IF(D1086="","",IFERROR(INDEX(Dados_Evap!$C$2:$N$15,MATCH($B$9,Dados_Evap!$A$2:$A$15,0),C1086),0))</f>
        <v>149</v>
      </c>
      <c r="G1086" s="16" t="n">
        <f aca="false">IF(F1086="","",F1086/1000)</f>
        <v>0.149</v>
      </c>
      <c r="H1086" s="16" t="n">
        <f aca="false">IF(D1086="","",MAX(0,MIN($B$8,IFERROR(LOOKUP(2,1/($U$24:U1085&lt;&gt;""),$U$24:U1085),$B$11))))</f>
        <v>134.99201667566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13.8166360928028</v>
      </c>
      <c r="J1086" s="16" t="n">
        <f aca="false">IF(D1086="","",$B$12)</f>
        <v>0.432</v>
      </c>
      <c r="K1086" s="16" t="n">
        <f aca="false">IF(J1086="","",J1086*$B$15)</f>
        <v>1.119744</v>
      </c>
      <c r="L1086" s="16" t="n">
        <f aca="false">IF(D1086="","",H1086+E1086-K1086-G1086*I1086)</f>
        <v>132.317362686916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13.6219031871821</v>
      </c>
      <c r="N1086" s="16" t="n">
        <f aca="false">IF(D1086="","",(I1086+M1086)/2)</f>
        <v>13.7192696399925</v>
      </c>
      <c r="O1086" s="16" t="n">
        <f aca="false">IF(D1086="","",G1086*N1086)</f>
        <v>2.04417117635888</v>
      </c>
      <c r="P1086" s="16" t="n">
        <f aca="false">IF(D1086="","",H1086+E1086-K1086-O1086)</f>
        <v>132.331870288385</v>
      </c>
      <c r="Q1086" s="16" t="n">
        <f aca="false">IF(D1086="","",IF(P1086&gt;=0,K1086,MAX(0,K1086+P1086)))</f>
        <v>1.119744</v>
      </c>
      <c r="R1086" s="16" t="n">
        <f aca="false">IF(D1086="","",Q1086/$B$15)</f>
        <v>0.432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132.331870288385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81.6863396841884</v>
      </c>
      <c r="Z1086" s="18" t="n">
        <f aca="false">IF(D1086="","",MAX(0,IF(P1086&gt;=0,P1086,IF(K1086+P1086&gt;=0,0,P1086+K1086))))</f>
        <v>132.331870288385</v>
      </c>
      <c r="AA1086" s="18" t="n">
        <f aca="false">IF(D1086="","",IF(H1086&lt;=$B$16,1,IF(H1086&gt;=$B$17,$B$21,MATCH(H1086,Aux_CAV!$A$2:$A$121,1))))</f>
        <v>22</v>
      </c>
      <c r="AB1086" s="18" t="n">
        <f aca="false">IF(D1086="","",IF(L1086&lt;=$B$16,1,IF(L1086&gt;=$B$17,$B$21,MATCH(L1086,Aux_CAV!$A$2:$A$121,1))))</f>
        <v>22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0.18691429890522</v>
      </c>
      <c r="E1087" s="16" t="n">
        <f aca="false">IF(D1087="","",D1087*$B$15)</f>
        <v>0.48448186276233</v>
      </c>
      <c r="F1087" s="16" t="n">
        <f aca="false" t="array" ref="F1087:F1087">IF(D1087="","",IFERROR(INDEX(Dados_Evap!$C$2:$N$15,MATCH($B$9,Dados_Evap!$A$2:$A$15,0),C1087),0))</f>
        <v>206.8</v>
      </c>
      <c r="G1087" s="16" t="n">
        <f aca="false">IF(F1087="","",F1087/1000)</f>
        <v>0.2068</v>
      </c>
      <c r="H1087" s="16" t="n">
        <f aca="false">IF(D1087="","",MAX(0,MIN($B$8,IFERROR(LOOKUP(2,1/($U$24:U1086&lt;&gt;""),$U$24:U1086),$B$11))))</f>
        <v>132.331870288385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13.6229594387195</v>
      </c>
      <c r="J1087" s="16" t="n">
        <f aca="false">IF(D1087="","",$B$12)</f>
        <v>0.432</v>
      </c>
      <c r="K1087" s="16" t="n">
        <f aca="false">IF(J1087="","",J1087*$B$15)</f>
        <v>1.119744</v>
      </c>
      <c r="L1087" s="16" t="n">
        <f aca="false">IF(D1087="","",H1087+E1087-K1087-G1087*I1087)</f>
        <v>128.87938013922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13.3715947982077</v>
      </c>
      <c r="N1087" s="16" t="n">
        <f aca="false">IF(D1087="","",(I1087+M1087)/2)</f>
        <v>13.4972771184636</v>
      </c>
      <c r="O1087" s="16" t="n">
        <f aca="false">IF(D1087="","",G1087*N1087)</f>
        <v>2.79123690809827</v>
      </c>
      <c r="P1087" s="16" t="n">
        <f aca="false">IF(D1087="","",H1087+E1087-K1087-O1087)</f>
        <v>128.905371243049</v>
      </c>
      <c r="Q1087" s="16" t="n">
        <f aca="false">IF(D1087="","",IF(P1087&gt;=0,K1087,MAX(0,K1087+P1087)))</f>
        <v>1.119744</v>
      </c>
      <c r="R1087" s="16" t="n">
        <f aca="false">IF(D1087="","",Q1087/$B$15)</f>
        <v>0.432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128.905371243049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79.5712168166971</v>
      </c>
      <c r="Z1087" s="18" t="n">
        <f aca="false">IF(D1087="","",MAX(0,IF(P1087&gt;=0,P1087,IF(K1087+P1087&gt;=0,0,P1087+K1087))))</f>
        <v>128.905371243049</v>
      </c>
      <c r="AA1087" s="18" t="n">
        <f aca="false">IF(D1087="","",IF(H1087&lt;=$B$16,1,IF(H1087&gt;=$B$17,$B$21,MATCH(H1087,Aux_CAV!$A$2:$A$121,1))))</f>
        <v>22</v>
      </c>
      <c r="AB1087" s="18" t="n">
        <f aca="false">IF(D1087="","",IF(L1087&lt;=$B$16,1,IF(L1087&gt;=$B$17,$B$21,MATCH(L1087,Aux_CAV!$A$2:$A$121,1))))</f>
        <v>22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0.122101328700868</v>
      </c>
      <c r="E1088" s="16" t="n">
        <f aca="false">IF(D1088="","",D1088*$B$15)</f>
        <v>0.31648664399265</v>
      </c>
      <c r="F1088" s="16" t="n">
        <f aca="false" t="array" ref="F1088:F1088">IF(D1088="","",IFERROR(INDEX(Dados_Evap!$C$2:$N$15,MATCH($B$9,Dados_Evap!$A$2:$A$15,0),C1088),0))</f>
        <v>245.9</v>
      </c>
      <c r="G1088" s="16" t="n">
        <f aca="false">IF(F1088="","",F1088/1000)</f>
        <v>0.2459</v>
      </c>
      <c r="H1088" s="16" t="n">
        <f aca="false">IF(D1088="","",MAX(0,MIN($B$8,IFERROR(LOOKUP(2,1/($U$24:U1087&lt;&gt;""),$U$24:U1087),$B$11))))</f>
        <v>128.905371243049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13.3734871264079</v>
      </c>
      <c r="J1088" s="16" t="n">
        <f aca="false">IF(D1088="","",$B$12)</f>
        <v>0.432</v>
      </c>
      <c r="K1088" s="16" t="n">
        <f aca="false">IF(J1088="","",J1088*$B$15)</f>
        <v>1.119744</v>
      </c>
      <c r="L1088" s="16" t="n">
        <f aca="false">IF(D1088="","",H1088+E1088-K1088-G1088*I1088)</f>
        <v>124.813573402658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13.0755765607701</v>
      </c>
      <c r="N1088" s="16" t="n">
        <f aca="false">IF(D1088="","",(I1088+M1088)/2)</f>
        <v>13.224531843589</v>
      </c>
      <c r="O1088" s="16" t="n">
        <f aca="false">IF(D1088="","",G1088*N1088)</f>
        <v>3.25191238033854</v>
      </c>
      <c r="P1088" s="16" t="n">
        <f aca="false">IF(D1088="","",H1088+E1088-K1088-O1088)</f>
        <v>124.850201506703</v>
      </c>
      <c r="Q1088" s="16" t="n">
        <f aca="false">IF(D1088="","",IF(P1088&gt;=0,K1088,MAX(0,K1088+P1088)))</f>
        <v>1.119744</v>
      </c>
      <c r="R1088" s="16" t="n">
        <f aca="false">IF(D1088="","",Q1088/$B$15)</f>
        <v>0.432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124.850201506703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77.0680256214218</v>
      </c>
      <c r="Z1088" s="18" t="n">
        <f aca="false">IF(D1088="","",MAX(0,IF(P1088&gt;=0,P1088,IF(K1088+P1088&gt;=0,0,P1088+K1088))))</f>
        <v>124.850201506703</v>
      </c>
      <c r="AA1088" s="18" t="n">
        <f aca="false">IF(D1088="","",IF(H1088&lt;=$B$16,1,IF(H1088&gt;=$B$17,$B$21,MATCH(H1088,Aux_CAV!$A$2:$A$121,1))))</f>
        <v>22</v>
      </c>
      <c r="AB1088" s="18" t="n">
        <f aca="false">IF(D1088="","",IF(L1088&lt;=$B$16,1,IF(L1088&gt;=$B$17,$B$21,MATCH(L1088,Aux_CAV!$A$2:$A$121,1))))</f>
        <v>22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0.122114974052247</v>
      </c>
      <c r="E1089" s="16" t="n">
        <f aca="false">IF(D1089="","",D1089*$B$15)</f>
        <v>0.316522012743424</v>
      </c>
      <c r="F1089" s="16" t="n">
        <f aca="false" t="array" ref="F1089:F1089">IF(D1089="","",IFERROR(INDEX(Dados_Evap!$C$2:$N$15,MATCH($B$9,Dados_Evap!$A$2:$A$15,0),C1089),0))</f>
        <v>282.3</v>
      </c>
      <c r="G1089" s="16" t="n">
        <f aca="false">IF(F1089="","",F1089/1000)</f>
        <v>0.2823</v>
      </c>
      <c r="H1089" s="16" t="n">
        <f aca="false">IF(D1089="","",MAX(0,MIN($B$8,IFERROR(LOOKUP(2,1/($U$24:U1088&lt;&gt;""),$U$24:U1088),$B$11))))</f>
        <v>124.850201506703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13.0782433345502</v>
      </c>
      <c r="J1089" s="16" t="n">
        <f aca="false">IF(D1089="","",$B$12)</f>
        <v>0.432</v>
      </c>
      <c r="K1089" s="16" t="n">
        <f aca="false">IF(J1089="","",J1089*$B$15)</f>
        <v>1.119744</v>
      </c>
      <c r="L1089" s="16" t="n">
        <f aca="false">IF(D1089="","",H1089+E1089-K1089-G1089*I1089)</f>
        <v>120.354991426103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12.7509616285594</v>
      </c>
      <c r="N1089" s="16" t="n">
        <f aca="false">IF(D1089="","",(I1089+M1089)/2)</f>
        <v>12.9146024815548</v>
      </c>
      <c r="O1089" s="16" t="n">
        <f aca="false">IF(D1089="","",G1089*N1089)</f>
        <v>3.64579228054292</v>
      </c>
      <c r="P1089" s="16" t="n">
        <f aca="false">IF(D1089="","",H1089+E1089-K1089-O1089)</f>
        <v>120.401187238904</v>
      </c>
      <c r="Q1089" s="16" t="n">
        <f aca="false">IF(D1089="","",IF(P1089&gt;=0,K1089,MAX(0,K1089+P1089)))</f>
        <v>1.119744</v>
      </c>
      <c r="R1089" s="16" t="n">
        <f aca="false">IF(D1089="","",Q1089/$B$15)</f>
        <v>0.432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120.401187238904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74.3217205178419</v>
      </c>
      <c r="Z1089" s="18" t="n">
        <f aca="false">IF(D1089="","",MAX(0,IF(P1089&gt;=0,P1089,IF(K1089+P1089&gt;=0,0,P1089+K1089))))</f>
        <v>120.401187238904</v>
      </c>
      <c r="AA1089" s="18" t="n">
        <f aca="false">IF(D1089="","",IF(H1089&lt;=$B$16,1,IF(H1089&gt;=$B$17,$B$21,MATCH(H1089,Aux_CAV!$A$2:$A$121,1))))</f>
        <v>22</v>
      </c>
      <c r="AB1089" s="18" t="n">
        <f aca="false">IF(D1089="","",IF(L1089&lt;=$B$16,1,IF(L1089&gt;=$B$17,$B$21,MATCH(L1089,Aux_CAV!$A$2:$A$121,1))))</f>
        <v>22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0.100486318943032</v>
      </c>
      <c r="E1090" s="16" t="n">
        <f aca="false">IF(D1090="","",D1090*$B$15)</f>
        <v>0.260460538700339</v>
      </c>
      <c r="F1090" s="16" t="n">
        <f aca="false" t="array" ref="F1090:F1090">IF(D1090="","",IFERROR(INDEX(Dados_Evap!$C$2:$N$15,MATCH($B$9,Dados_Evap!$A$2:$A$15,0),C1090),0))</f>
        <v>241.3</v>
      </c>
      <c r="G1090" s="16" t="n">
        <f aca="false">IF(F1090="","",F1090/1000)</f>
        <v>0.2413</v>
      </c>
      <c r="H1090" s="16" t="n">
        <f aca="false">IF(D1090="","",MAX(0,MIN($B$8,IFERROR(LOOKUP(2,1/($U$24:U1089&lt;&gt;""),$U$24:U1089),$B$11))))</f>
        <v>120.401187238904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12.7543249962668</v>
      </c>
      <c r="J1090" s="16" t="n">
        <f aca="false">IF(D1090="","",$B$12)</f>
        <v>0.432</v>
      </c>
      <c r="K1090" s="16" t="n">
        <f aca="false">IF(J1090="","",J1090*$B$15)</f>
        <v>1.119744</v>
      </c>
      <c r="L1090" s="16" t="n">
        <f aca="false">IF(D1090="","",H1090+E1090-K1090-G1090*I1090)</f>
        <v>116.464285156005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12.467691889714</v>
      </c>
      <c r="N1090" s="16" t="n">
        <f aca="false">IF(D1090="","",(I1090+M1090)/2)</f>
        <v>12.6110084429904</v>
      </c>
      <c r="O1090" s="16" t="n">
        <f aca="false">IF(D1090="","",G1090*N1090)</f>
        <v>3.04303633729359</v>
      </c>
      <c r="P1090" s="16" t="n">
        <f aca="false">IF(D1090="","",H1090+E1090-K1090-O1090)</f>
        <v>116.498867440311</v>
      </c>
      <c r="Q1090" s="16" t="n">
        <f aca="false">IF(D1090="","",IF(P1090&gt;=0,K1090,MAX(0,K1090+P1090)))</f>
        <v>1.119744</v>
      </c>
      <c r="R1090" s="16" t="n">
        <f aca="false">IF(D1090="","",Q1090/$B$15)</f>
        <v>0.432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116.498867440311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71.9128811359942</v>
      </c>
      <c r="Z1090" s="18" t="n">
        <f aca="false">IF(D1090="","",MAX(0,IF(P1090&gt;=0,P1090,IF(K1090+P1090&gt;=0,0,P1090+K1090))))</f>
        <v>116.498867440311</v>
      </c>
      <c r="AA1090" s="18" t="n">
        <f aca="false">IF(D1090="","",IF(H1090&lt;=$B$16,1,IF(H1090&gt;=$B$17,$B$21,MATCH(H1090,Aux_CAV!$A$2:$A$121,1))))</f>
        <v>22</v>
      </c>
      <c r="AB1090" s="18" t="n">
        <f aca="false">IF(D1090="","",IF(L1090&lt;=$B$16,1,IF(L1090&gt;=$B$17,$B$21,MATCH(L1090,Aux_CAV!$A$2:$A$121,1))))</f>
        <v>22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0.10962600986522</v>
      </c>
      <c r="E1091" s="16" t="n">
        <f aca="false">IF(D1091="","",D1091*$B$15)</f>
        <v>0.28415061757065</v>
      </c>
      <c r="F1091" s="16" t="n">
        <f aca="false" t="array" ref="F1091:F1091">IF(D1091="","",IFERROR(INDEX(Dados_Evap!$C$2:$N$15,MATCH($B$9,Dados_Evap!$A$2:$A$15,0),C1091),0))</f>
        <v>241.8</v>
      </c>
      <c r="G1091" s="16" t="n">
        <f aca="false">IF(F1091="","",F1091/1000)</f>
        <v>0.2418</v>
      </c>
      <c r="H1091" s="16" t="n">
        <f aca="false">IF(D1091="","",MAX(0,MIN($B$8,IFERROR(LOOKUP(2,1/($U$24:U1090&lt;&gt;""),$U$24:U1090),$B$11))))</f>
        <v>116.498867440311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12.4702097139762</v>
      </c>
      <c r="J1091" s="16" t="n">
        <f aca="false">IF(D1091="","",$B$12)</f>
        <v>0.432</v>
      </c>
      <c r="K1091" s="16" t="n">
        <f aca="false">IF(J1091="","",J1091*$B$15)</f>
        <v>1.119744</v>
      </c>
      <c r="L1091" s="16" t="n">
        <f aca="false">IF(D1091="","",H1091+E1091-K1091-G1091*I1091)</f>
        <v>112.647977349042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12.189838862324</v>
      </c>
      <c r="N1091" s="16" t="n">
        <f aca="false">IF(D1091="","",(I1091+M1091)/2)</f>
        <v>12.3300242881501</v>
      </c>
      <c r="O1091" s="16" t="n">
        <f aca="false">IF(D1091="","",G1091*N1091)</f>
        <v>2.98139987287469</v>
      </c>
      <c r="P1091" s="16" t="n">
        <f aca="false">IF(D1091="","",H1091+E1091-K1091-O1091)</f>
        <v>112.681874185007</v>
      </c>
      <c r="Q1091" s="16" t="n">
        <f aca="false">IF(D1091="","",IF(P1091&gt;=0,K1091,MAX(0,K1091+P1091)))</f>
        <v>1.119744</v>
      </c>
      <c r="R1091" s="16" t="n">
        <f aca="false">IF(D1091="","",Q1091/$B$15)</f>
        <v>0.432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112.681874185007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69.5567124598806</v>
      </c>
      <c r="Z1091" s="18" t="n">
        <f aca="false">IF(D1091="","",MAX(0,IF(P1091&gt;=0,P1091,IF(K1091+P1091&gt;=0,0,P1091+K1091))))</f>
        <v>112.681874185007</v>
      </c>
      <c r="AA1091" s="18" t="n">
        <f aca="false">IF(D1091="","",IF(H1091&lt;=$B$16,1,IF(H1091&gt;=$B$17,$B$21,MATCH(H1091,Aux_CAV!$A$2:$A$121,1))))</f>
        <v>22</v>
      </c>
      <c r="AB1091" s="18" t="n">
        <f aca="false">IF(D1091="","",IF(L1091&lt;=$B$16,1,IF(L1091&gt;=$B$17,$B$21,MATCH(L1091,Aux_CAV!$A$2:$A$121,1))))</f>
        <v>22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0.139166854160311</v>
      </c>
      <c r="E1092" s="16" t="n">
        <f aca="false">IF(D1092="","",D1092*$B$15)</f>
        <v>0.360720485983526</v>
      </c>
      <c r="F1092" s="16" t="n">
        <f aca="false" t="array" ref="F1092:F1092">IF(D1092="","",IFERROR(INDEX(Dados_Evap!$C$2:$N$15,MATCH($B$9,Dados_Evap!$A$2:$A$15,0),C1092),0))</f>
        <v>189</v>
      </c>
      <c r="G1092" s="16" t="n">
        <f aca="false">IF(F1092="","",F1092/1000)</f>
        <v>0.189</v>
      </c>
      <c r="H1092" s="16" t="n">
        <f aca="false">IF(D1092="","",MAX(0,MIN($B$8,IFERROR(LOOKUP(2,1/($U$24:U1091&lt;&gt;""),$U$24:U1091),$B$11))))</f>
        <v>112.681874185007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12.1923067813096</v>
      </c>
      <c r="J1092" s="16" t="n">
        <f aca="false">IF(D1092="","",$B$12)</f>
        <v>0.432</v>
      </c>
      <c r="K1092" s="16" t="n">
        <f aca="false">IF(J1092="","",J1092*$B$15)</f>
        <v>1.119744</v>
      </c>
      <c r="L1092" s="16" t="n">
        <f aca="false">IF(D1092="","",H1092+E1092-K1092-G1092*I1092)</f>
        <v>109.618504689323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11.9692727569479</v>
      </c>
      <c r="N1092" s="16" t="n">
        <f aca="false">IF(D1092="","",(I1092+M1092)/2)</f>
        <v>12.0807897691287</v>
      </c>
      <c r="O1092" s="16" t="n">
        <f aca="false">IF(D1092="","",G1092*N1092)</f>
        <v>2.28326926636533</v>
      </c>
      <c r="P1092" s="16" t="n">
        <f aca="false">IF(D1092="","",H1092+E1092-K1092-O1092)</f>
        <v>109.639581404625</v>
      </c>
      <c r="Q1092" s="16" t="n">
        <f aca="false">IF(D1092="","",IF(P1092&gt;=0,K1092,MAX(0,K1092+P1092)))</f>
        <v>1.119744</v>
      </c>
      <c r="R1092" s="16" t="n">
        <f aca="false">IF(D1092="","",Q1092/$B$15)</f>
        <v>0.432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109.639581404625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67.6787539534721</v>
      </c>
      <c r="Z1092" s="18" t="n">
        <f aca="false">IF(D1092="","",MAX(0,IF(P1092&gt;=0,P1092,IF(K1092+P1092&gt;=0,0,P1092+K1092))))</f>
        <v>109.639581404625</v>
      </c>
      <c r="AA1092" s="18" t="n">
        <f aca="false">IF(D1092="","",IF(H1092&lt;=$B$16,1,IF(H1092&gt;=$B$17,$B$21,MATCH(H1092,Aux_CAV!$A$2:$A$121,1))))</f>
        <v>22</v>
      </c>
      <c r="AB1092" s="18" t="n">
        <f aca="false">IF(D1092="","",IF(L1092&lt;=$B$16,1,IF(L1092&gt;=$B$17,$B$21,MATCH(L1092,Aux_CAV!$A$2:$A$121,1))))</f>
        <v>22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0.187284597446988</v>
      </c>
      <c r="E1093" s="16" t="n">
        <f aca="false">IF(D1093="","",D1093*$B$15)</f>
        <v>0.485441676582593</v>
      </c>
      <c r="F1093" s="16" t="n">
        <f aca="false" t="array" ref="F1093:F1093">IF(D1093="","",IFERROR(INDEX(Dados_Evap!$C$2:$N$15,MATCH($B$9,Dados_Evap!$A$2:$A$15,0),C1093),0))</f>
        <v>136.9</v>
      </c>
      <c r="G1093" s="16" t="n">
        <f aca="false">IF(F1093="","",F1093/1000)</f>
        <v>0.1369</v>
      </c>
      <c r="H1093" s="16" t="n">
        <f aca="false">IF(D1093="","",MAX(0,MIN($B$8,IFERROR(LOOKUP(2,1/($U$24:U1092&lt;&gt;""),$U$24:U1092),$B$11))))</f>
        <v>109.639581404625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11.9708072844154</v>
      </c>
      <c r="J1093" s="16" t="n">
        <f aca="false">IF(D1093="","",$B$12)</f>
        <v>0.432</v>
      </c>
      <c r="K1093" s="16" t="n">
        <f aca="false">IF(J1093="","",J1093*$B$15)</f>
        <v>1.119744</v>
      </c>
      <c r="L1093" s="16" t="n">
        <f aca="false">IF(D1093="","",H1093+E1093-K1093-G1093*I1093)</f>
        <v>107.366475563971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11.8053098006298</v>
      </c>
      <c r="N1093" s="16" t="n">
        <f aca="false">IF(D1093="","",(I1093+M1093)/2)</f>
        <v>11.8880585425226</v>
      </c>
      <c r="O1093" s="16" t="n">
        <f aca="false">IF(D1093="","",G1093*N1093)</f>
        <v>1.62747521447134</v>
      </c>
      <c r="P1093" s="16" t="n">
        <f aca="false">IF(D1093="","",H1093+E1093-K1093-O1093)</f>
        <v>107.377803866736</v>
      </c>
      <c r="Q1093" s="16" t="n">
        <f aca="false">IF(D1093="","",IF(P1093&gt;=0,K1093,MAX(0,K1093+P1093)))</f>
        <v>1.119744</v>
      </c>
      <c r="R1093" s="16" t="n">
        <f aca="false">IF(D1093="","",Q1093/$B$15)</f>
        <v>0.432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107.377803866736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66.2825949794667</v>
      </c>
      <c r="Z1093" s="18" t="n">
        <f aca="false">IF(D1093="","",MAX(0,IF(P1093&gt;=0,P1093,IF(K1093+P1093&gt;=0,0,P1093+K1093))))</f>
        <v>107.377803866736</v>
      </c>
      <c r="AA1093" s="18" t="n">
        <f aca="false">IF(D1093="","",IF(H1093&lt;=$B$16,1,IF(H1093&gt;=$B$17,$B$21,MATCH(H1093,Aux_CAV!$A$2:$A$121,1))))</f>
        <v>22</v>
      </c>
      <c r="AB1093" s="18" t="n">
        <f aca="false">IF(D1093="","",IF(L1093&lt;=$B$16,1,IF(L1093&gt;=$B$17,$B$21,MATCH(L1093,Aux_CAV!$A$2:$A$121,1))))</f>
        <v>22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0.641217458935467</v>
      </c>
      <c r="E1094" s="16" t="n">
        <f aca="false">IF(D1094="","",D1094*$B$15)</f>
        <v>1.66203565356073</v>
      </c>
      <c r="F1094" s="16" t="n">
        <f aca="false" t="array" ref="F1094:F1094">IF(D1094="","",IFERROR(INDEX(Dados_Evap!$C$2:$N$15,MATCH($B$9,Dados_Evap!$A$2:$A$15,0),C1094),0))</f>
        <v>102.9</v>
      </c>
      <c r="G1094" s="16" t="n">
        <f aca="false">IF(F1094="","",F1094/1000)</f>
        <v>0.1029</v>
      </c>
      <c r="H1094" s="16" t="n">
        <f aca="false">IF(D1094="","",MAX(0,MIN($B$8,IFERROR(LOOKUP(2,1/($U$24:U1093&lt;&gt;""),$U$24:U1093),$B$11))))</f>
        <v>107.377803866736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11.8061345777122</v>
      </c>
      <c r="J1094" s="16" t="n">
        <f aca="false">IF(D1094="","",$B$12)</f>
        <v>0.432</v>
      </c>
      <c r="K1094" s="16" t="n">
        <f aca="false">IF(J1094="","",J1094*$B$15)</f>
        <v>1.119744</v>
      </c>
      <c r="L1094" s="16" t="n">
        <f aca="false">IF(D1094="","",H1094+E1094-K1094-G1094*I1094)</f>
        <v>106.70524427225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11.7571676890647</v>
      </c>
      <c r="N1094" s="16" t="n">
        <f aca="false">IF(D1094="","",(I1094+M1094)/2)</f>
        <v>11.7816511333884</v>
      </c>
      <c r="O1094" s="16" t="n">
        <f aca="false">IF(D1094="","",G1094*N1094)</f>
        <v>1.21233190162567</v>
      </c>
      <c r="P1094" s="16" t="n">
        <f aca="false">IF(D1094="","",H1094+E1094-K1094-O1094)</f>
        <v>106.707763618671</v>
      </c>
      <c r="Q1094" s="16" t="n">
        <f aca="false">IF(D1094="","",IF(P1094&gt;=0,K1094,MAX(0,K1094+P1094)))</f>
        <v>1.119744</v>
      </c>
      <c r="R1094" s="16" t="n">
        <f aca="false">IF(D1094="","",Q1094/$B$15)</f>
        <v>0.432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106.707763618671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65.8689898880686</v>
      </c>
      <c r="Z1094" s="18" t="n">
        <f aca="false">IF(D1094="","",MAX(0,IF(P1094&gt;=0,P1094,IF(K1094+P1094&gt;=0,0,P1094+K1094))))</f>
        <v>106.707763618671</v>
      </c>
      <c r="AA1094" s="18" t="n">
        <f aca="false">IF(D1094="","",IF(H1094&lt;=$B$16,1,IF(H1094&gt;=$B$17,$B$21,MATCH(H1094,Aux_CAV!$A$2:$A$121,1))))</f>
        <v>22</v>
      </c>
      <c r="AB1094" s="18" t="n">
        <f aca="false">IF(D1094="","",IF(L1094&lt;=$B$16,1,IF(L1094&gt;=$B$17,$B$21,MATCH(L1094,Aux_CAV!$A$2:$A$121,1))))</f>
        <v>22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0.969848456783685</v>
      </c>
      <c r="E1095" s="16" t="n">
        <f aca="false">IF(D1095="","",D1095*$B$15)</f>
        <v>2.51384719998331</v>
      </c>
      <c r="F1095" s="16" t="n">
        <f aca="false" t="array" ref="F1095:F1095">IF(D1095="","",IFERROR(INDEX(Dados_Evap!$C$2:$N$15,MATCH($B$9,Dados_Evap!$A$2:$A$15,0),C1095),0))</f>
        <v>81.8</v>
      </c>
      <c r="G1095" s="16" t="n">
        <f aca="false">IF(F1095="","",F1095/1000)</f>
        <v>0.0818</v>
      </c>
      <c r="H1095" s="16" t="n">
        <f aca="false">IF(D1095="","",MAX(0,MIN($B$8,IFERROR(LOOKUP(2,1/($U$24:U1094&lt;&gt;""),$U$24:U1094),$B$11))))</f>
        <v>106.707763618671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11.7573511145287</v>
      </c>
      <c r="J1095" s="16" t="n">
        <f aca="false">IF(D1095="","",$B$12)</f>
        <v>0.432</v>
      </c>
      <c r="K1095" s="16" t="n">
        <f aca="false">IF(J1095="","",J1095*$B$15)</f>
        <v>1.119744</v>
      </c>
      <c r="L1095" s="16" t="n">
        <f aca="false">IF(D1095="","",H1095+E1095-K1095-G1095*I1095)</f>
        <v>107.140115497486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11.7888292563618</v>
      </c>
      <c r="N1095" s="16" t="n">
        <f aca="false">IF(D1095="","",(I1095+M1095)/2)</f>
        <v>11.7730901854452</v>
      </c>
      <c r="O1095" s="16" t="n">
        <f aca="false">IF(D1095="","",G1095*N1095)</f>
        <v>0.963038777169419</v>
      </c>
      <c r="P1095" s="16" t="n">
        <f aca="false">IF(D1095="","",H1095+E1095-K1095-O1095)</f>
        <v>107.138828041485</v>
      </c>
      <c r="Q1095" s="16" t="n">
        <f aca="false">IF(D1095="","",IF(P1095&gt;=0,K1095,MAX(0,K1095+P1095)))</f>
        <v>1.119744</v>
      </c>
      <c r="R1095" s="16" t="n">
        <f aca="false">IF(D1095="","",Q1095/$B$15)</f>
        <v>0.432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107.138828041485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66.1350790379537</v>
      </c>
      <c r="Z1095" s="18" t="n">
        <f aca="false">IF(D1095="","",MAX(0,IF(P1095&gt;=0,P1095,IF(K1095+P1095&gt;=0,0,P1095+K1095))))</f>
        <v>107.138828041485</v>
      </c>
      <c r="AA1095" s="18" t="n">
        <f aca="false">IF(D1095="","",IF(H1095&lt;=$B$16,1,IF(H1095&gt;=$B$17,$B$21,MATCH(H1095,Aux_CAV!$A$2:$A$121,1))))</f>
        <v>22</v>
      </c>
      <c r="AB1095" s="18" t="n">
        <f aca="false">IF(D1095="","",IF(L1095&lt;=$B$16,1,IF(L1095&gt;=$B$17,$B$21,MATCH(L1095,Aux_CAV!$A$2:$A$121,1))))</f>
        <v>22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2.24328513861439</v>
      </c>
      <c r="E1096" s="16" t="n">
        <f aca="false">IF(D1096="","",D1096*$B$15)</f>
        <v>5.8145950792885</v>
      </c>
      <c r="F1096" s="16" t="n">
        <f aca="false" t="array" ref="F1096:F1096">IF(D1096="","",IFERROR(INDEX(Dados_Evap!$C$2:$N$15,MATCH($B$9,Dados_Evap!$A$2:$A$15,0),C1096),0))</f>
        <v>83.6</v>
      </c>
      <c r="G1096" s="16" t="n">
        <f aca="false">IF(F1096="","",F1096/1000)</f>
        <v>0.0836</v>
      </c>
      <c r="H1096" s="16" t="n">
        <f aca="false">IF(D1096="","",MAX(0,MIN($B$8,IFERROR(LOOKUP(2,1/($U$24:U1095&lt;&gt;""),$U$24:U1095),$B$11))))</f>
        <v>107.138828041485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11.7887355208547</v>
      </c>
      <c r="J1096" s="16" t="n">
        <f aca="false">IF(D1096="","",$B$12)</f>
        <v>0.432</v>
      </c>
      <c r="K1096" s="16" t="n">
        <f aca="false">IF(J1096="","",J1096*$B$15)</f>
        <v>1.119744</v>
      </c>
      <c r="L1096" s="16" t="n">
        <f aca="false">IF(D1096="","",H1096+E1096-K1096-G1096*I1096)</f>
        <v>110.84814083123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12.0587985871217</v>
      </c>
      <c r="N1096" s="16" t="n">
        <f aca="false">IF(D1096="","",(I1096+M1096)/2)</f>
        <v>11.9237670539882</v>
      </c>
      <c r="O1096" s="16" t="n">
        <f aca="false">IF(D1096="","",G1096*N1096)</f>
        <v>0.996826925713413</v>
      </c>
      <c r="P1096" s="16" t="n">
        <f aca="false">IF(D1096="","",H1096+E1096-K1096-O1096)</f>
        <v>110.83685219506</v>
      </c>
      <c r="Q1096" s="16" t="n">
        <f aca="false">IF(D1096="","",IF(P1096&gt;=0,K1096,MAX(0,K1096+P1096)))</f>
        <v>1.119744</v>
      </c>
      <c r="R1096" s="16" t="n">
        <f aca="false">IF(D1096="","",Q1096/$B$15)</f>
        <v>0.432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110.83685219506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68.4178099969507</v>
      </c>
      <c r="Z1096" s="18" t="n">
        <f aca="false">IF(D1096="","",MAX(0,IF(P1096&gt;=0,P1096,IF(K1096+P1096&gt;=0,0,P1096+K1096))))</f>
        <v>110.83685219506</v>
      </c>
      <c r="AA1096" s="18" t="n">
        <f aca="false">IF(D1096="","",IF(H1096&lt;=$B$16,1,IF(H1096&gt;=$B$17,$B$21,MATCH(H1096,Aux_CAV!$A$2:$A$121,1))))</f>
        <v>22</v>
      </c>
      <c r="AB1096" s="18" t="n">
        <f aca="false">IF(D1096="","",IF(L1096&lt;=$B$16,1,IF(L1096&gt;=$B$17,$B$21,MATCH(L1096,Aux_CAV!$A$2:$A$121,1))))</f>
        <v>22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0.819421926106679</v>
      </c>
      <c r="E1097" s="16" t="n">
        <f aca="false">IF(D1097="","",D1097*$B$15)</f>
        <v>2.12394163246851</v>
      </c>
      <c r="F1097" s="16" t="n">
        <f aca="false" t="array" ref="F1097:F1097">IF(D1097="","",IFERROR(INDEX(Dados_Evap!$C$2:$N$15,MATCH($B$9,Dados_Evap!$A$2:$A$15,0),C1097),0))</f>
        <v>108.2</v>
      </c>
      <c r="G1097" s="16" t="n">
        <f aca="false">IF(F1097="","",F1097/1000)</f>
        <v>0.1082</v>
      </c>
      <c r="H1097" s="16" t="n">
        <f aca="false">IF(D1097="","",MAX(0,MIN($B$8,IFERROR(LOOKUP(2,1/($U$24:U1096&lt;&gt;""),$U$24:U1096),$B$11))))</f>
        <v>110.83685219506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12.0579766980358</v>
      </c>
      <c r="J1097" s="16" t="n">
        <f aca="false">IF(D1097="","",$B$12)</f>
        <v>0.432</v>
      </c>
      <c r="K1097" s="16" t="n">
        <f aca="false">IF(J1097="","",J1097*$B$15)</f>
        <v>1.119744</v>
      </c>
      <c r="L1097" s="16" t="n">
        <f aca="false">IF(D1097="","",H1097+E1097-K1097-G1097*I1097)</f>
        <v>110.536376748801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12.0361000526963</v>
      </c>
      <c r="N1097" s="16" t="n">
        <f aca="false">IF(D1097="","",(I1097+M1097)/2)</f>
        <v>12.047038375366</v>
      </c>
      <c r="O1097" s="16" t="n">
        <f aca="false">IF(D1097="","",G1097*N1097)</f>
        <v>1.30348955221461</v>
      </c>
      <c r="P1097" s="16" t="n">
        <f aca="false">IF(D1097="","",H1097+E1097-K1097-O1097)</f>
        <v>110.537560275314</v>
      </c>
      <c r="Q1097" s="16" t="n">
        <f aca="false">IF(D1097="","",IF(P1097&gt;=0,K1097,MAX(0,K1097+P1097)))</f>
        <v>1.119744</v>
      </c>
      <c r="R1097" s="16" t="n">
        <f aca="false">IF(D1097="","",Q1097/$B$15)</f>
        <v>0.432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110.537560275314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68.233061898342</v>
      </c>
      <c r="Z1097" s="18" t="n">
        <f aca="false">IF(D1097="","",MAX(0,IF(P1097&gt;=0,P1097,IF(K1097+P1097&gt;=0,0,P1097+K1097))))</f>
        <v>110.537560275314</v>
      </c>
      <c r="AA1097" s="18" t="n">
        <f aca="false">IF(D1097="","",IF(H1097&lt;=$B$16,1,IF(H1097&gt;=$B$17,$B$21,MATCH(H1097,Aux_CAV!$A$2:$A$121,1))))</f>
        <v>22</v>
      </c>
      <c r="AB1097" s="18" t="n">
        <f aca="false">IF(D1097="","",IF(L1097&lt;=$B$16,1,IF(L1097&gt;=$B$17,$B$21,MATCH(L1097,Aux_CAV!$A$2:$A$121,1))))</f>
        <v>22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0.184820421323154</v>
      </c>
      <c r="E1098" s="16" t="n">
        <f aca="false">IF(D1098="","",D1098*$B$15)</f>
        <v>0.479054532069615</v>
      </c>
      <c r="F1098" s="16" t="n">
        <f aca="false" t="array" ref="F1098:F1098">IF(D1098="","",IFERROR(INDEX(Dados_Evap!$C$2:$N$15,MATCH($B$9,Dados_Evap!$A$2:$A$15,0),C1098),0))</f>
        <v>149</v>
      </c>
      <c r="G1098" s="16" t="n">
        <f aca="false">IF(F1098="","",F1098/1000)</f>
        <v>0.149</v>
      </c>
      <c r="H1098" s="16" t="n">
        <f aca="false">IF(D1098="","",MAX(0,MIN($B$8,IFERROR(LOOKUP(2,1/($U$24:U1097&lt;&gt;""),$U$24:U1097),$B$11))))</f>
        <v>110.537560275314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12.0361862214335</v>
      </c>
      <c r="J1098" s="16" t="n">
        <f aca="false">IF(D1098="","",$B$12)</f>
        <v>0.432</v>
      </c>
      <c r="K1098" s="16" t="n">
        <f aca="false">IF(J1098="","",J1098*$B$15)</f>
        <v>1.119744</v>
      </c>
      <c r="L1098" s="16" t="n">
        <f aca="false">IF(D1098="","",H1098+E1098-K1098-G1098*I1098)</f>
        <v>108.10347906039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11.8589686413301</v>
      </c>
      <c r="N1098" s="16" t="n">
        <f aca="false">IF(D1098="","",(I1098+M1098)/2)</f>
        <v>11.9475774313818</v>
      </c>
      <c r="O1098" s="16" t="n">
        <f aca="false">IF(D1098="","",G1098*N1098)</f>
        <v>1.78018903727589</v>
      </c>
      <c r="P1098" s="16" t="n">
        <f aca="false">IF(D1098="","",H1098+E1098-K1098-O1098)</f>
        <v>108.116681770108</v>
      </c>
      <c r="Q1098" s="16" t="n">
        <f aca="false">IF(D1098="","",IF(P1098&gt;=0,K1098,MAX(0,K1098+P1098)))</f>
        <v>1.119744</v>
      </c>
      <c r="R1098" s="16" t="n">
        <f aca="false">IF(D1098="","",Q1098/$B$15)</f>
        <v>0.432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108.116681770108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66.7386924506838</v>
      </c>
      <c r="Z1098" s="18" t="n">
        <f aca="false">IF(D1098="","",MAX(0,IF(P1098&gt;=0,P1098,IF(K1098+P1098&gt;=0,0,P1098+K1098))))</f>
        <v>108.116681770108</v>
      </c>
      <c r="AA1098" s="18" t="n">
        <f aca="false">IF(D1098="","",IF(H1098&lt;=$B$16,1,IF(H1098&gt;=$B$17,$B$21,MATCH(H1098,Aux_CAV!$A$2:$A$121,1))))</f>
        <v>22</v>
      </c>
      <c r="AB1098" s="18" t="n">
        <f aca="false">IF(D1098="","",IF(L1098&lt;=$B$16,1,IF(L1098&gt;=$B$17,$B$21,MATCH(L1098,Aux_CAV!$A$2:$A$121,1))))</f>
        <v>22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0.105735867163841</v>
      </c>
      <c r="E1099" s="16" t="n">
        <f aca="false">IF(D1099="","",D1099*$B$15)</f>
        <v>0.274067367688676</v>
      </c>
      <c r="F1099" s="16" t="n">
        <f aca="false" t="array" ref="F1099:F1099">IF(D1099="","",IFERROR(INDEX(Dados_Evap!$C$2:$N$15,MATCH($B$9,Dados_Evap!$A$2:$A$15,0),C1099),0))</f>
        <v>206.8</v>
      </c>
      <c r="G1099" s="16" t="n">
        <f aca="false">IF(F1099="","",F1099/1000)</f>
        <v>0.2068</v>
      </c>
      <c r="H1099" s="16" t="n">
        <f aca="false">IF(D1099="","",MAX(0,MIN($B$8,IFERROR(LOOKUP(2,1/($U$24:U1098&lt;&gt;""),$U$24:U1098),$B$11))))</f>
        <v>108.116681770108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11.8599298879198</v>
      </c>
      <c r="J1099" s="16" t="n">
        <f aca="false">IF(D1099="","",$B$12)</f>
        <v>0.432</v>
      </c>
      <c r="K1099" s="16" t="n">
        <f aca="false">IF(J1099="","",J1099*$B$15)</f>
        <v>1.119744</v>
      </c>
      <c r="L1099" s="16" t="n">
        <f aca="false">IF(D1099="","",H1099+E1099-K1099-G1099*I1099)</f>
        <v>104.818371636975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11.6197905956725</v>
      </c>
      <c r="N1099" s="16" t="n">
        <f aca="false">IF(D1099="","",(I1099+M1099)/2)</f>
        <v>11.7398602417961</v>
      </c>
      <c r="O1099" s="16" t="n">
        <f aca="false">IF(D1099="","",G1099*N1099)</f>
        <v>2.42780309800344</v>
      </c>
      <c r="P1099" s="16" t="n">
        <f aca="false">IF(D1099="","",H1099+E1099-K1099-O1099)</f>
        <v>104.843202039793</v>
      </c>
      <c r="Q1099" s="16" t="n">
        <f aca="false">IF(D1099="","",IF(P1099&gt;=0,K1099,MAX(0,K1099+P1099)))</f>
        <v>1.119744</v>
      </c>
      <c r="R1099" s="16" t="n">
        <f aca="false">IF(D1099="","",Q1099/$B$15)</f>
        <v>0.432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104.843202039793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64.7180259504895</v>
      </c>
      <c r="Z1099" s="18" t="n">
        <f aca="false">IF(D1099="","",MAX(0,IF(P1099&gt;=0,P1099,IF(K1099+P1099&gt;=0,0,P1099+K1099))))</f>
        <v>104.843202039793</v>
      </c>
      <c r="AA1099" s="18" t="n">
        <f aca="false">IF(D1099="","",IF(H1099&lt;=$B$16,1,IF(H1099&gt;=$B$17,$B$21,MATCH(H1099,Aux_CAV!$A$2:$A$121,1))))</f>
        <v>22</v>
      </c>
      <c r="AB1099" s="18" t="n">
        <f aca="false">IF(D1099="","",IF(L1099&lt;=$B$16,1,IF(L1099&gt;=$B$17,$B$21,MATCH(L1099,Aux_CAV!$A$2:$A$121,1))))</f>
        <v>22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0.151420486875272</v>
      </c>
      <c r="E1100" s="16" t="n">
        <f aca="false">IF(D1100="","",D1100*$B$15)</f>
        <v>0.392481901980705</v>
      </c>
      <c r="F1100" s="16" t="n">
        <f aca="false" t="array" ref="F1100:F1100">IF(D1100="","",IFERROR(INDEX(Dados_Evap!$C$2:$N$15,MATCH($B$9,Dados_Evap!$A$2:$A$15,0),C1100),0))</f>
        <v>245.9</v>
      </c>
      <c r="G1100" s="16" t="n">
        <f aca="false">IF(F1100="","",F1100/1000)</f>
        <v>0.2459</v>
      </c>
      <c r="H1100" s="16" t="n">
        <f aca="false">IF(D1100="","",MAX(0,MIN($B$8,IFERROR(LOOKUP(2,1/($U$24:U1099&lt;&gt;""),$U$24:U1099),$B$11))))</f>
        <v>104.843202039793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11.6215984169865</v>
      </c>
      <c r="J1100" s="16" t="n">
        <f aca="false">IF(D1100="","",$B$12)</f>
        <v>0.432</v>
      </c>
      <c r="K1100" s="16" t="n">
        <f aca="false">IF(J1100="","",J1100*$B$15)</f>
        <v>1.119744</v>
      </c>
      <c r="L1100" s="16" t="n">
        <f aca="false">IF(D1100="","",H1100+E1100-K1100-G1100*I1100)</f>
        <v>101.258188891037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11.3605852055266</v>
      </c>
      <c r="N1100" s="16" t="n">
        <f aca="false">IF(D1100="","",(I1100+M1100)/2)</f>
        <v>11.4910918112566</v>
      </c>
      <c r="O1100" s="16" t="n">
        <f aca="false">IF(D1100="","",G1100*N1100)</f>
        <v>2.82565947638799</v>
      </c>
      <c r="P1100" s="16" t="n">
        <f aca="false">IF(D1100="","",H1100+E1100-K1100-O1100)</f>
        <v>101.290280465386</v>
      </c>
      <c r="Q1100" s="16" t="n">
        <f aca="false">IF(D1100="","",IF(P1100&gt;=0,K1100,MAX(0,K1100+P1100)))</f>
        <v>1.119744</v>
      </c>
      <c r="R1100" s="16" t="n">
        <f aca="false">IF(D1100="","",Q1100/$B$15)</f>
        <v>0.432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101.290280465386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62.524864484806</v>
      </c>
      <c r="Z1100" s="18" t="n">
        <f aca="false">IF(D1100="","",MAX(0,IF(P1100&gt;=0,P1100,IF(K1100+P1100&gt;=0,0,P1100+K1100))))</f>
        <v>101.290280465386</v>
      </c>
      <c r="AA1100" s="18" t="n">
        <f aca="false">IF(D1100="","",IF(H1100&lt;=$B$16,1,IF(H1100&gt;=$B$17,$B$21,MATCH(H1100,Aux_CAV!$A$2:$A$121,1))))</f>
        <v>22</v>
      </c>
      <c r="AB1100" s="18" t="n">
        <f aca="false">IF(D1100="","",IF(L1100&lt;=$B$16,1,IF(L1100&gt;=$B$17,$B$21,MATCH(L1100,Aux_CAV!$A$2:$A$121,1))))</f>
        <v>22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0.107285218725686</v>
      </c>
      <c r="E1101" s="16" t="n">
        <f aca="false">IF(D1101="","",D1101*$B$15)</f>
        <v>0.278083286936978</v>
      </c>
      <c r="F1101" s="16" t="n">
        <f aca="false" t="array" ref="F1101:F1101">IF(D1101="","",IFERROR(INDEX(Dados_Evap!$C$2:$N$15,MATCH($B$9,Dados_Evap!$A$2:$A$15,0),C1101),0))</f>
        <v>282.3</v>
      </c>
      <c r="G1101" s="16" t="n">
        <f aca="false">IF(F1101="","",F1101/1000)</f>
        <v>0.2823</v>
      </c>
      <c r="H1101" s="16" t="n">
        <f aca="false">IF(D1101="","",MAX(0,MIN($B$8,IFERROR(LOOKUP(2,1/($U$24:U1100&lt;&gt;""),$U$24:U1100),$B$11))))</f>
        <v>101.290280465386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11.3629216892532</v>
      </c>
      <c r="J1101" s="16" t="n">
        <f aca="false">IF(D1101="","",$B$12)</f>
        <v>0.432</v>
      </c>
      <c r="K1101" s="16" t="n">
        <f aca="false">IF(J1101="","",J1101*$B$15)</f>
        <v>1.119744</v>
      </c>
      <c r="L1101" s="16" t="n">
        <f aca="false">IF(D1101="","",H1101+E1101-K1101-G1101*I1101)</f>
        <v>97.2408669594465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11.0680969899125</v>
      </c>
      <c r="N1101" s="16" t="n">
        <f aca="false">IF(D1101="","",(I1101+M1101)/2)</f>
        <v>11.2155093395829</v>
      </c>
      <c r="O1101" s="16" t="n">
        <f aca="false">IF(D1101="","",G1101*N1101)</f>
        <v>3.16613828656424</v>
      </c>
      <c r="P1101" s="16" t="n">
        <f aca="false">IF(D1101="","",H1101+E1101-K1101-O1101)</f>
        <v>97.2824814657584</v>
      </c>
      <c r="Q1101" s="16" t="n">
        <f aca="false">IF(D1101="","",IF(P1101&gt;=0,K1101,MAX(0,K1101+P1101)))</f>
        <v>1.119744</v>
      </c>
      <c r="R1101" s="16" t="n">
        <f aca="false">IF(D1101="","",Q1101/$B$15)</f>
        <v>0.432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97.2824814657584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60.050914485036</v>
      </c>
      <c r="Z1101" s="18" t="n">
        <f aca="false">IF(D1101="","",MAX(0,IF(P1101&gt;=0,P1101,IF(K1101+P1101&gt;=0,0,P1101+K1101))))</f>
        <v>97.2824814657584</v>
      </c>
      <c r="AA1101" s="18" t="n">
        <f aca="false">IF(D1101="","",IF(H1101&lt;=$B$16,1,IF(H1101&gt;=$B$17,$B$21,MATCH(H1101,Aux_CAV!$A$2:$A$121,1))))</f>
        <v>22</v>
      </c>
      <c r="AB1101" s="18" t="n">
        <f aca="false">IF(D1101="","",IF(L1101&lt;=$B$16,1,IF(L1101&gt;=$B$17,$B$21,MATCH(L1101,Aux_CAV!$A$2:$A$121,1))))</f>
        <v>22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0.115751383299041</v>
      </c>
      <c r="E1102" s="16" t="n">
        <f aca="false">IF(D1102="","",D1102*$B$15)</f>
        <v>0.300027585511114</v>
      </c>
      <c r="F1102" s="16" t="n">
        <f aca="false" t="array" ref="F1102:F1102">IF(D1102="","",IFERROR(INDEX(Dados_Evap!$C$2:$N$15,MATCH($B$9,Dados_Evap!$A$2:$A$15,0),C1102),0))</f>
        <v>241.3</v>
      </c>
      <c r="G1102" s="16" t="n">
        <f aca="false">IF(F1102="","",F1102/1000)</f>
        <v>0.2413</v>
      </c>
      <c r="H1102" s="16" t="n">
        <f aca="false">IF(D1102="","",MAX(0,MIN($B$8,IFERROR(LOOKUP(2,1/($U$24:U1101&lt;&gt;""),$U$24:U1101),$B$11))))</f>
        <v>97.2824814657584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11.0711268075129</v>
      </c>
      <c r="J1102" s="16" t="n">
        <f aca="false">IF(D1102="","",$B$12)</f>
        <v>0.432</v>
      </c>
      <c r="K1102" s="16" t="n">
        <f aca="false">IF(J1102="","",J1102*$B$15)</f>
        <v>1.119744</v>
      </c>
      <c r="L1102" s="16" t="n">
        <f aca="false">IF(D1102="","",H1102+E1102-K1102-G1102*I1102)</f>
        <v>93.7913021526166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10.816945334114</v>
      </c>
      <c r="N1102" s="16" t="n">
        <f aca="false">IF(D1102="","",(I1102+M1102)/2)</f>
        <v>10.9440360708135</v>
      </c>
      <c r="O1102" s="16" t="n">
        <f aca="false">IF(D1102="","",G1102*N1102)</f>
        <v>2.64079590388729</v>
      </c>
      <c r="P1102" s="16" t="n">
        <f aca="false">IF(D1102="","",H1102+E1102-K1102-O1102)</f>
        <v>93.8219691473822</v>
      </c>
      <c r="Q1102" s="16" t="n">
        <f aca="false">IF(D1102="","",IF(P1102&gt;=0,K1102,MAX(0,K1102+P1102)))</f>
        <v>1.119744</v>
      </c>
      <c r="R1102" s="16" t="n">
        <f aca="false">IF(D1102="","",Q1102/$B$15)</f>
        <v>0.432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93.8219691473822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57.914795769989</v>
      </c>
      <c r="Z1102" s="18" t="n">
        <f aca="false">IF(D1102="","",MAX(0,IF(P1102&gt;=0,P1102,IF(K1102+P1102&gt;=0,0,P1102+K1102))))</f>
        <v>93.8219691473822</v>
      </c>
      <c r="AA1102" s="18" t="n">
        <f aca="false">IF(D1102="","",IF(H1102&lt;=$B$16,1,IF(H1102&gt;=$B$17,$B$21,MATCH(H1102,Aux_CAV!$A$2:$A$121,1))))</f>
        <v>22</v>
      </c>
      <c r="AB1102" s="18" t="n">
        <f aca="false">IF(D1102="","",IF(L1102&lt;=$B$16,1,IF(L1102&gt;=$B$17,$B$21,MATCH(L1102,Aux_CAV!$A$2:$A$121,1))))</f>
        <v>22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0.194668712936241</v>
      </c>
      <c r="E1103" s="16" t="n">
        <f aca="false">IF(D1103="","",D1103*$B$15)</f>
        <v>0.504581303930737</v>
      </c>
      <c r="F1103" s="16" t="n">
        <f aca="false" t="array" ref="F1103:F1103">IF(D1103="","",IFERROR(INDEX(Dados_Evap!$C$2:$N$15,MATCH($B$9,Dados_Evap!$A$2:$A$15,0),C1103),0))</f>
        <v>241.8</v>
      </c>
      <c r="G1103" s="16" t="n">
        <f aca="false">IF(F1103="","",F1103/1000)</f>
        <v>0.2418</v>
      </c>
      <c r="H1103" s="16" t="n">
        <f aca="false">IF(D1103="","",MAX(0,MIN($B$8,IFERROR(LOOKUP(2,1/($U$24:U1102&lt;&gt;""),$U$24:U1102),$B$11))))</f>
        <v>93.8219691473822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10.819178098809</v>
      </c>
      <c r="J1103" s="16" t="n">
        <f aca="false">IF(D1103="","",$B$12)</f>
        <v>0.432</v>
      </c>
      <c r="K1103" s="16" t="n">
        <f aca="false">IF(J1103="","",J1103*$B$15)</f>
        <v>1.119744</v>
      </c>
      <c r="L1103" s="16" t="n">
        <f aca="false">IF(D1103="","",H1103+E1103-K1103-G1103*I1103)</f>
        <v>90.590729187021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10.5839219688994</v>
      </c>
      <c r="N1103" s="16" t="n">
        <f aca="false">IF(D1103="","",(I1103+M1103)/2)</f>
        <v>10.7015500338542</v>
      </c>
      <c r="O1103" s="16" t="n">
        <f aca="false">IF(D1103="","",G1103*N1103)</f>
        <v>2.58763479818594</v>
      </c>
      <c r="P1103" s="16" t="n">
        <f aca="false">IF(D1103="","",H1103+E1103-K1103-O1103)</f>
        <v>90.619171653127</v>
      </c>
      <c r="Q1103" s="16" t="n">
        <f aca="false">IF(D1103="","",IF(P1103&gt;=0,K1103,MAX(0,K1103+P1103)))</f>
        <v>1.119744</v>
      </c>
      <c r="R1103" s="16" t="n">
        <f aca="false">IF(D1103="","",Q1103/$B$15)</f>
        <v>0.432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90.619171653127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55.937760279708</v>
      </c>
      <c r="Z1103" s="18" t="n">
        <f aca="false">IF(D1103="","",MAX(0,IF(P1103&gt;=0,P1103,IF(K1103+P1103&gt;=0,0,P1103+K1103))))</f>
        <v>90.619171653127</v>
      </c>
      <c r="AA1103" s="18" t="n">
        <f aca="false">IF(D1103="","",IF(H1103&lt;=$B$16,1,IF(H1103&gt;=$B$17,$B$21,MATCH(H1103,Aux_CAV!$A$2:$A$121,1))))</f>
        <v>22</v>
      </c>
      <c r="AB1103" s="18" t="n">
        <f aca="false">IF(D1103="","",IF(L1103&lt;=$B$16,1,IF(L1103&gt;=$B$17,$B$21,MATCH(L1103,Aux_CAV!$A$2:$A$121,1))))</f>
        <v>22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0.683103788856343</v>
      </c>
      <c r="E1104" s="16" t="n">
        <f aca="false">IF(D1104="","",D1104*$B$15)</f>
        <v>1.77060502071564</v>
      </c>
      <c r="F1104" s="16" t="n">
        <f aca="false" t="array" ref="F1104:F1104">IF(D1104="","",IFERROR(INDEX(Dados_Evap!$C$2:$N$15,MATCH($B$9,Dados_Evap!$A$2:$A$15,0),C1104),0))</f>
        <v>189</v>
      </c>
      <c r="G1104" s="16" t="n">
        <f aca="false">IF(F1104="","",F1104/1000)</f>
        <v>0.189</v>
      </c>
      <c r="H1104" s="16" t="n">
        <f aca="false">IF(D1104="","",MAX(0,MIN($B$8,IFERROR(LOOKUP(2,1/($U$24:U1103&lt;&gt;""),$U$24:U1103),$B$11))))</f>
        <v>90.619171653127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10.585992772858</v>
      </c>
      <c r="J1104" s="16" t="n">
        <f aca="false">IF(D1104="","",$B$12)</f>
        <v>0.432</v>
      </c>
      <c r="K1104" s="16" t="n">
        <f aca="false">IF(J1104="","",J1104*$B$15)</f>
        <v>1.119744</v>
      </c>
      <c r="L1104" s="16" t="n">
        <f aca="false">IF(D1104="","",H1104+E1104-K1104-G1104*I1104)</f>
        <v>89.2692800397725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10.4877115307803</v>
      </c>
      <c r="N1104" s="16" t="n">
        <f aca="false">IF(D1104="","",(I1104+M1104)/2)</f>
        <v>10.5368521518192</v>
      </c>
      <c r="O1104" s="16" t="n">
        <f aca="false">IF(D1104="","",G1104*N1104)</f>
        <v>1.99146505669382</v>
      </c>
      <c r="P1104" s="16" t="n">
        <f aca="false">IF(D1104="","",H1104+E1104-K1104-O1104)</f>
        <v>89.2785676171488</v>
      </c>
      <c r="Q1104" s="16" t="n">
        <f aca="false">IF(D1104="","",IF(P1104&gt;=0,K1104,MAX(0,K1104+P1104)))</f>
        <v>1.119744</v>
      </c>
      <c r="R1104" s="16" t="n">
        <f aca="false">IF(D1104="","",Q1104/$B$15)</f>
        <v>0.432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89.2785676171488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55.110226924166</v>
      </c>
      <c r="Z1104" s="18" t="n">
        <f aca="false">IF(D1104="","",MAX(0,IF(P1104&gt;=0,P1104,IF(K1104+P1104&gt;=0,0,P1104+K1104))))</f>
        <v>89.2785676171488</v>
      </c>
      <c r="AA1104" s="18" t="n">
        <f aca="false">IF(D1104="","",IF(H1104&lt;=$B$16,1,IF(H1104&gt;=$B$17,$B$21,MATCH(H1104,Aux_CAV!$A$2:$A$121,1))))</f>
        <v>22</v>
      </c>
      <c r="AB1104" s="18" t="n">
        <f aca="false">IF(D1104="","",IF(L1104&lt;=$B$16,1,IF(L1104&gt;=$B$17,$B$21,MATCH(L1104,Aux_CAV!$A$2:$A$121,1))))</f>
        <v>22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1.0539579844855</v>
      </c>
      <c r="E1105" s="16" t="n">
        <f aca="false">IF(D1105="","",D1105*$B$15)</f>
        <v>2.73185909578642</v>
      </c>
      <c r="F1105" s="16" t="n">
        <f aca="false" t="array" ref="F1105:F1105">IF(D1105="","",IFERROR(INDEX(Dados_Evap!$C$2:$N$15,MATCH($B$9,Dados_Evap!$A$2:$A$15,0),C1105),0))</f>
        <v>136.9</v>
      </c>
      <c r="G1105" s="16" t="n">
        <f aca="false">IF(F1105="","",F1105/1000)</f>
        <v>0.1369</v>
      </c>
      <c r="H1105" s="16" t="n">
        <f aca="false">IF(D1105="","",MAX(0,MIN($B$8,IFERROR(LOOKUP(2,1/($U$24:U1104&lt;&gt;""),$U$24:U1104),$B$11))))</f>
        <v>89.2785676171488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10.488387729248</v>
      </c>
      <c r="J1105" s="16" t="n">
        <f aca="false">IF(D1105="","",$B$12)</f>
        <v>0.432</v>
      </c>
      <c r="K1105" s="16" t="n">
        <f aca="false">IF(J1105="","",J1105*$B$15)</f>
        <v>1.119744</v>
      </c>
      <c r="L1105" s="16" t="n">
        <f aca="false">IF(D1105="","",H1105+E1105-K1105-G1105*I1105)</f>
        <v>89.4548224328012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10.5012202722708</v>
      </c>
      <c r="N1105" s="16" t="n">
        <f aca="false">IF(D1105="","",(I1105+M1105)/2)</f>
        <v>10.4948040007594</v>
      </c>
      <c r="O1105" s="16" t="n">
        <f aca="false">IF(D1105="","",G1105*N1105)</f>
        <v>1.43673866770396</v>
      </c>
      <c r="P1105" s="16" t="n">
        <f aca="false">IF(D1105="","",H1105+E1105-K1105-O1105)</f>
        <v>89.4539440452313</v>
      </c>
      <c r="Q1105" s="16" t="n">
        <f aca="false">IF(D1105="","",IF(P1105&gt;=0,K1105,MAX(0,K1105+P1105)))</f>
        <v>1.119744</v>
      </c>
      <c r="R1105" s="16" t="n">
        <f aca="false">IF(D1105="","",Q1105/$B$15)</f>
        <v>0.432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89.4539440452313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55.2184839785378</v>
      </c>
      <c r="Z1105" s="18" t="n">
        <f aca="false">IF(D1105="","",MAX(0,IF(P1105&gt;=0,P1105,IF(K1105+P1105&gt;=0,0,P1105+K1105))))</f>
        <v>89.4539440452313</v>
      </c>
      <c r="AA1105" s="18" t="n">
        <f aca="false">IF(D1105="","",IF(H1105&lt;=$B$16,1,IF(H1105&gt;=$B$17,$B$21,MATCH(H1105,Aux_CAV!$A$2:$A$121,1))))</f>
        <v>22</v>
      </c>
      <c r="AB1105" s="18" t="n">
        <f aca="false">IF(D1105="","",IF(L1105&lt;=$B$16,1,IF(L1105&gt;=$B$17,$B$21,MATCH(L1105,Aux_CAV!$A$2:$A$121,1))))</f>
        <v>22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3.36864697990854</v>
      </c>
      <c r="E1106" s="16" t="n">
        <f aca="false">IF(D1106="","",D1106*$B$15)</f>
        <v>8.73153297192294</v>
      </c>
      <c r="F1106" s="16" t="n">
        <f aca="false" t="array" ref="F1106:F1106">IF(D1106="","",IFERROR(INDEX(Dados_Evap!$C$2:$N$15,MATCH($B$9,Dados_Evap!$A$2:$A$15,0),C1106),0))</f>
        <v>102.9</v>
      </c>
      <c r="G1106" s="16" t="n">
        <f aca="false">IF(F1106="","",F1106/1000)</f>
        <v>0.1029</v>
      </c>
      <c r="H1106" s="16" t="n">
        <f aca="false">IF(D1106="","",MAX(0,MIN($B$8,IFERROR(LOOKUP(2,1/($U$24:U1105&lt;&gt;""),$U$24:U1105),$B$11))))</f>
        <v>89.4539440452313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10.501156319713</v>
      </c>
      <c r="J1106" s="16" t="n">
        <f aca="false">IF(D1106="","",$B$12)</f>
        <v>0.432</v>
      </c>
      <c r="K1106" s="16" t="n">
        <f aca="false">IF(J1106="","",J1106*$B$15)</f>
        <v>1.119744</v>
      </c>
      <c r="L1106" s="16" t="n">
        <f aca="false">IF(D1106="","",H1106+E1106-K1106-G1106*I1106)</f>
        <v>95.9851640318558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10.9766733213874</v>
      </c>
      <c r="N1106" s="16" t="n">
        <f aca="false">IF(D1106="","",(I1106+M1106)/2)</f>
        <v>10.7389148205502</v>
      </c>
      <c r="O1106" s="16" t="n">
        <f aca="false">IF(D1106="","",G1106*N1106)</f>
        <v>1.10503433503462</v>
      </c>
      <c r="P1106" s="16" t="n">
        <f aca="false">IF(D1106="","",H1106+E1106-K1106-O1106)</f>
        <v>95.9606986821196</v>
      </c>
      <c r="Q1106" s="16" t="n">
        <f aca="false">IF(D1106="","",IF(P1106&gt;=0,K1106,MAX(0,K1106+P1106)))</f>
        <v>1.119744</v>
      </c>
      <c r="R1106" s="16" t="n">
        <f aca="false">IF(D1106="","",Q1106/$B$15)</f>
        <v>0.432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95.9606986821196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59.2349991864936</v>
      </c>
      <c r="Z1106" s="18" t="n">
        <f aca="false">IF(D1106="","",MAX(0,IF(P1106&gt;=0,P1106,IF(K1106+P1106&gt;=0,0,P1106+K1106))))</f>
        <v>95.9606986821196</v>
      </c>
      <c r="AA1106" s="18" t="n">
        <f aca="false">IF(D1106="","",IF(H1106&lt;=$B$16,1,IF(H1106&gt;=$B$17,$B$21,MATCH(H1106,Aux_CAV!$A$2:$A$121,1))))</f>
        <v>22</v>
      </c>
      <c r="AB1106" s="18" t="n">
        <f aca="false">IF(D1106="","",IF(L1106&lt;=$B$16,1,IF(L1106&gt;=$B$17,$B$21,MATCH(L1106,Aux_CAV!$A$2:$A$121,1))))</f>
        <v>22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11.342199539374</v>
      </c>
      <c r="E1107" s="16" t="n">
        <f aca="false">IF(D1107="","",D1107*$B$15)</f>
        <v>29.3989812060574</v>
      </c>
      <c r="F1107" s="16" t="n">
        <f aca="false" t="array" ref="F1107:F1107">IF(D1107="","",IFERROR(INDEX(Dados_Evap!$C$2:$N$15,MATCH($B$9,Dados_Evap!$A$2:$A$15,0),C1107),0))</f>
        <v>81.8</v>
      </c>
      <c r="G1107" s="16" t="n">
        <f aca="false">IF(F1107="","",F1107/1000)</f>
        <v>0.0818</v>
      </c>
      <c r="H1107" s="16" t="n">
        <f aca="false">IF(D1107="","",MAX(0,MIN($B$8,IFERROR(LOOKUP(2,1/($U$24:U1106&lt;&gt;""),$U$24:U1106),$B$11))))</f>
        <v>95.9606986821196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10.9748920784075</v>
      </c>
      <c r="J1107" s="16" t="n">
        <f aca="false">IF(D1107="","",$B$12)</f>
        <v>0.432</v>
      </c>
      <c r="K1107" s="16" t="n">
        <f aca="false">IF(J1107="","",J1107*$B$15)</f>
        <v>1.119744</v>
      </c>
      <c r="L1107" s="16" t="n">
        <f aca="false">IF(D1107="","",H1107+E1107-K1107-G1107*I1107)</f>
        <v>123.342189716163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12.9684498738192</v>
      </c>
      <c r="N1107" s="16" t="n">
        <f aca="false">IF(D1107="","",(I1107+M1107)/2)</f>
        <v>11.9716709761133</v>
      </c>
      <c r="O1107" s="16" t="n">
        <f aca="false">IF(D1107="","",G1107*N1107)</f>
        <v>0.979282685846071</v>
      </c>
      <c r="P1107" s="16" t="n">
        <f aca="false">IF(D1107="","",H1107+E1107-K1107-O1107)</f>
        <v>123.260653202331</v>
      </c>
      <c r="Q1107" s="16" t="n">
        <f aca="false">IF(D1107="","",IF(P1107&gt;=0,K1107,MAX(0,K1107+P1107)))</f>
        <v>1.119744</v>
      </c>
      <c r="R1107" s="16" t="n">
        <f aca="false">IF(D1107="","",Q1107/$B$15)</f>
        <v>0.432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123.260653202331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76.0868229644018</v>
      </c>
      <c r="Z1107" s="18" t="n">
        <f aca="false">IF(D1107="","",MAX(0,IF(P1107&gt;=0,P1107,IF(K1107+P1107&gt;=0,0,P1107+K1107))))</f>
        <v>123.260653202331</v>
      </c>
      <c r="AA1107" s="18" t="n">
        <f aca="false">IF(D1107="","",IF(H1107&lt;=$B$16,1,IF(H1107&gt;=$B$17,$B$21,MATCH(H1107,Aux_CAV!$A$2:$A$121,1))))</f>
        <v>22</v>
      </c>
      <c r="AB1107" s="18" t="n">
        <f aca="false">IF(D1107="","",IF(L1107&lt;=$B$16,1,IF(L1107&gt;=$B$17,$B$21,MATCH(L1107,Aux_CAV!$A$2:$A$121,1))))</f>
        <v>22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6.50588874347507</v>
      </c>
      <c r="E1108" s="16" t="n">
        <f aca="false">IF(D1108="","",D1108*$B$15)</f>
        <v>16.8632636230874</v>
      </c>
      <c r="F1108" s="16" t="n">
        <f aca="false" t="array" ref="F1108:F1108">IF(D1108="","",IFERROR(INDEX(Dados_Evap!$C$2:$N$15,MATCH($B$9,Dados_Evap!$A$2:$A$15,0),C1108),0))</f>
        <v>83.6</v>
      </c>
      <c r="G1108" s="16" t="n">
        <f aca="false">IF(F1108="","",F1108/1000)</f>
        <v>0.0836</v>
      </c>
      <c r="H1108" s="16" t="n">
        <f aca="false">IF(D1108="","",MAX(0,MIN($B$8,IFERROR(LOOKUP(2,1/($U$24:U1107&lt;&gt;""),$U$24:U1107),$B$11))))</f>
        <v>123.260653202331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12.9625134639809</v>
      </c>
      <c r="J1108" s="16" t="n">
        <f aca="false">IF(D1108="","",$B$12)</f>
        <v>0.432</v>
      </c>
      <c r="K1108" s="16" t="n">
        <f aca="false">IF(J1108="","",J1108*$B$15)</f>
        <v>1.119744</v>
      </c>
      <c r="L1108" s="16" t="n">
        <f aca="false">IF(D1108="","",H1108+E1108-K1108-G1108*I1108)</f>
        <v>137.92050669983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14.0298499791179</v>
      </c>
      <c r="N1108" s="16" t="n">
        <f aca="false">IF(D1108="","",(I1108+M1108)/2)</f>
        <v>13.4961817215494</v>
      </c>
      <c r="O1108" s="16" t="n">
        <f aca="false">IF(D1108="","",G1108*N1108)</f>
        <v>1.12828079192153</v>
      </c>
      <c r="P1108" s="16" t="n">
        <f aca="false">IF(D1108="","",H1108+E1108-K1108-O1108)</f>
        <v>137.875892033497</v>
      </c>
      <c r="Q1108" s="16" t="n">
        <f aca="false">IF(D1108="","",IF(P1108&gt;=0,K1108,MAX(0,K1108+P1108)))</f>
        <v>1.119744</v>
      </c>
      <c r="R1108" s="16" t="n">
        <f aca="false">IF(D1108="","",Q1108/$B$15)</f>
        <v>0.432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137.875892033497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85.108575329319</v>
      </c>
      <c r="Z1108" s="18" t="n">
        <f aca="false">IF(D1108="","",MAX(0,IF(P1108&gt;=0,P1108,IF(K1108+P1108&gt;=0,0,P1108+K1108))))</f>
        <v>137.875892033497</v>
      </c>
      <c r="AA1108" s="18" t="n">
        <f aca="false">IF(D1108="","",IF(H1108&lt;=$B$16,1,IF(H1108&gt;=$B$17,$B$21,MATCH(H1108,Aux_CAV!$A$2:$A$121,1))))</f>
        <v>22</v>
      </c>
      <c r="AB1108" s="18" t="n">
        <f aca="false">IF(D1108="","",IF(L1108&lt;=$B$16,1,IF(L1108&gt;=$B$17,$B$21,MATCH(L1108,Aux_CAV!$A$2:$A$121,1))))</f>
        <v>22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5.55738458450475</v>
      </c>
      <c r="E1109" s="16" t="n">
        <f aca="false">IF(D1109="","",D1109*$B$15)</f>
        <v>14.4047408430363</v>
      </c>
      <c r="F1109" s="16" t="n">
        <f aca="false" t="array" ref="F1109:F1109">IF(D1109="","",IFERROR(INDEX(Dados_Evap!$C$2:$N$15,MATCH($B$9,Dados_Evap!$A$2:$A$15,0),C1109),0))</f>
        <v>108.2</v>
      </c>
      <c r="G1109" s="16" t="n">
        <f aca="false">IF(F1109="","",F1109/1000)</f>
        <v>0.1082</v>
      </c>
      <c r="H1109" s="16" t="n">
        <f aca="false">IF(D1109="","",MAX(0,MIN($B$8,IFERROR(LOOKUP(2,1/($U$24:U1108&lt;&gt;""),$U$24:U1108),$B$11))))</f>
        <v>137.875892033497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14.0266017295705</v>
      </c>
      <c r="J1109" s="16" t="n">
        <f aca="false">IF(D1109="","",$B$12)</f>
        <v>0.432</v>
      </c>
      <c r="K1109" s="16" t="n">
        <f aca="false">IF(J1109="","",J1109*$B$15)</f>
        <v>1.119744</v>
      </c>
      <c r="L1109" s="16" t="n">
        <f aca="false">IF(D1109="","",H1109+E1109-K1109-G1109*I1109)</f>
        <v>149.643210569394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14.8833421301996</v>
      </c>
      <c r="N1109" s="16" t="n">
        <f aca="false">IF(D1109="","",(I1109+M1109)/2)</f>
        <v>14.4549719298851</v>
      </c>
      <c r="O1109" s="16" t="n">
        <f aca="false">IF(D1109="","",G1109*N1109)</f>
        <v>1.56402796281357</v>
      </c>
      <c r="P1109" s="16" t="n">
        <f aca="false">IF(D1109="","",H1109+E1109-K1109-O1109)</f>
        <v>149.59686091372</v>
      </c>
      <c r="Q1109" s="16" t="n">
        <f aca="false">IF(D1109="","",IF(P1109&gt;=0,K1109,MAX(0,K1109+P1109)))</f>
        <v>1.119744</v>
      </c>
      <c r="R1109" s="16" t="n">
        <f aca="false">IF(D1109="","",Q1109/$B$15)</f>
        <v>0.432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149.59686091372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92.3437413047652</v>
      </c>
      <c r="Z1109" s="18" t="n">
        <f aca="false">IF(D1109="","",MAX(0,IF(P1109&gt;=0,P1109,IF(K1109+P1109&gt;=0,0,P1109+K1109))))</f>
        <v>149.59686091372</v>
      </c>
      <c r="AA1109" s="18" t="n">
        <f aca="false">IF(D1109="","",IF(H1109&lt;=$B$16,1,IF(H1109&gt;=$B$17,$B$21,MATCH(H1109,Aux_CAV!$A$2:$A$121,1))))</f>
        <v>22</v>
      </c>
      <c r="AB1109" s="18" t="n">
        <f aca="false">IF(D1109="","",IF(L1109&lt;=$B$16,1,IF(L1109&gt;=$B$17,$B$21,MATCH(L1109,Aux_CAV!$A$2:$A$121,1))))</f>
        <v>22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5.64191185525818</v>
      </c>
      <c r="E1110" s="16" t="n">
        <f aca="false">IF(D1110="","",D1110*$B$15)</f>
        <v>14.6238355288292</v>
      </c>
      <c r="F1110" s="16" t="n">
        <f aca="false" t="array" ref="F1110:F1110">IF(D1110="","",IFERROR(INDEX(Dados_Evap!$C$2:$N$15,MATCH($B$9,Dados_Evap!$A$2:$A$15,0),C1110),0))</f>
        <v>149</v>
      </c>
      <c r="G1110" s="16" t="n">
        <f aca="false">IF(F1110="","",F1110/1000)</f>
        <v>0.149</v>
      </c>
      <c r="H1110" s="16" t="n">
        <f aca="false">IF(D1110="","",MAX(0,MIN($B$8,IFERROR(LOOKUP(2,1/($U$24:U1109&lt;&gt;""),$U$24:U1109),$B$11))))</f>
        <v>149.59686091372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14.8799675616902</v>
      </c>
      <c r="J1110" s="16" t="n">
        <f aca="false">IF(D1110="","",$B$12)</f>
        <v>0.432</v>
      </c>
      <c r="K1110" s="16" t="n">
        <f aca="false">IF(J1110="","",J1110*$B$15)</f>
        <v>1.119744</v>
      </c>
      <c r="L1110" s="16" t="n">
        <f aca="false">IF(D1110="","",H1110+E1110-K1110-G1110*I1110)</f>
        <v>160.883837275857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15.7017358023383</v>
      </c>
      <c r="N1110" s="16" t="n">
        <f aca="false">IF(D1110="","",(I1110+M1110)/2)</f>
        <v>15.2908516820143</v>
      </c>
      <c r="O1110" s="16" t="n">
        <f aca="false">IF(D1110="","",G1110*N1110)</f>
        <v>2.27833690062012</v>
      </c>
      <c r="P1110" s="16" t="n">
        <f aca="false">IF(D1110="","",H1110+E1110-K1110-O1110)</f>
        <v>160.822615541929</v>
      </c>
      <c r="Q1110" s="16" t="n">
        <f aca="false">IF(D1110="","",IF(P1110&gt;=0,K1110,MAX(0,K1110+P1110)))</f>
        <v>1.119744</v>
      </c>
      <c r="R1110" s="16" t="n">
        <f aca="false">IF(D1110="","",Q1110/$B$15)</f>
        <v>0.432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160.822615541929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99.2732194703263</v>
      </c>
      <c r="Z1110" s="18" t="n">
        <f aca="false">IF(D1110="","",MAX(0,IF(P1110&gt;=0,P1110,IF(K1110+P1110&gt;=0,0,P1110+K1110))))</f>
        <v>160.822615541929</v>
      </c>
      <c r="AA1110" s="18" t="n">
        <f aca="false">IF(D1110="","",IF(H1110&lt;=$B$16,1,IF(H1110&gt;=$B$17,$B$21,MATCH(H1110,Aux_CAV!$A$2:$A$121,1))))</f>
        <v>22</v>
      </c>
      <c r="AB1110" s="18" t="n">
        <f aca="false">IF(D1110="","",IF(L1110&lt;=$B$16,1,IF(L1110&gt;=$B$17,$B$21,MATCH(L1110,Aux_CAV!$A$2:$A$121,1))))</f>
        <v>22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5.53129161263413</v>
      </c>
      <c r="E1111" s="16" t="n">
        <f aca="false">IF(D1111="","",D1111*$B$15)</f>
        <v>14.3371078599477</v>
      </c>
      <c r="F1111" s="16" t="n">
        <f aca="false" t="array" ref="F1111:F1111">IF(D1111="","",IFERROR(INDEX(Dados_Evap!$C$2:$N$15,MATCH($B$9,Dados_Evap!$A$2:$A$15,0),C1111),0))</f>
        <v>206.8</v>
      </c>
      <c r="G1111" s="16" t="n">
        <f aca="false">IF(F1111="","",F1111/1000)</f>
        <v>0.2068</v>
      </c>
      <c r="H1111" s="16" t="n">
        <f aca="false">IF(D1111="","",MAX(0,MIN($B$8,IFERROR(LOOKUP(2,1/($U$24:U1110&lt;&gt;""),$U$24:U1110),$B$11))))</f>
        <v>160.822615541929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15.6972784459157</v>
      </c>
      <c r="J1111" s="16" t="n">
        <f aca="false">IF(D1111="","",$B$12)</f>
        <v>0.432</v>
      </c>
      <c r="K1111" s="16" t="n">
        <f aca="false">IF(J1111="","",J1111*$B$15)</f>
        <v>1.119744</v>
      </c>
      <c r="L1111" s="16" t="n">
        <f aca="false">IF(D1111="","",H1111+E1111-K1111-G1111*I1111)</f>
        <v>170.793782219261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16.3089519270187</v>
      </c>
      <c r="N1111" s="16" t="n">
        <f aca="false">IF(D1111="","",(I1111+M1111)/2)</f>
        <v>16.0031151864672</v>
      </c>
      <c r="O1111" s="16" t="n">
        <f aca="false">IF(D1111="","",G1111*N1111)</f>
        <v>3.30944422056141</v>
      </c>
      <c r="P1111" s="16" t="n">
        <f aca="false">IF(D1111="","",H1111+E1111-K1111-O1111)</f>
        <v>170.730535181315</v>
      </c>
      <c r="Q1111" s="16" t="n">
        <f aca="false">IF(D1111="","",IF(P1111&gt;=0,K1111,MAX(0,K1111+P1111)))</f>
        <v>1.119744</v>
      </c>
      <c r="R1111" s="16" t="n">
        <f aca="false">IF(D1111="","",Q1111/$B$15)</f>
        <v>0.432</v>
      </c>
      <c r="S1111" s="16" t="n">
        <f aca="false">IF(D1111="","",MAX(0,J1111-R1111))</f>
        <v>0</v>
      </c>
      <c r="T1111" s="16" t="n">
        <f aca="false">IF(D1111="","",MAX(0,Z1111-$B$8))</f>
        <v>8.73053518131491</v>
      </c>
      <c r="U1111" s="16" t="n">
        <f aca="false">IF(D1111="","",MAX(0,MIN($B$8,Z1111)))</f>
        <v>162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100</v>
      </c>
      <c r="Z1111" s="18" t="n">
        <f aca="false">IF(D1111="","",MAX(0,IF(P1111&gt;=0,P1111,IF(K1111+P1111&gt;=0,0,P1111+K1111))))</f>
        <v>170.730535181315</v>
      </c>
      <c r="AA1111" s="18" t="n">
        <f aca="false">IF(D1111="","",IF(H1111&lt;=$B$16,1,IF(H1111&gt;=$B$17,$B$21,MATCH(H1111,Aux_CAV!$A$2:$A$121,1))))</f>
        <v>22</v>
      </c>
      <c r="AB1111" s="18" t="n">
        <f aca="false">IF(D1111="","",IF(L1111&lt;=$B$16,1,IF(L1111&gt;=$B$17,$B$21,MATCH(L1111,Aux_CAV!$A$2:$A$121,1))))</f>
        <v>23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2.03943444832296</v>
      </c>
      <c r="E1112" s="16" t="n">
        <f aca="false">IF(D1112="","",D1112*$B$15)</f>
        <v>5.28621409005311</v>
      </c>
      <c r="F1112" s="16" t="n">
        <f aca="false" t="array" ref="F1112:F1112">IF(D1112="","",IFERROR(INDEX(Dados_Evap!$C$2:$N$15,MATCH($B$9,Dados_Evap!$A$2:$A$15,0),C1112),0))</f>
        <v>245.9</v>
      </c>
      <c r="G1112" s="16" t="n">
        <f aca="false">IF(F1112="","",F1112/1000)</f>
        <v>0.2459</v>
      </c>
      <c r="H1112" s="16" t="n">
        <f aca="false">IF(D1112="","",MAX(0,MIN($B$8,IFERROR(LOOKUP(2,1/($U$24:U1111&lt;&gt;""),$U$24:U1111),$B$11))))</f>
        <v>162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15.783</v>
      </c>
      <c r="J1112" s="16" t="n">
        <f aca="false">IF(D1112="","",$B$12)</f>
        <v>0.432</v>
      </c>
      <c r="K1112" s="16" t="n">
        <f aca="false">IF(J1112="","",J1112*$B$15)</f>
        <v>1.119744</v>
      </c>
      <c r="L1112" s="16" t="n">
        <f aca="false">IF(D1112="","",H1112+E1112-K1112-G1112*I1112)</f>
        <v>162.285430390053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15.8000714557098</v>
      </c>
      <c r="N1112" s="16" t="n">
        <f aca="false">IF(D1112="","",(I1112+M1112)/2)</f>
        <v>15.7915357278549</v>
      </c>
      <c r="O1112" s="16" t="n">
        <f aca="false">IF(D1112="","",G1112*N1112)</f>
        <v>3.88313863547953</v>
      </c>
      <c r="P1112" s="16" t="n">
        <f aca="false">IF(D1112="","",H1112+E1112-K1112-O1112)</f>
        <v>162.283331454574</v>
      </c>
      <c r="Q1112" s="16" t="n">
        <f aca="false">IF(D1112="","",IF(P1112&gt;=0,K1112,MAX(0,K1112+P1112)))</f>
        <v>1.119744</v>
      </c>
      <c r="R1112" s="16" t="n">
        <f aca="false">IF(D1112="","",Q1112/$B$15)</f>
        <v>0.432</v>
      </c>
      <c r="S1112" s="16" t="n">
        <f aca="false">IF(D1112="","",MAX(0,J1112-R1112))</f>
        <v>0</v>
      </c>
      <c r="T1112" s="16" t="n">
        <f aca="false">IF(D1112="","",MAX(0,Z1112-$B$8))</f>
        <v>0.283331454573585</v>
      </c>
      <c r="U1112" s="16" t="n">
        <f aca="false">IF(D1112="","",MAX(0,MIN($B$8,Z1112)))</f>
        <v>162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100</v>
      </c>
      <c r="Z1112" s="18" t="n">
        <f aca="false">IF(D1112="","",MAX(0,IF(P1112&gt;=0,P1112,IF(K1112+P1112&gt;=0,0,P1112+K1112))))</f>
        <v>162.283331454574</v>
      </c>
      <c r="AA1112" s="18" t="n">
        <f aca="false">IF(D1112="","",IF(H1112&lt;=$B$16,1,IF(H1112&gt;=$B$17,$B$21,MATCH(H1112,Aux_CAV!$A$2:$A$121,1))))</f>
        <v>23</v>
      </c>
      <c r="AB1112" s="18" t="n">
        <f aca="false">IF(D1112="","",IF(L1112&lt;=$B$16,1,IF(L1112&gt;=$B$17,$B$21,MATCH(L1112,Aux_CAV!$A$2:$A$121,1))))</f>
        <v>23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0.463097161534115</v>
      </c>
      <c r="E1113" s="16" t="n">
        <f aca="false">IF(D1113="","",D1113*$B$15)</f>
        <v>1.20034784269643</v>
      </c>
      <c r="F1113" s="16" t="n">
        <f aca="false" t="array" ref="F1113:F1113">IF(D1113="","",IFERROR(INDEX(Dados_Evap!$C$2:$N$15,MATCH($B$9,Dados_Evap!$A$2:$A$15,0),C1113),0))</f>
        <v>282.3</v>
      </c>
      <c r="G1113" s="16" t="n">
        <f aca="false">IF(F1113="","",F1113/1000)</f>
        <v>0.2823</v>
      </c>
      <c r="H1113" s="16" t="n">
        <f aca="false">IF(D1113="","",MAX(0,MIN($B$8,IFERROR(LOOKUP(2,1/($U$24:U1112&lt;&gt;""),$U$24:U1112),$B$11))))</f>
        <v>162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15.783</v>
      </c>
      <c r="J1113" s="16" t="n">
        <f aca="false">IF(D1113="","",$B$12)</f>
        <v>0.432</v>
      </c>
      <c r="K1113" s="16" t="n">
        <f aca="false">IF(J1113="","",J1113*$B$15)</f>
        <v>1.119744</v>
      </c>
      <c r="L1113" s="16" t="n">
        <f aca="false">IF(D1113="","",H1113+E1113-K1113-G1113*I1113)</f>
        <v>157.625062942696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15.4644749838064</v>
      </c>
      <c r="N1113" s="16" t="n">
        <f aca="false">IF(D1113="","",(I1113+M1113)/2)</f>
        <v>15.6237374919032</v>
      </c>
      <c r="O1113" s="16" t="n">
        <f aca="false">IF(D1113="","",G1113*N1113)</f>
        <v>4.41058109396428</v>
      </c>
      <c r="P1113" s="16" t="n">
        <f aca="false">IF(D1113="","",H1113+E1113-K1113-O1113)</f>
        <v>157.670022748732</v>
      </c>
      <c r="Q1113" s="16" t="n">
        <f aca="false">IF(D1113="","",IF(P1113&gt;=0,K1113,MAX(0,K1113+P1113)))</f>
        <v>1.119744</v>
      </c>
      <c r="R1113" s="16" t="n">
        <f aca="false">IF(D1113="","",Q1113/$B$15)</f>
        <v>0.432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157.670022748732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97.3271745362544</v>
      </c>
      <c r="Z1113" s="18" t="n">
        <f aca="false">IF(D1113="","",MAX(0,IF(P1113&gt;=0,P1113,IF(K1113+P1113&gt;=0,0,P1113+K1113))))</f>
        <v>157.670022748732</v>
      </c>
      <c r="AA1113" s="18" t="n">
        <f aca="false">IF(D1113="","",IF(H1113&lt;=$B$16,1,IF(H1113&gt;=$B$17,$B$21,MATCH(H1113,Aux_CAV!$A$2:$A$121,1))))</f>
        <v>23</v>
      </c>
      <c r="AB1113" s="18" t="n">
        <f aca="false">IF(D1113="","",IF(L1113&lt;=$B$16,1,IF(L1113&gt;=$B$17,$B$21,MATCH(L1113,Aux_CAV!$A$2:$A$121,1))))</f>
        <v>22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0.554359888021293</v>
      </c>
      <c r="E1114" s="16" t="n">
        <f aca="false">IF(D1114="","",D1114*$B$15)</f>
        <v>1.43690082975119</v>
      </c>
      <c r="F1114" s="16" t="n">
        <f aca="false" t="array" ref="F1114:F1114">IF(D1114="","",IFERROR(INDEX(Dados_Evap!$C$2:$N$15,MATCH($B$9,Dados_Evap!$A$2:$A$15,0),C1114),0))</f>
        <v>241.3</v>
      </c>
      <c r="G1114" s="16" t="n">
        <f aca="false">IF(F1114="","",F1114/1000)</f>
        <v>0.2413</v>
      </c>
      <c r="H1114" s="16" t="n">
        <f aca="false">IF(D1114="","",MAX(0,MIN($B$8,IFERROR(LOOKUP(2,1/($U$24:U1113&lt;&gt;""),$U$24:U1113),$B$11))))</f>
        <v>157.670022748732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15.4677483618592</v>
      </c>
      <c r="J1114" s="16" t="n">
        <f aca="false">IF(D1114="","",$B$12)</f>
        <v>0.432</v>
      </c>
      <c r="K1114" s="16" t="n">
        <f aca="false">IF(J1114="","",J1114*$B$15)</f>
        <v>1.119744</v>
      </c>
      <c r="L1114" s="16" t="n">
        <f aca="false">IF(D1114="","",H1114+E1114-K1114-G1114*I1114)</f>
        <v>154.254811898767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15.2190979065404</v>
      </c>
      <c r="N1114" s="16" t="n">
        <f aca="false">IF(D1114="","",(I1114+M1114)/2)</f>
        <v>15.3434231341998</v>
      </c>
      <c r="O1114" s="16" t="n">
        <f aca="false">IF(D1114="","",G1114*N1114)</f>
        <v>3.70236800228241</v>
      </c>
      <c r="P1114" s="16" t="n">
        <f aca="false">IF(D1114="","",H1114+E1114-K1114-O1114)</f>
        <v>154.284811576201</v>
      </c>
      <c r="Q1114" s="16" t="n">
        <f aca="false">IF(D1114="","",IF(P1114&gt;=0,K1114,MAX(0,K1114+P1114)))</f>
        <v>1.119744</v>
      </c>
      <c r="R1114" s="16" t="n">
        <f aca="false">IF(D1114="","",Q1114/$B$15)</f>
        <v>0.432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154.284811576201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95.2375380100006</v>
      </c>
      <c r="Z1114" s="18" t="n">
        <f aca="false">IF(D1114="","",MAX(0,IF(P1114&gt;=0,P1114,IF(K1114+P1114&gt;=0,0,P1114+K1114))))</f>
        <v>154.284811576201</v>
      </c>
      <c r="AA1114" s="18" t="n">
        <f aca="false">IF(D1114="","",IF(H1114&lt;=$B$16,1,IF(H1114&gt;=$B$17,$B$21,MATCH(H1114,Aux_CAV!$A$2:$A$121,1))))</f>
        <v>22</v>
      </c>
      <c r="AB1114" s="18" t="n">
        <f aca="false">IF(D1114="","",IF(L1114&lt;=$B$16,1,IF(L1114&gt;=$B$17,$B$21,MATCH(L1114,Aux_CAV!$A$2:$A$121,1))))</f>
        <v>22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0.588413382119922</v>
      </c>
      <c r="E1115" s="16" t="n">
        <f aca="false">IF(D1115="","",D1115*$B$15)</f>
        <v>1.52516748645484</v>
      </c>
      <c r="F1115" s="16" t="n">
        <f aca="false" t="array" ref="F1115:F1115">IF(D1115="","",IFERROR(INDEX(Dados_Evap!$C$2:$N$15,MATCH($B$9,Dados_Evap!$A$2:$A$15,0),C1115),0))</f>
        <v>241.8</v>
      </c>
      <c r="G1115" s="16" t="n">
        <f aca="false">IF(F1115="","",F1115/1000)</f>
        <v>0.2418</v>
      </c>
      <c r="H1115" s="16" t="n">
        <f aca="false">IF(D1115="","",MAX(0,MIN($B$8,IFERROR(LOOKUP(2,1/($U$24:U1114&lt;&gt;""),$U$24:U1114),$B$11))))</f>
        <v>154.284811576201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15.2212820860189</v>
      </c>
      <c r="J1115" s="16" t="n">
        <f aca="false">IF(D1115="","",$B$12)</f>
        <v>0.432</v>
      </c>
      <c r="K1115" s="16" t="n">
        <f aca="false">IF(J1115="","",J1115*$B$15)</f>
        <v>1.119744</v>
      </c>
      <c r="L1115" s="16" t="n">
        <f aca="false">IF(D1115="","",H1115+E1115-K1115-G1115*I1115)</f>
        <v>151.009729054256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14.9828339210114</v>
      </c>
      <c r="N1115" s="16" t="n">
        <f aca="false">IF(D1115="","",(I1115+M1115)/2)</f>
        <v>15.1020580035151</v>
      </c>
      <c r="O1115" s="16" t="n">
        <f aca="false">IF(D1115="","",G1115*N1115)</f>
        <v>3.65167762524996</v>
      </c>
      <c r="P1115" s="16" t="n">
        <f aca="false">IF(D1115="","",H1115+E1115-K1115-O1115)</f>
        <v>151.038557437406</v>
      </c>
      <c r="Q1115" s="16" t="n">
        <f aca="false">IF(D1115="","",IF(P1115&gt;=0,K1115,MAX(0,K1115+P1115)))</f>
        <v>1.119744</v>
      </c>
      <c r="R1115" s="16" t="n">
        <f aca="false">IF(D1115="","",Q1115/$B$15)</f>
        <v>0.432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151.038557437406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93.2336774304974</v>
      </c>
      <c r="Z1115" s="18" t="n">
        <f aca="false">IF(D1115="","",MAX(0,IF(P1115&gt;=0,P1115,IF(K1115+P1115&gt;=0,0,P1115+K1115))))</f>
        <v>151.038557437406</v>
      </c>
      <c r="AA1115" s="18" t="n">
        <f aca="false">IF(D1115="","",IF(H1115&lt;=$B$16,1,IF(H1115&gt;=$B$17,$B$21,MATCH(H1115,Aux_CAV!$A$2:$A$121,1))))</f>
        <v>22</v>
      </c>
      <c r="AB1115" s="18" t="n">
        <f aca="false">IF(D1115="","",IF(L1115&lt;=$B$16,1,IF(L1115&gt;=$B$17,$B$21,MATCH(L1115,Aux_CAV!$A$2:$A$121,1))))</f>
        <v>22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1.36578452749483</v>
      </c>
      <c r="E1116" s="16" t="n">
        <f aca="false">IF(D1116="","",D1116*$B$15)</f>
        <v>3.5401134952666</v>
      </c>
      <c r="F1116" s="16" t="n">
        <f aca="false" t="array" ref="F1116:F1116">IF(D1116="","",IFERROR(INDEX(Dados_Evap!$C$2:$N$15,MATCH($B$9,Dados_Evap!$A$2:$A$15,0),C1116),0))</f>
        <v>189</v>
      </c>
      <c r="G1116" s="16" t="n">
        <f aca="false">IF(F1116="","",F1116/1000)</f>
        <v>0.189</v>
      </c>
      <c r="H1116" s="16" t="n">
        <f aca="false">IF(D1116="","",MAX(0,MIN($B$8,IFERROR(LOOKUP(2,1/($U$24:U1115&lt;&gt;""),$U$24:U1115),$B$11))))</f>
        <v>151.038557437406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14.9849328223417</v>
      </c>
      <c r="J1116" s="16" t="n">
        <f aca="false">IF(D1116="","",$B$12)</f>
        <v>0.432</v>
      </c>
      <c r="K1116" s="16" t="n">
        <f aca="false">IF(J1116="","",J1116*$B$15)</f>
        <v>1.119744</v>
      </c>
      <c r="L1116" s="16" t="n">
        <f aca="false">IF(D1116="","",H1116+E1116-K1116-G1116*I1116)</f>
        <v>150.62677462925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14.9549522480115</v>
      </c>
      <c r="N1116" s="16" t="n">
        <f aca="false">IF(D1116="","",(I1116+M1116)/2)</f>
        <v>14.9699425351766</v>
      </c>
      <c r="O1116" s="16" t="n">
        <f aca="false">IF(D1116="","",G1116*N1116)</f>
        <v>2.82931913914838</v>
      </c>
      <c r="P1116" s="16" t="n">
        <f aca="false">IF(D1116="","",H1116+E1116-K1116-O1116)</f>
        <v>150.629607793524</v>
      </c>
      <c r="Q1116" s="16" t="n">
        <f aca="false">IF(D1116="","",IF(P1116&gt;=0,K1116,MAX(0,K1116+P1116)))</f>
        <v>1.119744</v>
      </c>
      <c r="R1116" s="16" t="n">
        <f aca="false">IF(D1116="","",Q1116/$B$15)</f>
        <v>0.432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150.629607793524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92.9812393787186</v>
      </c>
      <c r="Z1116" s="18" t="n">
        <f aca="false">IF(D1116="","",MAX(0,IF(P1116&gt;=0,P1116,IF(K1116+P1116&gt;=0,0,P1116+K1116))))</f>
        <v>150.629607793524</v>
      </c>
      <c r="AA1116" s="18" t="n">
        <f aca="false">IF(D1116="","",IF(H1116&lt;=$B$16,1,IF(H1116&gt;=$B$17,$B$21,MATCH(H1116,Aux_CAV!$A$2:$A$121,1))))</f>
        <v>22</v>
      </c>
      <c r="AB1116" s="18" t="n">
        <f aca="false">IF(D1116="","",IF(L1116&lt;=$B$16,1,IF(L1116&gt;=$B$17,$B$21,MATCH(L1116,Aux_CAV!$A$2:$A$121,1))))</f>
        <v>22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0.953350225147751</v>
      </c>
      <c r="E1117" s="16" t="n">
        <f aca="false">IF(D1117="","",D1117*$B$15)</f>
        <v>2.47108378358297</v>
      </c>
      <c r="F1117" s="16" t="n">
        <f aca="false" t="array" ref="F1117:F1117">IF(D1117="","",IFERROR(INDEX(Dados_Evap!$C$2:$N$15,MATCH($B$9,Dados_Evap!$A$2:$A$15,0),C1117),0))</f>
        <v>136.9</v>
      </c>
      <c r="G1117" s="16" t="n">
        <f aca="false">IF(F1117="","",F1117/1000)</f>
        <v>0.1369</v>
      </c>
      <c r="H1117" s="16" t="n">
        <f aca="false">IF(D1117="","",MAX(0,MIN($B$8,IFERROR(LOOKUP(2,1/($U$24:U1116&lt;&gt;""),$U$24:U1116),$B$11))))</f>
        <v>150.629607793524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14.9551585215383</v>
      </c>
      <c r="J1117" s="16" t="n">
        <f aca="false">IF(D1117="","",$B$12)</f>
        <v>0.432</v>
      </c>
      <c r="K1117" s="16" t="n">
        <f aca="false">IF(J1117="","",J1117*$B$15)</f>
        <v>1.119744</v>
      </c>
      <c r="L1117" s="16" t="n">
        <f aca="false">IF(D1117="","",H1117+E1117-K1117-G1117*I1117)</f>
        <v>149.933586375508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14.9044834534081</v>
      </c>
      <c r="N1117" s="16" t="n">
        <f aca="false">IF(D1117="","",(I1117+M1117)/2)</f>
        <v>14.9298209874732</v>
      </c>
      <c r="O1117" s="16" t="n">
        <f aca="false">IF(D1117="","",G1117*N1117)</f>
        <v>2.04389249318508</v>
      </c>
      <c r="P1117" s="16" t="n">
        <f aca="false">IF(D1117="","",H1117+E1117-K1117-O1117)</f>
        <v>149.937055083922</v>
      </c>
      <c r="Q1117" s="16" t="n">
        <f aca="false">IF(D1117="","",IF(P1117&gt;=0,K1117,MAX(0,K1117+P1117)))</f>
        <v>1.119744</v>
      </c>
      <c r="R1117" s="16" t="n">
        <f aca="false">IF(D1117="","",Q1117/$B$15)</f>
        <v>0.432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149.937055083922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92.5537377061247</v>
      </c>
      <c r="Z1117" s="18" t="n">
        <f aca="false">IF(D1117="","",MAX(0,IF(P1117&gt;=0,P1117,IF(K1117+P1117&gt;=0,0,P1117+K1117))))</f>
        <v>149.937055083922</v>
      </c>
      <c r="AA1117" s="18" t="n">
        <f aca="false">IF(D1117="","",IF(H1117&lt;=$B$16,1,IF(H1117&gt;=$B$17,$B$21,MATCH(H1117,Aux_CAV!$A$2:$A$121,1))))</f>
        <v>22</v>
      </c>
      <c r="AB1117" s="18" t="n">
        <f aca="false">IF(D1117="","",IF(L1117&lt;=$B$16,1,IF(L1117&gt;=$B$17,$B$21,MATCH(L1117,Aux_CAV!$A$2:$A$121,1))))</f>
        <v>22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2.64110212069136</v>
      </c>
      <c r="E1118" s="16" t="n">
        <f aca="false">IF(D1118="","",D1118*$B$15)</f>
        <v>6.84573669683201</v>
      </c>
      <c r="F1118" s="16" t="n">
        <f aca="false" t="array" ref="F1118:F1118">IF(D1118="","",IFERROR(INDEX(Dados_Evap!$C$2:$N$15,MATCH($B$9,Dados_Evap!$A$2:$A$15,0),C1118),0))</f>
        <v>102.9</v>
      </c>
      <c r="G1118" s="16" t="n">
        <f aca="false">IF(F1118="","",F1118/1000)</f>
        <v>0.1029</v>
      </c>
      <c r="H1118" s="16" t="n">
        <f aca="false">IF(D1118="","",MAX(0,MIN($B$8,IFERROR(LOOKUP(2,1/($U$24:U1117&lt;&gt;""),$U$24:U1117),$B$11))))</f>
        <v>149.937055083922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14.9047359988479</v>
      </c>
      <c r="J1118" s="16" t="n">
        <f aca="false">IF(D1118="","",$B$12)</f>
        <v>0.432</v>
      </c>
      <c r="K1118" s="16" t="n">
        <f aca="false">IF(J1118="","",J1118*$B$15)</f>
        <v>1.119744</v>
      </c>
      <c r="L1118" s="16" t="n">
        <f aca="false">IF(D1118="","",H1118+E1118-K1118-G1118*I1118)</f>
        <v>154.129350446473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15.2099634640101</v>
      </c>
      <c r="N1118" s="16" t="n">
        <f aca="false">IF(D1118="","",(I1118+M1118)/2)</f>
        <v>15.057349731429</v>
      </c>
      <c r="O1118" s="16" t="n">
        <f aca="false">IF(D1118="","",G1118*N1118)</f>
        <v>1.54940128736404</v>
      </c>
      <c r="P1118" s="16" t="n">
        <f aca="false">IF(D1118="","",H1118+E1118-K1118-O1118)</f>
        <v>154.11364649339</v>
      </c>
      <c r="Q1118" s="16" t="n">
        <f aca="false">IF(D1118="","",IF(P1118&gt;=0,K1118,MAX(0,K1118+P1118)))</f>
        <v>1.119744</v>
      </c>
      <c r="R1118" s="16" t="n">
        <f aca="false">IF(D1118="","",Q1118/$B$15)</f>
        <v>0.432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154.11364649339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95.1318805514753</v>
      </c>
      <c r="Z1118" s="18" t="n">
        <f aca="false">IF(D1118="","",MAX(0,IF(P1118&gt;=0,P1118,IF(K1118+P1118&gt;=0,0,P1118+K1118))))</f>
        <v>154.11364649339</v>
      </c>
      <c r="AA1118" s="18" t="n">
        <f aca="false">IF(D1118="","",IF(H1118&lt;=$B$16,1,IF(H1118&gt;=$B$17,$B$21,MATCH(H1118,Aux_CAV!$A$2:$A$121,1))))</f>
        <v>22</v>
      </c>
      <c r="AB1118" s="18" t="n">
        <f aca="false">IF(D1118="","",IF(L1118&lt;=$B$16,1,IF(L1118&gt;=$B$17,$B$21,MATCH(L1118,Aux_CAV!$A$2:$A$121,1))))</f>
        <v>22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9.95408769494352</v>
      </c>
      <c r="E1119" s="16" t="n">
        <f aca="false">IF(D1119="","",D1119*$B$15)</f>
        <v>25.8009953052936</v>
      </c>
      <c r="F1119" s="16" t="n">
        <f aca="false" t="array" ref="F1119:F1119">IF(D1119="","",IFERROR(INDEX(Dados_Evap!$C$2:$N$15,MATCH($B$9,Dados_Evap!$A$2:$A$15,0),C1119),0))</f>
        <v>81.8</v>
      </c>
      <c r="G1119" s="16" t="n">
        <f aca="false">IF(F1119="","",F1119/1000)</f>
        <v>0.0818</v>
      </c>
      <c r="H1119" s="16" t="n">
        <f aca="false">IF(D1119="","",MAX(0,MIN($B$8,IFERROR(LOOKUP(2,1/($U$24:U1118&lt;&gt;""),$U$24:U1118),$B$11))))</f>
        <v>154.11364649339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15.2088201099813</v>
      </c>
      <c r="J1119" s="16" t="n">
        <f aca="false">IF(D1119="","",$B$12)</f>
        <v>0.432</v>
      </c>
      <c r="K1119" s="16" t="n">
        <f aca="false">IF(J1119="","",J1119*$B$15)</f>
        <v>1.119744</v>
      </c>
      <c r="L1119" s="16" t="n">
        <f aca="false">IF(D1119="","",H1119+E1119-K1119-G1119*I1119)</f>
        <v>177.550816313687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16.713086918571</v>
      </c>
      <c r="N1119" s="16" t="n">
        <f aca="false">IF(D1119="","",(I1119+M1119)/2)</f>
        <v>15.9609535142762</v>
      </c>
      <c r="O1119" s="16" t="n">
        <f aca="false">IF(D1119="","",G1119*N1119)</f>
        <v>1.30560599746779</v>
      </c>
      <c r="P1119" s="16" t="n">
        <f aca="false">IF(D1119="","",H1119+E1119-K1119-O1119)</f>
        <v>177.489291801216</v>
      </c>
      <c r="Q1119" s="16" t="n">
        <f aca="false">IF(D1119="","",IF(P1119&gt;=0,K1119,MAX(0,K1119+P1119)))</f>
        <v>1.119744</v>
      </c>
      <c r="R1119" s="16" t="n">
        <f aca="false">IF(D1119="","",Q1119/$B$15)</f>
        <v>0.432</v>
      </c>
      <c r="S1119" s="16" t="n">
        <f aca="false">IF(D1119="","",MAX(0,J1119-R1119))</f>
        <v>0</v>
      </c>
      <c r="T1119" s="16" t="n">
        <f aca="false">IF(D1119="","",MAX(0,Z1119-$B$8))</f>
        <v>15.4892918012158</v>
      </c>
      <c r="U1119" s="16" t="n">
        <f aca="false">IF(D1119="","",MAX(0,MIN($B$8,Z1119)))</f>
        <v>162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100</v>
      </c>
      <c r="Z1119" s="18" t="n">
        <f aca="false">IF(D1119="","",MAX(0,IF(P1119&gt;=0,P1119,IF(K1119+P1119&gt;=0,0,P1119+K1119))))</f>
        <v>177.489291801216</v>
      </c>
      <c r="AA1119" s="18" t="n">
        <f aca="false">IF(D1119="","",IF(H1119&lt;=$B$16,1,IF(H1119&gt;=$B$17,$B$21,MATCH(H1119,Aux_CAV!$A$2:$A$121,1))))</f>
        <v>22</v>
      </c>
      <c r="AB1119" s="18" t="n">
        <f aca="false">IF(D1119="","",IF(L1119&lt;=$B$16,1,IF(L1119&gt;=$B$17,$B$21,MATCH(L1119,Aux_CAV!$A$2:$A$121,1))))</f>
        <v>23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2.22632513131727</v>
      </c>
      <c r="E1120" s="16" t="n">
        <f aca="false">IF(D1120="","",D1120*$B$15)</f>
        <v>5.77063474037436</v>
      </c>
      <c r="F1120" s="16" t="n">
        <f aca="false" t="array" ref="F1120:F1120">IF(D1120="","",IFERROR(INDEX(Dados_Evap!$C$2:$N$15,MATCH($B$9,Dados_Evap!$A$2:$A$15,0),C1120),0))</f>
        <v>83.6</v>
      </c>
      <c r="G1120" s="16" t="n">
        <f aca="false">IF(F1120="","",F1120/1000)</f>
        <v>0.0836</v>
      </c>
      <c r="H1120" s="16" t="n">
        <f aca="false">IF(D1120="","",MAX(0,MIN($B$8,IFERROR(LOOKUP(2,1/($U$24:U1119&lt;&gt;""),$U$24:U1119),$B$11))))</f>
        <v>162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15.783</v>
      </c>
      <c r="J1120" s="16" t="n">
        <f aca="false">IF(D1120="","",$B$12)</f>
        <v>0.432</v>
      </c>
      <c r="K1120" s="16" t="n">
        <f aca="false">IF(J1120="","",J1120*$B$15)</f>
        <v>1.119744</v>
      </c>
      <c r="L1120" s="16" t="n">
        <f aca="false">IF(D1120="","",H1120+E1120-K1120-G1120*I1120)</f>
        <v>165.331431940374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15.9822513579576</v>
      </c>
      <c r="N1120" s="16" t="n">
        <f aca="false">IF(D1120="","",(I1120+M1120)/2)</f>
        <v>15.8826256789788</v>
      </c>
      <c r="O1120" s="16" t="n">
        <f aca="false">IF(D1120="","",G1120*N1120)</f>
        <v>1.32778750676263</v>
      </c>
      <c r="P1120" s="16" t="n">
        <f aca="false">IF(D1120="","",H1120+E1120-K1120-O1120)</f>
        <v>165.323103233612</v>
      </c>
      <c r="Q1120" s="16" t="n">
        <f aca="false">IF(D1120="","",IF(P1120&gt;=0,K1120,MAX(0,K1120+P1120)))</f>
        <v>1.119744</v>
      </c>
      <c r="R1120" s="16" t="n">
        <f aca="false">IF(D1120="","",Q1120/$B$15)</f>
        <v>0.432</v>
      </c>
      <c r="S1120" s="16" t="n">
        <f aca="false">IF(D1120="","",MAX(0,J1120-R1120))</f>
        <v>0</v>
      </c>
      <c r="T1120" s="16" t="n">
        <f aca="false">IF(D1120="","",MAX(0,Z1120-$B$8))</f>
        <v>3.32310323361173</v>
      </c>
      <c r="U1120" s="16" t="n">
        <f aca="false">IF(D1120="","",MAX(0,MIN($B$8,Z1120)))</f>
        <v>162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100</v>
      </c>
      <c r="Z1120" s="18" t="n">
        <f aca="false">IF(D1120="","",MAX(0,IF(P1120&gt;=0,P1120,IF(K1120+P1120&gt;=0,0,P1120+K1120))))</f>
        <v>165.323103233612</v>
      </c>
      <c r="AA1120" s="18" t="n">
        <f aca="false">IF(D1120="","",IF(H1120&lt;=$B$16,1,IF(H1120&gt;=$B$17,$B$21,MATCH(H1120,Aux_CAV!$A$2:$A$121,1))))</f>
        <v>23</v>
      </c>
      <c r="AB1120" s="18" t="n">
        <f aca="false">IF(D1120="","",IF(L1120&lt;=$B$16,1,IF(L1120&gt;=$B$17,$B$21,MATCH(L1120,Aux_CAV!$A$2:$A$121,1))))</f>
        <v>23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2.96176228862302</v>
      </c>
      <c r="E1121" s="16" t="n">
        <f aca="false">IF(D1121="","",D1121*$B$15)</f>
        <v>7.67688785211087</v>
      </c>
      <c r="F1121" s="16" t="n">
        <f aca="false" t="array" ref="F1121:F1121">IF(D1121="","",IFERROR(INDEX(Dados_Evap!$C$2:$N$15,MATCH($B$9,Dados_Evap!$A$2:$A$15,0),C1121),0))</f>
        <v>108.2</v>
      </c>
      <c r="G1121" s="16" t="n">
        <f aca="false">IF(F1121="","",F1121/1000)</f>
        <v>0.1082</v>
      </c>
      <c r="H1121" s="16" t="n">
        <f aca="false">IF(D1121="","",MAX(0,MIN($B$8,IFERROR(LOOKUP(2,1/($U$24:U1120&lt;&gt;""),$U$24:U1120),$B$11))))</f>
        <v>162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15.783</v>
      </c>
      <c r="J1121" s="16" t="n">
        <f aca="false">IF(D1121="","",$B$12)</f>
        <v>0.432</v>
      </c>
      <c r="K1121" s="16" t="n">
        <f aca="false">IF(J1121="","",J1121*$B$15)</f>
        <v>1.119744</v>
      </c>
      <c r="L1121" s="16" t="n">
        <f aca="false">IF(D1121="","",H1121+E1121-K1121-G1121*I1121)</f>
        <v>166.849423252111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16.0730416954596</v>
      </c>
      <c r="N1121" s="16" t="n">
        <f aca="false">IF(D1121="","",(I1121+M1121)/2)</f>
        <v>15.9280208477298</v>
      </c>
      <c r="O1121" s="16" t="n">
        <f aca="false">IF(D1121="","",G1121*N1121)</f>
        <v>1.72341185572436</v>
      </c>
      <c r="P1121" s="16" t="n">
        <f aca="false">IF(D1121="","",H1121+E1121-K1121-O1121)</f>
        <v>166.833731996387</v>
      </c>
      <c r="Q1121" s="16" t="n">
        <f aca="false">IF(D1121="","",IF(P1121&gt;=0,K1121,MAX(0,K1121+P1121)))</f>
        <v>1.119744</v>
      </c>
      <c r="R1121" s="16" t="n">
        <f aca="false">IF(D1121="","",Q1121/$B$15)</f>
        <v>0.432</v>
      </c>
      <c r="S1121" s="16" t="n">
        <f aca="false">IF(D1121="","",MAX(0,J1121-R1121))</f>
        <v>0</v>
      </c>
      <c r="T1121" s="16" t="n">
        <f aca="false">IF(D1121="","",MAX(0,Z1121-$B$8))</f>
        <v>4.83373199638652</v>
      </c>
      <c r="U1121" s="16" t="n">
        <f aca="false">IF(D1121="","",MAX(0,MIN($B$8,Z1121)))</f>
        <v>162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100</v>
      </c>
      <c r="Z1121" s="18" t="n">
        <f aca="false">IF(D1121="","",MAX(0,IF(P1121&gt;=0,P1121,IF(K1121+P1121&gt;=0,0,P1121+K1121))))</f>
        <v>166.833731996387</v>
      </c>
      <c r="AA1121" s="18" t="n">
        <f aca="false">IF(D1121="","",IF(H1121&lt;=$B$16,1,IF(H1121&gt;=$B$17,$B$21,MATCH(H1121,Aux_CAV!$A$2:$A$121,1))))</f>
        <v>23</v>
      </c>
      <c r="AB1121" s="18" t="n">
        <f aca="false">IF(D1121="","",IF(L1121&lt;=$B$16,1,IF(L1121&gt;=$B$17,$B$21,MATCH(L1121,Aux_CAV!$A$2:$A$121,1))))</f>
        <v>23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1.25122554131374</v>
      </c>
      <c r="E1122" s="16" t="n">
        <f aca="false">IF(D1122="","",D1122*$B$15)</f>
        <v>3.24317660308521</v>
      </c>
      <c r="F1122" s="16" t="n">
        <f aca="false" t="array" ref="F1122:F1122">IF(D1122="","",IFERROR(INDEX(Dados_Evap!$C$2:$N$15,MATCH($B$9,Dados_Evap!$A$2:$A$15,0),C1122),0))</f>
        <v>149</v>
      </c>
      <c r="G1122" s="16" t="n">
        <f aca="false">IF(F1122="","",F1122/1000)</f>
        <v>0.149</v>
      </c>
      <c r="H1122" s="16" t="n">
        <f aca="false">IF(D1122="","",MAX(0,MIN($B$8,IFERROR(LOOKUP(2,1/($U$24:U1121&lt;&gt;""),$U$24:U1121),$B$11))))</f>
        <v>162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15.783</v>
      </c>
      <c r="J1122" s="16" t="n">
        <f aca="false">IF(D1122="","",$B$12)</f>
        <v>0.432</v>
      </c>
      <c r="K1122" s="16" t="n">
        <f aca="false">IF(J1122="","",J1122*$B$15)</f>
        <v>1.119744</v>
      </c>
      <c r="L1122" s="16" t="n">
        <f aca="false">IF(D1122="","",H1122+E1122-K1122-G1122*I1122)</f>
        <v>161.771765603085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15.766382991796</v>
      </c>
      <c r="N1122" s="16" t="n">
        <f aca="false">IF(D1122="","",(I1122+M1122)/2)</f>
        <v>15.774691495898</v>
      </c>
      <c r="O1122" s="16" t="n">
        <f aca="false">IF(D1122="","",G1122*N1122)</f>
        <v>2.3504290328888</v>
      </c>
      <c r="P1122" s="16" t="n">
        <f aca="false">IF(D1122="","",H1122+E1122-K1122-O1122)</f>
        <v>161.773003570196</v>
      </c>
      <c r="Q1122" s="16" t="n">
        <f aca="false">IF(D1122="","",IF(P1122&gt;=0,K1122,MAX(0,K1122+P1122)))</f>
        <v>1.119744</v>
      </c>
      <c r="R1122" s="16" t="n">
        <f aca="false">IF(D1122="","",Q1122/$B$15)</f>
        <v>0.432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161.773003570196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99.8598787470348</v>
      </c>
      <c r="Z1122" s="18" t="n">
        <f aca="false">IF(D1122="","",MAX(0,IF(P1122&gt;=0,P1122,IF(K1122+P1122&gt;=0,0,P1122+K1122))))</f>
        <v>161.773003570196</v>
      </c>
      <c r="AA1122" s="18" t="n">
        <f aca="false">IF(D1122="","",IF(H1122&lt;=$B$16,1,IF(H1122&gt;=$B$17,$B$21,MATCH(H1122,Aux_CAV!$A$2:$A$121,1))))</f>
        <v>23</v>
      </c>
      <c r="AB1122" s="18" t="n">
        <f aca="false">IF(D1122="","",IF(L1122&lt;=$B$16,1,IF(L1122&gt;=$B$17,$B$21,MATCH(L1122,Aux_CAV!$A$2:$A$121,1))))</f>
        <v>22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0.412325901777241</v>
      </c>
      <c r="E1123" s="16" t="n">
        <f aca="false">IF(D1123="","",D1123*$B$15)</f>
        <v>1.06874873740661</v>
      </c>
      <c r="F1123" s="16" t="n">
        <f aca="false" t="array" ref="F1123:F1123">IF(D1123="","",IFERROR(INDEX(Dados_Evap!$C$2:$N$15,MATCH($B$9,Dados_Evap!$A$2:$A$15,0),C1123),0))</f>
        <v>206.8</v>
      </c>
      <c r="G1123" s="16" t="n">
        <f aca="false">IF(F1123="","",F1123/1000)</f>
        <v>0.2068</v>
      </c>
      <c r="H1123" s="16" t="n">
        <f aca="false">IF(D1123="","",MAX(0,MIN($B$8,IFERROR(LOOKUP(2,1/($U$24:U1122&lt;&gt;""),$U$24:U1122),$B$11))))</f>
        <v>161.773003570196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15.7664731241771</v>
      </c>
      <c r="J1123" s="16" t="n">
        <f aca="false">IF(D1123="","",$B$12)</f>
        <v>0.432</v>
      </c>
      <c r="K1123" s="16" t="n">
        <f aca="false">IF(J1123="","",J1123*$B$15)</f>
        <v>1.119744</v>
      </c>
      <c r="L1123" s="16" t="n">
        <f aca="false">IF(D1123="","",H1123+E1123-K1123-G1123*I1123)</f>
        <v>158.461501665523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15.5253733817133</v>
      </c>
      <c r="N1123" s="16" t="n">
        <f aca="false">IF(D1123="","",(I1123+M1123)/2)</f>
        <v>15.6459232529452</v>
      </c>
      <c r="O1123" s="16" t="n">
        <f aca="false">IF(D1123="","",G1123*N1123)</f>
        <v>3.23557692870907</v>
      </c>
      <c r="P1123" s="16" t="n">
        <f aca="false">IF(D1123="","",H1123+E1123-K1123-O1123)</f>
        <v>158.486431378894</v>
      </c>
      <c r="Q1123" s="16" t="n">
        <f aca="false">IF(D1123="","",IF(P1123&gt;=0,K1123,MAX(0,K1123+P1123)))</f>
        <v>1.119744</v>
      </c>
      <c r="R1123" s="16" t="n">
        <f aca="false">IF(D1123="","",Q1123/$B$15)</f>
        <v>0.432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158.486431378894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97.8311304807988</v>
      </c>
      <c r="Z1123" s="18" t="n">
        <f aca="false">IF(D1123="","",MAX(0,IF(P1123&gt;=0,P1123,IF(K1123+P1123&gt;=0,0,P1123+K1123))))</f>
        <v>158.486431378894</v>
      </c>
      <c r="AA1123" s="18" t="n">
        <f aca="false">IF(D1123="","",IF(H1123&lt;=$B$16,1,IF(H1123&gt;=$B$17,$B$21,MATCH(H1123,Aux_CAV!$A$2:$A$121,1))))</f>
        <v>22</v>
      </c>
      <c r="AB1123" s="18" t="n">
        <f aca="false">IF(D1123="","",IF(L1123&lt;=$B$16,1,IF(L1123&gt;=$B$17,$B$21,MATCH(L1123,Aux_CAV!$A$2:$A$121,1))))</f>
        <v>22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0.368193997401738</v>
      </c>
      <c r="E1124" s="16" t="n">
        <f aca="false">IF(D1124="","",D1124*$B$15)</f>
        <v>0.954358841265305</v>
      </c>
      <c r="F1124" s="16" t="n">
        <f aca="false" t="array" ref="F1124:F1124">IF(D1124="","",IFERROR(INDEX(Dados_Evap!$C$2:$N$15,MATCH($B$9,Dados_Evap!$A$2:$A$15,0),C1124),0))</f>
        <v>245.9</v>
      </c>
      <c r="G1124" s="16" t="n">
        <f aca="false">IF(F1124="","",F1124/1000)</f>
        <v>0.2459</v>
      </c>
      <c r="H1124" s="16" t="n">
        <f aca="false">IF(D1124="","",MAX(0,MIN($B$8,IFERROR(LOOKUP(2,1/($U$24:U1123&lt;&gt;""),$U$24:U1123),$B$11))))</f>
        <v>158.486431378894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15.5271884335075</v>
      </c>
      <c r="J1124" s="16" t="n">
        <f aca="false">IF(D1124="","",$B$12)</f>
        <v>0.432</v>
      </c>
      <c r="K1124" s="16" t="n">
        <f aca="false">IF(J1124="","",J1124*$B$15)</f>
        <v>1.119744</v>
      </c>
      <c r="L1124" s="16" t="n">
        <f aca="false">IF(D1124="","",H1124+E1124-K1124-G1124*I1124)</f>
        <v>154.50291058436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15.237161169351</v>
      </c>
      <c r="N1124" s="16" t="n">
        <f aca="false">IF(D1124="","",(I1124+M1124)/2)</f>
        <v>15.3821748014293</v>
      </c>
      <c r="O1124" s="16" t="n">
        <f aca="false">IF(D1124="","",G1124*N1124)</f>
        <v>3.78247678367145</v>
      </c>
      <c r="P1124" s="16" t="n">
        <f aca="false">IF(D1124="","",H1124+E1124-K1124-O1124)</f>
        <v>154.538569436488</v>
      </c>
      <c r="Q1124" s="16" t="n">
        <f aca="false">IF(D1124="","",IF(P1124&gt;=0,K1124,MAX(0,K1124+P1124)))</f>
        <v>1.119744</v>
      </c>
      <c r="R1124" s="16" t="n">
        <f aca="false">IF(D1124="","",Q1124/$B$15)</f>
        <v>0.432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154.538569436488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95.3941786644987</v>
      </c>
      <c r="Z1124" s="18" t="n">
        <f aca="false">IF(D1124="","",MAX(0,IF(P1124&gt;=0,P1124,IF(K1124+P1124&gt;=0,0,P1124+K1124))))</f>
        <v>154.538569436488</v>
      </c>
      <c r="AA1124" s="18" t="n">
        <f aca="false">IF(D1124="","",IF(H1124&lt;=$B$16,1,IF(H1124&gt;=$B$17,$B$21,MATCH(H1124,Aux_CAV!$A$2:$A$121,1))))</f>
        <v>22</v>
      </c>
      <c r="AB1124" s="18" t="n">
        <f aca="false">IF(D1124="","",IF(L1124&lt;=$B$16,1,IF(L1124&gt;=$B$17,$B$21,MATCH(L1124,Aux_CAV!$A$2:$A$121,1))))</f>
        <v>22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0.353477333387444</v>
      </c>
      <c r="E1125" s="16" t="n">
        <f aca="false">IF(D1125="","",D1125*$B$15)</f>
        <v>0.916213248140255</v>
      </c>
      <c r="F1125" s="16" t="n">
        <f aca="false" t="array" ref="F1125:F1125">IF(D1125="","",IFERROR(INDEX(Dados_Evap!$C$2:$N$15,MATCH($B$9,Dados_Evap!$A$2:$A$15,0),C1125),0))</f>
        <v>282.3</v>
      </c>
      <c r="G1125" s="16" t="n">
        <f aca="false">IF(F1125="","",F1125/1000)</f>
        <v>0.2823</v>
      </c>
      <c r="H1125" s="16" t="n">
        <f aca="false">IF(D1125="","",MAX(0,MIN($B$8,IFERROR(LOOKUP(2,1/($U$24:U1124&lt;&gt;""),$U$24:U1124),$B$11))))</f>
        <v>154.538569436488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15.2397573750342</v>
      </c>
      <c r="J1125" s="16" t="n">
        <f aca="false">IF(D1125="","",$B$12)</f>
        <v>0.432</v>
      </c>
      <c r="K1125" s="16" t="n">
        <f aca="false">IF(J1125="","",J1125*$B$15)</f>
        <v>1.119744</v>
      </c>
      <c r="L1125" s="16" t="n">
        <f aca="false">IF(D1125="","",H1125+E1125-K1125-G1125*I1125)</f>
        <v>150.032855177656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14.9117108938026</v>
      </c>
      <c r="N1125" s="16" t="n">
        <f aca="false">IF(D1125="","",(I1125+M1125)/2)</f>
        <v>15.0757341344184</v>
      </c>
      <c r="O1125" s="16" t="n">
        <f aca="false">IF(D1125="","",G1125*N1125)</f>
        <v>4.25587974614631</v>
      </c>
      <c r="P1125" s="16" t="n">
        <f aca="false">IF(D1125="","",H1125+E1125-K1125-O1125)</f>
        <v>150.079158938482</v>
      </c>
      <c r="Q1125" s="16" t="n">
        <f aca="false">IF(D1125="","",IF(P1125&gt;=0,K1125,MAX(0,K1125+P1125)))</f>
        <v>1.119744</v>
      </c>
      <c r="R1125" s="16" t="n">
        <f aca="false">IF(D1125="","",Q1125/$B$15)</f>
        <v>0.432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150.079158938482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92.6414561348653</v>
      </c>
      <c r="Z1125" s="18" t="n">
        <f aca="false">IF(D1125="","",MAX(0,IF(P1125&gt;=0,P1125,IF(K1125+P1125&gt;=0,0,P1125+K1125))))</f>
        <v>150.079158938482</v>
      </c>
      <c r="AA1125" s="18" t="n">
        <f aca="false">IF(D1125="","",IF(H1125&lt;=$B$16,1,IF(H1125&gt;=$B$17,$B$21,MATCH(H1125,Aux_CAV!$A$2:$A$121,1))))</f>
        <v>22</v>
      </c>
      <c r="AB1125" s="18" t="n">
        <f aca="false">IF(D1125="","",IF(L1125&lt;=$B$16,1,IF(L1125&gt;=$B$17,$B$21,MATCH(L1125,Aux_CAV!$A$2:$A$121,1))))</f>
        <v>22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0.365789861756986</v>
      </c>
      <c r="E1126" s="16" t="n">
        <f aca="false">IF(D1126="","",D1126*$B$15)</f>
        <v>0.948127321674108</v>
      </c>
      <c r="F1126" s="16" t="n">
        <f aca="false" t="array" ref="F1126:F1126">IF(D1126="","",IFERROR(INDEX(Dados_Evap!$C$2:$N$15,MATCH($B$9,Dados_Evap!$A$2:$A$15,0),C1126),0))</f>
        <v>241.3</v>
      </c>
      <c r="G1126" s="16" t="n">
        <f aca="false">IF(F1126="","",F1126/1000)</f>
        <v>0.2413</v>
      </c>
      <c r="H1126" s="16" t="n">
        <f aca="false">IF(D1126="","",MAX(0,MIN($B$8,IFERROR(LOOKUP(2,1/($U$24:U1125&lt;&gt;""),$U$24:U1125),$B$11))))</f>
        <v>150.079158938482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14.9150821208565</v>
      </c>
      <c r="J1126" s="16" t="n">
        <f aca="false">IF(D1126="","",$B$12)</f>
        <v>0.432</v>
      </c>
      <c r="K1126" s="16" t="n">
        <f aca="false">IF(J1126="","",J1126*$B$15)</f>
        <v>1.119744</v>
      </c>
      <c r="L1126" s="16" t="n">
        <f aca="false">IF(D1126="","",H1126+E1126-K1126-G1126*I1126)</f>
        <v>146.308532944393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14.6405550385019</v>
      </c>
      <c r="N1126" s="16" t="n">
        <f aca="false">IF(D1126="","",(I1126+M1126)/2)</f>
        <v>14.7778185796792</v>
      </c>
      <c r="O1126" s="16" t="n">
        <f aca="false">IF(D1126="","",G1126*N1126)</f>
        <v>3.56588762327659</v>
      </c>
      <c r="P1126" s="16" t="n">
        <f aca="false">IF(D1126="","",H1126+E1126-K1126-O1126)</f>
        <v>146.341654636879</v>
      </c>
      <c r="Q1126" s="16" t="n">
        <f aca="false">IF(D1126="","",IF(P1126&gt;=0,K1126,MAX(0,K1126+P1126)))</f>
        <v>1.119744</v>
      </c>
      <c r="R1126" s="16" t="n">
        <f aca="false">IF(D1126="","",Q1126/$B$15)</f>
        <v>0.432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146.341654636879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90.334354714123</v>
      </c>
      <c r="Z1126" s="18" t="n">
        <f aca="false">IF(D1126="","",MAX(0,IF(P1126&gt;=0,P1126,IF(K1126+P1126&gt;=0,0,P1126+K1126))))</f>
        <v>146.341654636879</v>
      </c>
      <c r="AA1126" s="18" t="n">
        <f aca="false">IF(D1126="","",IF(H1126&lt;=$B$16,1,IF(H1126&gt;=$B$17,$B$21,MATCH(H1126,Aux_CAV!$A$2:$A$121,1))))</f>
        <v>22</v>
      </c>
      <c r="AB1126" s="18" t="n">
        <f aca="false">IF(D1126="","",IF(L1126&lt;=$B$16,1,IF(L1126&gt;=$B$17,$B$21,MATCH(L1126,Aux_CAV!$A$2:$A$121,1))))</f>
        <v>22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0.34686543648448</v>
      </c>
      <c r="E1127" s="16" t="n">
        <f aca="false">IF(D1127="","",D1127*$B$15)</f>
        <v>0.899075211367772</v>
      </c>
      <c r="F1127" s="16" t="n">
        <f aca="false" t="array" ref="F1127:F1127">IF(D1127="","",IFERROR(INDEX(Dados_Evap!$C$2:$N$15,MATCH($B$9,Dados_Evap!$A$2:$A$15,0),C1127),0))</f>
        <v>241.8</v>
      </c>
      <c r="G1127" s="16" t="n">
        <f aca="false">IF(F1127="","",F1127/1000)</f>
        <v>0.2418</v>
      </c>
      <c r="H1127" s="16" t="n">
        <f aca="false">IF(D1127="","",MAX(0,MIN($B$8,IFERROR(LOOKUP(2,1/($U$24:U1126&lt;&gt;""),$U$24:U1126),$B$11))))</f>
        <v>146.341654636879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14.642966521798</v>
      </c>
      <c r="J1127" s="16" t="n">
        <f aca="false">IF(D1127="","",$B$12)</f>
        <v>0.432</v>
      </c>
      <c r="K1127" s="16" t="n">
        <f aca="false">IF(J1127="","",J1127*$B$15)</f>
        <v>1.119744</v>
      </c>
      <c r="L1127" s="16" t="n">
        <f aca="false">IF(D1127="","",H1127+E1127-K1127-G1127*I1127)</f>
        <v>142.580316543276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14.3691156614355</v>
      </c>
      <c r="N1127" s="16" t="n">
        <f aca="false">IF(D1127="","",(I1127+M1127)/2)</f>
        <v>14.5060410916168</v>
      </c>
      <c r="O1127" s="16" t="n">
        <f aca="false">IF(D1127="","",G1127*N1127)</f>
        <v>3.50756073595294</v>
      </c>
      <c r="P1127" s="16" t="n">
        <f aca="false">IF(D1127="","",H1127+E1127-K1127-O1127)</f>
        <v>142.613425112294</v>
      </c>
      <c r="Q1127" s="16" t="n">
        <f aca="false">IF(D1127="","",IF(P1127&gt;=0,K1127,MAX(0,K1127+P1127)))</f>
        <v>1.119744</v>
      </c>
      <c r="R1127" s="16" t="n">
        <f aca="false">IF(D1127="","",Q1127/$B$15)</f>
        <v>0.432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142.613425112294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88.0329784643791</v>
      </c>
      <c r="Z1127" s="18" t="n">
        <f aca="false">IF(D1127="","",MAX(0,IF(P1127&gt;=0,P1127,IF(K1127+P1127&gt;=0,0,P1127+K1127))))</f>
        <v>142.613425112294</v>
      </c>
      <c r="AA1127" s="18" t="n">
        <f aca="false">IF(D1127="","",IF(H1127&lt;=$B$16,1,IF(H1127&gt;=$B$17,$B$21,MATCH(H1127,Aux_CAV!$A$2:$A$121,1))))</f>
        <v>22</v>
      </c>
      <c r="AB1127" s="18" t="n">
        <f aca="false">IF(D1127="","",IF(L1127&lt;=$B$16,1,IF(L1127&gt;=$B$17,$B$21,MATCH(L1127,Aux_CAV!$A$2:$A$121,1))))</f>
        <v>22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3.28299260662992</v>
      </c>
      <c r="E1128" s="16" t="n">
        <f aca="false">IF(D1128="","",D1128*$B$15)</f>
        <v>8.50951683638475</v>
      </c>
      <c r="F1128" s="16" t="n">
        <f aca="false" t="array" ref="F1128:F1128">IF(D1128="","",IFERROR(INDEX(Dados_Evap!$C$2:$N$15,MATCH($B$9,Dados_Evap!$A$2:$A$15,0),C1128),0))</f>
        <v>189</v>
      </c>
      <c r="G1128" s="16" t="n">
        <f aca="false">IF(F1128="","",F1128/1000)</f>
        <v>0.189</v>
      </c>
      <c r="H1128" s="16" t="n">
        <f aca="false">IF(D1128="","",MAX(0,MIN($B$8,IFERROR(LOOKUP(2,1/($U$24:U1127&lt;&gt;""),$U$24:U1127),$B$11))))</f>
        <v>142.613425112294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14.3715261892544</v>
      </c>
      <c r="J1128" s="16" t="n">
        <f aca="false">IF(D1128="","",$B$12)</f>
        <v>0.432</v>
      </c>
      <c r="K1128" s="16" t="n">
        <f aca="false">IF(J1128="","",J1128*$B$15)</f>
        <v>1.119744</v>
      </c>
      <c r="L1128" s="16" t="n">
        <f aca="false">IF(D1128="","",H1128+E1128-K1128-G1128*I1128)</f>
        <v>147.28697949891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14.7117925673028</v>
      </c>
      <c r="N1128" s="16" t="n">
        <f aca="false">IF(D1128="","",(I1128+M1128)/2)</f>
        <v>14.5416593782786</v>
      </c>
      <c r="O1128" s="16" t="n">
        <f aca="false">IF(D1128="","",G1128*N1128)</f>
        <v>2.74837362249466</v>
      </c>
      <c r="P1128" s="16" t="n">
        <f aca="false">IF(D1128="","",H1128+E1128-K1128-O1128)</f>
        <v>147.254824326184</v>
      </c>
      <c r="Q1128" s="16" t="n">
        <f aca="false">IF(D1128="","",IF(P1128&gt;=0,K1128,MAX(0,K1128+P1128)))</f>
        <v>1.119744</v>
      </c>
      <c r="R1128" s="16" t="n">
        <f aca="false">IF(D1128="","",Q1128/$B$15)</f>
        <v>0.432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147.254824326184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90.8980397075211</v>
      </c>
      <c r="Z1128" s="18" t="n">
        <f aca="false">IF(D1128="","",MAX(0,IF(P1128&gt;=0,P1128,IF(K1128+P1128&gt;=0,0,P1128+K1128))))</f>
        <v>147.254824326184</v>
      </c>
      <c r="AA1128" s="18" t="n">
        <f aca="false">IF(D1128="","",IF(H1128&lt;=$B$16,1,IF(H1128&gt;=$B$17,$B$21,MATCH(H1128,Aux_CAV!$A$2:$A$121,1))))</f>
        <v>22</v>
      </c>
      <c r="AB1128" s="18" t="n">
        <f aca="false">IF(D1128="","",IF(L1128&lt;=$B$16,1,IF(L1128&gt;=$B$17,$B$21,MATCH(L1128,Aux_CAV!$A$2:$A$121,1))))</f>
        <v>22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1.1777937174713</v>
      </c>
      <c r="E1129" s="16" t="n">
        <f aca="false">IF(D1129="","",D1129*$B$15)</f>
        <v>3.05284131568561</v>
      </c>
      <c r="F1129" s="16" t="n">
        <f aca="false" t="array" ref="F1129:F1129">IF(D1129="","",IFERROR(INDEX(Dados_Evap!$C$2:$N$15,MATCH($B$9,Dados_Evap!$A$2:$A$15,0),C1129),0))</f>
        <v>136.9</v>
      </c>
      <c r="G1129" s="16" t="n">
        <f aca="false">IF(F1129="","",F1129/1000)</f>
        <v>0.1369</v>
      </c>
      <c r="H1129" s="16" t="n">
        <f aca="false">IF(D1129="","",MAX(0,MIN($B$8,IFERROR(LOOKUP(2,1/($U$24:U1128&lt;&gt;""),$U$24:U1128),$B$11))))</f>
        <v>147.254824326184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14.7094514531841</v>
      </c>
      <c r="J1129" s="16" t="n">
        <f aca="false">IF(D1129="","",$B$12)</f>
        <v>0.432</v>
      </c>
      <c r="K1129" s="16" t="n">
        <f aca="false">IF(J1129="","",J1129*$B$15)</f>
        <v>1.119744</v>
      </c>
      <c r="L1129" s="16" t="n">
        <f aca="false">IF(D1129="","",H1129+E1129-K1129-G1129*I1129)</f>
        <v>147.174197737929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14.7035812920839</v>
      </c>
      <c r="N1129" s="16" t="n">
        <f aca="false">IF(D1129="","",(I1129+M1129)/2)</f>
        <v>14.706516372634</v>
      </c>
      <c r="O1129" s="16" t="n">
        <f aca="false">IF(D1129="","",G1129*N1129)</f>
        <v>2.0133220914136</v>
      </c>
      <c r="P1129" s="16" t="n">
        <f aca="false">IF(D1129="","",H1129+E1129-K1129-O1129)</f>
        <v>147.174599550456</v>
      </c>
      <c r="Q1129" s="16" t="n">
        <f aca="false">IF(D1129="","",IF(P1129&gt;=0,K1129,MAX(0,K1129+P1129)))</f>
        <v>1.119744</v>
      </c>
      <c r="R1129" s="16" t="n">
        <f aca="false">IF(D1129="","",Q1129/$B$15)</f>
        <v>0.432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147.174599550456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90.8485182410224</v>
      </c>
      <c r="Z1129" s="18" t="n">
        <f aca="false">IF(D1129="","",MAX(0,IF(P1129&gt;=0,P1129,IF(K1129+P1129&gt;=0,0,P1129+K1129))))</f>
        <v>147.174599550456</v>
      </c>
      <c r="AA1129" s="18" t="n">
        <f aca="false">IF(D1129="","",IF(H1129&lt;=$B$16,1,IF(H1129&gt;=$B$17,$B$21,MATCH(H1129,Aux_CAV!$A$2:$A$121,1))))</f>
        <v>22</v>
      </c>
      <c r="AB1129" s="18" t="n">
        <f aca="false">IF(D1129="","",IF(L1129&lt;=$B$16,1,IF(L1129&gt;=$B$17,$B$21,MATCH(L1129,Aux_CAV!$A$2:$A$121,1))))</f>
        <v>22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6.44395926962404</v>
      </c>
      <c r="E1130" s="16" t="n">
        <f aca="false">IF(D1130="","",D1130*$B$15)</f>
        <v>16.7027424268655</v>
      </c>
      <c r="F1130" s="16" t="n">
        <f aca="false" t="array" ref="F1130:F1130">IF(D1130="","",IFERROR(INDEX(Dados_Evap!$C$2:$N$15,MATCH($B$9,Dados_Evap!$A$2:$A$15,0),C1130),0))</f>
        <v>102.9</v>
      </c>
      <c r="G1130" s="16" t="n">
        <f aca="false">IF(F1130="","",F1130/1000)</f>
        <v>0.1029</v>
      </c>
      <c r="H1130" s="16" t="n">
        <f aca="false">IF(D1130="","",MAX(0,MIN($B$8,IFERROR(LOOKUP(2,1/($U$24:U1129&lt;&gt;""),$U$24:U1129),$B$11))))</f>
        <v>147.174599550456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14.7036105467543</v>
      </c>
      <c r="J1130" s="16" t="n">
        <f aca="false">IF(D1130="","",$B$12)</f>
        <v>0.432</v>
      </c>
      <c r="K1130" s="16" t="n">
        <f aca="false">IF(J1130="","",J1130*$B$15)</f>
        <v>1.119744</v>
      </c>
      <c r="L1130" s="16" t="n">
        <f aca="false">IF(D1130="","",H1130+E1130-K1130-G1130*I1130)</f>
        <v>161.244596452061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15.7280015110644</v>
      </c>
      <c r="N1130" s="16" t="n">
        <f aca="false">IF(D1130="","",(I1130+M1130)/2)</f>
        <v>15.2158060289094</v>
      </c>
      <c r="O1130" s="16" t="n">
        <f aca="false">IF(D1130="","",G1130*N1130)</f>
        <v>1.56570644037477</v>
      </c>
      <c r="P1130" s="16" t="n">
        <f aca="false">IF(D1130="","",H1130+E1130-K1130-O1130)</f>
        <v>161.191891536947</v>
      </c>
      <c r="Q1130" s="16" t="n">
        <f aca="false">IF(D1130="","",IF(P1130&gt;=0,K1130,MAX(0,K1130+P1130)))</f>
        <v>1.119744</v>
      </c>
      <c r="R1130" s="16" t="n">
        <f aca="false">IF(D1130="","",Q1130/$B$15)</f>
        <v>0.432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161.191891536947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99.5011676153994</v>
      </c>
      <c r="Z1130" s="18" t="n">
        <f aca="false">IF(D1130="","",MAX(0,IF(P1130&gt;=0,P1130,IF(K1130+P1130&gt;=0,0,P1130+K1130))))</f>
        <v>161.191891536947</v>
      </c>
      <c r="AA1130" s="18" t="n">
        <f aca="false">IF(D1130="","",IF(H1130&lt;=$B$16,1,IF(H1130&gt;=$B$17,$B$21,MATCH(H1130,Aux_CAV!$A$2:$A$121,1))))</f>
        <v>22</v>
      </c>
      <c r="AB1130" s="18" t="n">
        <f aca="false">IF(D1130="","",IF(L1130&lt;=$B$16,1,IF(L1130&gt;=$B$17,$B$21,MATCH(L1130,Aux_CAV!$A$2:$A$121,1))))</f>
        <v>22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13.2707195903122</v>
      </c>
      <c r="E1131" s="16" t="n">
        <f aca="false">IF(D1131="","",D1131*$B$15)</f>
        <v>34.3977051780892</v>
      </c>
      <c r="F1131" s="16" t="n">
        <f aca="false" t="array" ref="F1131:F1131">IF(D1131="","",IFERROR(INDEX(Dados_Evap!$C$2:$N$15,MATCH($B$9,Dados_Evap!$A$2:$A$15,0),C1131),0))</f>
        <v>81.8</v>
      </c>
      <c r="G1131" s="16" t="n">
        <f aca="false">IF(F1131="","",F1131/1000)</f>
        <v>0.0818</v>
      </c>
      <c r="H1131" s="16" t="n">
        <f aca="false">IF(D1131="","",MAX(0,MIN($B$8,IFERROR(LOOKUP(2,1/($U$24:U1130&lt;&gt;""),$U$24:U1130),$B$11))))</f>
        <v>161.191891536947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15.7241642366716</v>
      </c>
      <c r="J1131" s="16" t="n">
        <f aca="false">IF(D1131="","",$B$12)</f>
        <v>0.432</v>
      </c>
      <c r="K1131" s="16" t="n">
        <f aca="false">IF(J1131="","",J1131*$B$15)</f>
        <v>1.119744</v>
      </c>
      <c r="L1131" s="16" t="n">
        <f aca="false">IF(D1131="","",H1131+E1131-K1131-G1131*I1131)</f>
        <v>193.183616080477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17.6480772284323</v>
      </c>
      <c r="N1131" s="16" t="n">
        <f aca="false">IF(D1131="","",(I1131+M1131)/2)</f>
        <v>16.686120732552</v>
      </c>
      <c r="O1131" s="16" t="n">
        <f aca="false">IF(D1131="","",G1131*N1131)</f>
        <v>1.36492467592275</v>
      </c>
      <c r="P1131" s="16" t="n">
        <f aca="false">IF(D1131="","",H1131+E1131-K1131-O1131)</f>
        <v>193.104928039114</v>
      </c>
      <c r="Q1131" s="16" t="n">
        <f aca="false">IF(D1131="","",IF(P1131&gt;=0,K1131,MAX(0,K1131+P1131)))</f>
        <v>1.119744</v>
      </c>
      <c r="R1131" s="16" t="n">
        <f aca="false">IF(D1131="","",Q1131/$B$15)</f>
        <v>0.432</v>
      </c>
      <c r="S1131" s="16" t="n">
        <f aca="false">IF(D1131="","",MAX(0,J1131-R1131))</f>
        <v>0</v>
      </c>
      <c r="T1131" s="16" t="n">
        <f aca="false">IF(D1131="","",MAX(0,Z1131-$B$8))</f>
        <v>31.1049280391135</v>
      </c>
      <c r="U1131" s="16" t="n">
        <f aca="false">IF(D1131="","",MAX(0,MIN($B$8,Z1131)))</f>
        <v>162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100</v>
      </c>
      <c r="Z1131" s="18" t="n">
        <f aca="false">IF(D1131="","",MAX(0,IF(P1131&gt;=0,P1131,IF(K1131+P1131&gt;=0,0,P1131+K1131))))</f>
        <v>193.104928039114</v>
      </c>
      <c r="AA1131" s="18" t="n">
        <f aca="false">IF(D1131="","",IF(H1131&lt;=$B$16,1,IF(H1131&gt;=$B$17,$B$21,MATCH(H1131,Aux_CAV!$A$2:$A$121,1))))</f>
        <v>22</v>
      </c>
      <c r="AB1131" s="18" t="n">
        <f aca="false">IF(D1131="","",IF(L1131&lt;=$B$16,1,IF(L1131&gt;=$B$17,$B$21,MATCH(L1131,Aux_CAV!$A$2:$A$121,1))))</f>
        <v>23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9.75015184498338</v>
      </c>
      <c r="E1132" s="16" t="n">
        <f aca="false">IF(D1132="","",D1132*$B$15)</f>
        <v>25.2723935821969</v>
      </c>
      <c r="F1132" s="16" t="n">
        <f aca="false" t="array" ref="F1132:F1132">IF(D1132="","",IFERROR(INDEX(Dados_Evap!$C$2:$N$15,MATCH($B$9,Dados_Evap!$A$2:$A$15,0),C1132),0))</f>
        <v>83.6</v>
      </c>
      <c r="G1132" s="16" t="n">
        <f aca="false">IF(F1132="","",F1132/1000)</f>
        <v>0.0836</v>
      </c>
      <c r="H1132" s="16" t="n">
        <f aca="false">IF(D1132="","",MAX(0,MIN($B$8,IFERROR(LOOKUP(2,1/($U$24:U1131&lt;&gt;""),$U$24:U1131),$B$11))))</f>
        <v>162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15.783</v>
      </c>
      <c r="J1132" s="16" t="n">
        <f aca="false">IF(D1132="","",$B$12)</f>
        <v>0.432</v>
      </c>
      <c r="K1132" s="16" t="n">
        <f aca="false">IF(J1132="","",J1132*$B$15)</f>
        <v>1.119744</v>
      </c>
      <c r="L1132" s="16" t="n">
        <f aca="false">IF(D1132="","",H1132+E1132-K1132-G1132*I1132)</f>
        <v>184.833190782197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17.1486422677352</v>
      </c>
      <c r="N1132" s="16" t="n">
        <f aca="false">IF(D1132="","",(I1132+M1132)/2)</f>
        <v>16.4658211338676</v>
      </c>
      <c r="O1132" s="16" t="n">
        <f aca="false">IF(D1132="","",G1132*N1132)</f>
        <v>1.37654264679133</v>
      </c>
      <c r="P1132" s="16" t="n">
        <f aca="false">IF(D1132="","",H1132+E1132-K1132-O1132)</f>
        <v>184.776106935406</v>
      </c>
      <c r="Q1132" s="16" t="n">
        <f aca="false">IF(D1132="","",IF(P1132&gt;=0,K1132,MAX(0,K1132+P1132)))</f>
        <v>1.119744</v>
      </c>
      <c r="R1132" s="16" t="n">
        <f aca="false">IF(D1132="","",Q1132/$B$15)</f>
        <v>0.432</v>
      </c>
      <c r="S1132" s="16" t="n">
        <f aca="false">IF(D1132="","",MAX(0,J1132-R1132))</f>
        <v>0</v>
      </c>
      <c r="T1132" s="16" t="n">
        <f aca="false">IF(D1132="","",MAX(0,Z1132-$B$8))</f>
        <v>22.7761069354056</v>
      </c>
      <c r="U1132" s="16" t="n">
        <f aca="false">IF(D1132="","",MAX(0,MIN($B$8,Z1132)))</f>
        <v>162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100</v>
      </c>
      <c r="Z1132" s="18" t="n">
        <f aca="false">IF(D1132="","",MAX(0,IF(P1132&gt;=0,P1132,IF(K1132+P1132&gt;=0,0,P1132+K1132))))</f>
        <v>184.776106935406</v>
      </c>
      <c r="AA1132" s="18" t="n">
        <f aca="false">IF(D1132="","",IF(H1132&lt;=$B$16,1,IF(H1132&gt;=$B$17,$B$21,MATCH(H1132,Aux_CAV!$A$2:$A$121,1))))</f>
        <v>23</v>
      </c>
      <c r="AB1132" s="18" t="n">
        <f aca="false">IF(D1132="","",IF(L1132&lt;=$B$16,1,IF(L1132&gt;=$B$17,$B$21,MATCH(L1132,Aux_CAV!$A$2:$A$121,1))))</f>
        <v>23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7.93817261880906</v>
      </c>
      <c r="E1133" s="16" t="n">
        <f aca="false">IF(D1133="","",D1133*$B$15)</f>
        <v>20.5757434279531</v>
      </c>
      <c r="F1133" s="16" t="n">
        <f aca="false" t="array" ref="F1133:F1133">IF(D1133="","",IFERROR(INDEX(Dados_Evap!$C$2:$N$15,MATCH($B$9,Dados_Evap!$A$2:$A$15,0),C1133),0))</f>
        <v>108.2</v>
      </c>
      <c r="G1133" s="16" t="n">
        <f aca="false">IF(F1133="","",F1133/1000)</f>
        <v>0.1082</v>
      </c>
      <c r="H1133" s="16" t="n">
        <f aca="false">IF(D1133="","",MAX(0,MIN($B$8,IFERROR(LOOKUP(2,1/($U$24:U1132&lt;&gt;""),$U$24:U1132),$B$11))))</f>
        <v>162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15.783</v>
      </c>
      <c r="J1133" s="16" t="n">
        <f aca="false">IF(D1133="","",$B$12)</f>
        <v>0.432</v>
      </c>
      <c r="K1133" s="16" t="n">
        <f aca="false">IF(J1133="","",J1133*$B$15)</f>
        <v>1.119744</v>
      </c>
      <c r="L1133" s="16" t="n">
        <f aca="false">IF(D1133="","",H1133+E1133-K1133-G1133*I1133)</f>
        <v>179.748278827953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16.8445161051385</v>
      </c>
      <c r="N1133" s="16" t="n">
        <f aca="false">IF(D1133="","",(I1133+M1133)/2)</f>
        <v>16.3137580525693</v>
      </c>
      <c r="O1133" s="16" t="n">
        <f aca="false">IF(D1133="","",G1133*N1133)</f>
        <v>1.76514862128799</v>
      </c>
      <c r="P1133" s="16" t="n">
        <f aca="false">IF(D1133="","",H1133+E1133-K1133-O1133)</f>
        <v>179.690850806665</v>
      </c>
      <c r="Q1133" s="16" t="n">
        <f aca="false">IF(D1133="","",IF(P1133&gt;=0,K1133,MAX(0,K1133+P1133)))</f>
        <v>1.119744</v>
      </c>
      <c r="R1133" s="16" t="n">
        <f aca="false">IF(D1133="","",Q1133/$B$15)</f>
        <v>0.432</v>
      </c>
      <c r="S1133" s="16" t="n">
        <f aca="false">IF(D1133="","",MAX(0,J1133-R1133))</f>
        <v>0</v>
      </c>
      <c r="T1133" s="16" t="n">
        <f aca="false">IF(D1133="","",MAX(0,Z1133-$B$8))</f>
        <v>17.6908508066651</v>
      </c>
      <c r="U1133" s="16" t="n">
        <f aca="false">IF(D1133="","",MAX(0,MIN($B$8,Z1133)))</f>
        <v>162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100</v>
      </c>
      <c r="Z1133" s="18" t="n">
        <f aca="false">IF(D1133="","",MAX(0,IF(P1133&gt;=0,P1133,IF(K1133+P1133&gt;=0,0,P1133+K1133))))</f>
        <v>179.690850806665</v>
      </c>
      <c r="AA1133" s="18" t="n">
        <f aca="false">IF(D1133="","",IF(H1133&lt;=$B$16,1,IF(H1133&gt;=$B$17,$B$21,MATCH(H1133,Aux_CAV!$A$2:$A$121,1))))</f>
        <v>23</v>
      </c>
      <c r="AB1133" s="18" t="n">
        <f aca="false">IF(D1133="","",IF(L1133&lt;=$B$16,1,IF(L1133&gt;=$B$17,$B$21,MATCH(L1133,Aux_CAV!$A$2:$A$121,1))))</f>
        <v>23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3.09647341321317</v>
      </c>
      <c r="E1134" s="16" t="n">
        <f aca="false">IF(D1134="","",D1134*$B$15)</f>
        <v>8.02605908704854</v>
      </c>
      <c r="F1134" s="16" t="n">
        <f aca="false" t="array" ref="F1134:F1134">IF(D1134="","",IFERROR(INDEX(Dados_Evap!$C$2:$N$15,MATCH($B$9,Dados_Evap!$A$2:$A$15,0),C1134),0))</f>
        <v>149</v>
      </c>
      <c r="G1134" s="16" t="n">
        <f aca="false">IF(F1134="","",F1134/1000)</f>
        <v>0.149</v>
      </c>
      <c r="H1134" s="16" t="n">
        <f aca="false">IF(D1134="","",MAX(0,MIN($B$8,IFERROR(LOOKUP(2,1/($U$24:U1133&lt;&gt;""),$U$24:U1133),$B$11))))</f>
        <v>162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15.783</v>
      </c>
      <c r="J1134" s="16" t="n">
        <f aca="false">IF(D1134="","",$B$12)</f>
        <v>0.432</v>
      </c>
      <c r="K1134" s="16" t="n">
        <f aca="false">IF(J1134="","",J1134*$B$15)</f>
        <v>1.119744</v>
      </c>
      <c r="L1134" s="16" t="n">
        <f aca="false">IF(D1134="","",H1134+E1134-K1134-G1134*I1134)</f>
        <v>166.554648087049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16.0554113332063</v>
      </c>
      <c r="N1134" s="16" t="n">
        <f aca="false">IF(D1134="","",(I1134+M1134)/2)</f>
        <v>15.9192056666032</v>
      </c>
      <c r="O1134" s="16" t="n">
        <f aca="false">IF(D1134="","",G1134*N1134)</f>
        <v>2.37196164432387</v>
      </c>
      <c r="P1134" s="16" t="n">
        <f aca="false">IF(D1134="","",H1134+E1134-K1134-O1134)</f>
        <v>166.534353442725</v>
      </c>
      <c r="Q1134" s="16" t="n">
        <f aca="false">IF(D1134="","",IF(P1134&gt;=0,K1134,MAX(0,K1134+P1134)))</f>
        <v>1.119744</v>
      </c>
      <c r="R1134" s="16" t="n">
        <f aca="false">IF(D1134="","",Q1134/$B$15)</f>
        <v>0.432</v>
      </c>
      <c r="S1134" s="16" t="n">
        <f aca="false">IF(D1134="","",MAX(0,J1134-R1134))</f>
        <v>0</v>
      </c>
      <c r="T1134" s="16" t="n">
        <f aca="false">IF(D1134="","",MAX(0,Z1134-$B$8))</f>
        <v>4.53435344272467</v>
      </c>
      <c r="U1134" s="16" t="n">
        <f aca="false">IF(D1134="","",MAX(0,MIN($B$8,Z1134)))</f>
        <v>162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100</v>
      </c>
      <c r="Z1134" s="18" t="n">
        <f aca="false">IF(D1134="","",MAX(0,IF(P1134&gt;=0,P1134,IF(K1134+P1134&gt;=0,0,P1134+K1134))))</f>
        <v>166.534353442725</v>
      </c>
      <c r="AA1134" s="18" t="n">
        <f aca="false">IF(D1134="","",IF(H1134&lt;=$B$16,1,IF(H1134&gt;=$B$17,$B$21,MATCH(H1134,Aux_CAV!$A$2:$A$121,1))))</f>
        <v>23</v>
      </c>
      <c r="AB1134" s="18" t="n">
        <f aca="false">IF(D1134="","",IF(L1134&lt;=$B$16,1,IF(L1134&gt;=$B$17,$B$21,MATCH(L1134,Aux_CAV!$A$2:$A$121,1))))</f>
        <v>23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0.62622842741902</v>
      </c>
      <c r="E1135" s="16" t="n">
        <f aca="false">IF(D1135="","",D1135*$B$15)</f>
        <v>1.6231840838701</v>
      </c>
      <c r="F1135" s="16" t="n">
        <f aca="false" t="array" ref="F1135:F1135">IF(D1135="","",IFERROR(INDEX(Dados_Evap!$C$2:$N$15,MATCH($B$9,Dados_Evap!$A$2:$A$15,0),C1135),0))</f>
        <v>206.8</v>
      </c>
      <c r="G1135" s="16" t="n">
        <f aca="false">IF(F1135="","",F1135/1000)</f>
        <v>0.2068</v>
      </c>
      <c r="H1135" s="16" t="n">
        <f aca="false">IF(D1135="","",MAX(0,MIN($B$8,IFERROR(LOOKUP(2,1/($U$24:U1134&lt;&gt;""),$U$24:U1134),$B$11))))</f>
        <v>162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15.783</v>
      </c>
      <c r="J1135" s="16" t="n">
        <f aca="false">IF(D1135="","",$B$12)</f>
        <v>0.432</v>
      </c>
      <c r="K1135" s="16" t="n">
        <f aca="false">IF(J1135="","",J1135*$B$15)</f>
        <v>1.119744</v>
      </c>
      <c r="L1135" s="16" t="n">
        <f aca="false">IF(D1135="","",H1135+E1135-K1135-G1135*I1135)</f>
        <v>159.23951568387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15.5820180658646</v>
      </c>
      <c r="N1135" s="16" t="n">
        <f aca="false">IF(D1135="","",(I1135+M1135)/2)</f>
        <v>15.6825090329323</v>
      </c>
      <c r="O1135" s="16" t="n">
        <f aca="false">IF(D1135="","",G1135*N1135)</f>
        <v>3.2431428680104</v>
      </c>
      <c r="P1135" s="16" t="n">
        <f aca="false">IF(D1135="","",H1135+E1135-K1135-O1135)</f>
        <v>159.26029721586</v>
      </c>
      <c r="Q1135" s="16" t="n">
        <f aca="false">IF(D1135="","",IF(P1135&gt;=0,K1135,MAX(0,K1135+P1135)))</f>
        <v>1.119744</v>
      </c>
      <c r="R1135" s="16" t="n">
        <f aca="false">IF(D1135="","",Q1135/$B$15)</f>
        <v>0.432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159.26029721586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98.3088254418887</v>
      </c>
      <c r="Z1135" s="18" t="n">
        <f aca="false">IF(D1135="","",MAX(0,IF(P1135&gt;=0,P1135,IF(K1135+P1135&gt;=0,0,P1135+K1135))))</f>
        <v>159.26029721586</v>
      </c>
      <c r="AA1135" s="18" t="n">
        <f aca="false">IF(D1135="","",IF(H1135&lt;=$B$16,1,IF(H1135&gt;=$B$17,$B$21,MATCH(H1135,Aux_CAV!$A$2:$A$121,1))))</f>
        <v>23</v>
      </c>
      <c r="AB1135" s="18" t="n">
        <f aca="false">IF(D1135="","",IF(L1135&lt;=$B$16,1,IF(L1135&gt;=$B$17,$B$21,MATCH(L1135,Aux_CAV!$A$2:$A$121,1))))</f>
        <v>22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0.629712093023393</v>
      </c>
      <c r="E1136" s="16" t="n">
        <f aca="false">IF(D1136="","",D1136*$B$15)</f>
        <v>1.63221374511663</v>
      </c>
      <c r="F1136" s="16" t="n">
        <f aca="false" t="array" ref="F1136:F1136">IF(D1136="","",IFERROR(INDEX(Dados_Evap!$C$2:$N$15,MATCH($B$9,Dados_Evap!$A$2:$A$15,0),C1136),0))</f>
        <v>245.9</v>
      </c>
      <c r="G1136" s="16" t="n">
        <f aca="false">IF(F1136="","",F1136/1000)</f>
        <v>0.2459</v>
      </c>
      <c r="H1136" s="16" t="n">
        <f aca="false">IF(D1136="","",MAX(0,MIN($B$8,IFERROR(LOOKUP(2,1/($U$24:U1135&lt;&gt;""),$U$24:U1135),$B$11))))</f>
        <v>159.26029721586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15.5835311019899</v>
      </c>
      <c r="J1136" s="16" t="n">
        <f aca="false">IF(D1136="","",$B$12)</f>
        <v>0.432</v>
      </c>
      <c r="K1136" s="16" t="n">
        <f aca="false">IF(J1136="","",J1136*$B$15)</f>
        <v>1.119744</v>
      </c>
      <c r="L1136" s="16" t="n">
        <f aca="false">IF(D1136="","",H1136+E1136-K1136-G1136*I1136)</f>
        <v>155.940776662997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15.3418475476882</v>
      </c>
      <c r="N1136" s="16" t="n">
        <f aca="false">IF(D1136="","",(I1136+M1136)/2)</f>
        <v>15.462689324839</v>
      </c>
      <c r="O1136" s="16" t="n">
        <f aca="false">IF(D1136="","",G1136*N1136)</f>
        <v>3.80227530497792</v>
      </c>
      <c r="P1136" s="16" t="n">
        <f aca="false">IF(D1136="","",H1136+E1136-K1136-O1136)</f>
        <v>155.970491655998</v>
      </c>
      <c r="Q1136" s="16" t="n">
        <f aca="false">IF(D1136="","",IF(P1136&gt;=0,K1136,MAX(0,K1136+P1136)))</f>
        <v>1.119744</v>
      </c>
      <c r="R1136" s="16" t="n">
        <f aca="false">IF(D1136="","",Q1136/$B$15)</f>
        <v>0.432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155.970491655998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96.2780812691348</v>
      </c>
      <c r="Z1136" s="18" t="n">
        <f aca="false">IF(D1136="","",MAX(0,IF(P1136&gt;=0,P1136,IF(K1136+P1136&gt;=0,0,P1136+K1136))))</f>
        <v>155.970491655998</v>
      </c>
      <c r="AA1136" s="18" t="n">
        <f aca="false">IF(D1136="","",IF(H1136&lt;=$B$16,1,IF(H1136&gt;=$B$17,$B$21,MATCH(H1136,Aux_CAV!$A$2:$A$121,1))))</f>
        <v>22</v>
      </c>
      <c r="AB1136" s="18" t="n">
        <f aca="false">IF(D1136="","",IF(L1136&lt;=$B$16,1,IF(L1136&gt;=$B$17,$B$21,MATCH(L1136,Aux_CAV!$A$2:$A$121,1))))</f>
        <v>22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0.563865880186282</v>
      </c>
      <c r="E1137" s="16" t="n">
        <f aca="false">IF(D1137="","",D1137*$B$15)</f>
        <v>1.46154036144284</v>
      </c>
      <c r="F1137" s="16" t="n">
        <f aca="false" t="array" ref="F1137:F1137">IF(D1137="","",IFERROR(INDEX(Dados_Evap!$C$2:$N$15,MATCH($B$9,Dados_Evap!$A$2:$A$15,0),C1137),0))</f>
        <v>282.3</v>
      </c>
      <c r="G1137" s="16" t="n">
        <f aca="false">IF(F1137="","",F1137/1000)</f>
        <v>0.2823</v>
      </c>
      <c r="H1137" s="16" t="n">
        <f aca="false">IF(D1137="","",MAX(0,MIN($B$8,IFERROR(LOOKUP(2,1/($U$24:U1136&lt;&gt;""),$U$24:U1136),$B$11))))</f>
        <v>155.970491655998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15.344011000214</v>
      </c>
      <c r="J1137" s="16" t="n">
        <f aca="false">IF(D1137="","",$B$12)</f>
        <v>0.432</v>
      </c>
      <c r="K1137" s="16" t="n">
        <f aca="false">IF(J1137="","",J1137*$B$15)</f>
        <v>1.119744</v>
      </c>
      <c r="L1137" s="16" t="n">
        <f aca="false">IF(D1137="","",H1137+E1137-K1137-G1137*I1137)</f>
        <v>151.980673712081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15.0535252609794</v>
      </c>
      <c r="N1137" s="16" t="n">
        <f aca="false">IF(D1137="","",(I1137+M1137)/2)</f>
        <v>15.1987681305967</v>
      </c>
      <c r="O1137" s="16" t="n">
        <f aca="false">IF(D1137="","",G1137*N1137)</f>
        <v>4.29061224326745</v>
      </c>
      <c r="P1137" s="16" t="n">
        <f aca="false">IF(D1137="","",H1137+E1137-K1137-O1137)</f>
        <v>152.021675774174</v>
      </c>
      <c r="Q1137" s="16" t="n">
        <f aca="false">IF(D1137="","",IF(P1137&gt;=0,K1137,MAX(0,K1137+P1137)))</f>
        <v>1.119744</v>
      </c>
      <c r="R1137" s="16" t="n">
        <f aca="false">IF(D1137="","",Q1137/$B$15)</f>
        <v>0.432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152.021675774174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93.8405406013419</v>
      </c>
      <c r="Z1137" s="18" t="n">
        <f aca="false">IF(D1137="","",MAX(0,IF(P1137&gt;=0,P1137,IF(K1137+P1137&gt;=0,0,P1137+K1137))))</f>
        <v>152.021675774174</v>
      </c>
      <c r="AA1137" s="18" t="n">
        <f aca="false">IF(D1137="","",IF(H1137&lt;=$B$16,1,IF(H1137&gt;=$B$17,$B$21,MATCH(H1137,Aux_CAV!$A$2:$A$121,1))))</f>
        <v>22</v>
      </c>
      <c r="AB1137" s="18" t="n">
        <f aca="false">IF(D1137="","",IF(L1137&lt;=$B$16,1,IF(L1137&gt;=$B$17,$B$21,MATCH(L1137,Aux_CAV!$A$2:$A$121,1))))</f>
        <v>22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0.557703422135369</v>
      </c>
      <c r="E1138" s="16" t="n">
        <f aca="false">IF(D1138="","",D1138*$B$15)</f>
        <v>1.44556727017488</v>
      </c>
      <c r="F1138" s="16" t="n">
        <f aca="false" t="array" ref="F1138:F1138">IF(D1138="","",IFERROR(INDEX(Dados_Evap!$C$2:$N$15,MATCH($B$9,Dados_Evap!$A$2:$A$15,0),C1138),0))</f>
        <v>241.3</v>
      </c>
      <c r="G1138" s="16" t="n">
        <f aca="false">IF(F1138="","",F1138/1000)</f>
        <v>0.2413</v>
      </c>
      <c r="H1138" s="16" t="n">
        <f aca="false">IF(D1138="","",MAX(0,MIN($B$8,IFERROR(LOOKUP(2,1/($U$24:U1137&lt;&gt;""),$U$24:U1137),$B$11))))</f>
        <v>152.021675774174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15.0565104884972</v>
      </c>
      <c r="J1138" s="16" t="n">
        <f aca="false">IF(D1138="","",$B$12)</f>
        <v>0.432</v>
      </c>
      <c r="K1138" s="16" t="n">
        <f aca="false">IF(J1138="","",J1138*$B$15)</f>
        <v>1.119744</v>
      </c>
      <c r="L1138" s="16" t="n">
        <f aca="false">IF(D1138="","",H1138+E1138-K1138-G1138*I1138)</f>
        <v>148.714363063474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14.8157157476965</v>
      </c>
      <c r="N1138" s="16" t="n">
        <f aca="false">IF(D1138="","",(I1138+M1138)/2)</f>
        <v>14.9361131180969</v>
      </c>
      <c r="O1138" s="16" t="n">
        <f aca="false">IF(D1138="","",G1138*N1138)</f>
        <v>3.60408409539677</v>
      </c>
      <c r="P1138" s="16" t="n">
        <f aca="false">IF(D1138="","",H1138+E1138-K1138-O1138)</f>
        <v>148.743414948952</v>
      </c>
      <c r="Q1138" s="16" t="n">
        <f aca="false">IF(D1138="","",IF(P1138&gt;=0,K1138,MAX(0,K1138+P1138)))</f>
        <v>1.119744</v>
      </c>
      <c r="R1138" s="16" t="n">
        <f aca="false">IF(D1138="","",Q1138/$B$15)</f>
        <v>0.432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148.743414948952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91.816922807995</v>
      </c>
      <c r="Z1138" s="18" t="n">
        <f aca="false">IF(D1138="","",MAX(0,IF(P1138&gt;=0,P1138,IF(K1138+P1138&gt;=0,0,P1138+K1138))))</f>
        <v>148.743414948952</v>
      </c>
      <c r="AA1138" s="18" t="n">
        <f aca="false">IF(D1138="","",IF(H1138&lt;=$B$16,1,IF(H1138&gt;=$B$17,$B$21,MATCH(H1138,Aux_CAV!$A$2:$A$121,1))))</f>
        <v>22</v>
      </c>
      <c r="AB1138" s="18" t="n">
        <f aca="false">IF(D1138="","",IF(L1138&lt;=$B$16,1,IF(L1138&gt;=$B$17,$B$21,MATCH(L1138,Aux_CAV!$A$2:$A$121,1))))</f>
        <v>22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0.478656202420868</v>
      </c>
      <c r="E1139" s="16" t="n">
        <f aca="false">IF(D1139="","",D1139*$B$15)</f>
        <v>1.24067687667489</v>
      </c>
      <c r="F1139" s="16" t="n">
        <f aca="false" t="array" ref="F1139:F1139">IF(D1139="","",IFERROR(INDEX(Dados_Evap!$C$2:$N$15,MATCH($B$9,Dados_Evap!$A$2:$A$15,0),C1139),0))</f>
        <v>241.8</v>
      </c>
      <c r="G1139" s="16" t="n">
        <f aca="false">IF(F1139="","",F1139/1000)</f>
        <v>0.2418</v>
      </c>
      <c r="H1139" s="16" t="n">
        <f aca="false">IF(D1139="","",MAX(0,MIN($B$8,IFERROR(LOOKUP(2,1/($U$24:U1138&lt;&gt;""),$U$24:U1138),$B$11))))</f>
        <v>148.743414948952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14.8178309215084</v>
      </c>
      <c r="J1139" s="16" t="n">
        <f aca="false">IF(D1139="","",$B$12)</f>
        <v>0.432</v>
      </c>
      <c r="K1139" s="16" t="n">
        <f aca="false">IF(J1139="","",J1139*$B$15)</f>
        <v>1.119744</v>
      </c>
      <c r="L1139" s="16" t="n">
        <f aca="false">IF(D1139="","",H1139+E1139-K1139-G1139*I1139)</f>
        <v>145.281396308806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14.5657725423886</v>
      </c>
      <c r="N1139" s="16" t="n">
        <f aca="false">IF(D1139="","",(I1139+M1139)/2)</f>
        <v>14.6918017319485</v>
      </c>
      <c r="O1139" s="16" t="n">
        <f aca="false">IF(D1139="","",G1139*N1139)</f>
        <v>3.55247765878515</v>
      </c>
      <c r="P1139" s="16" t="n">
        <f aca="false">IF(D1139="","",H1139+E1139-K1139-O1139)</f>
        <v>145.311870166842</v>
      </c>
      <c r="Q1139" s="16" t="n">
        <f aca="false">IF(D1139="","",IF(P1139&gt;=0,K1139,MAX(0,K1139+P1139)))</f>
        <v>1.119744</v>
      </c>
      <c r="R1139" s="16" t="n">
        <f aca="false">IF(D1139="","",Q1139/$B$15)</f>
        <v>0.432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145.311870166842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89.6986852881739</v>
      </c>
      <c r="Z1139" s="18" t="n">
        <f aca="false">IF(D1139="","",MAX(0,IF(P1139&gt;=0,P1139,IF(K1139+P1139&gt;=0,0,P1139+K1139))))</f>
        <v>145.311870166842</v>
      </c>
      <c r="AA1139" s="18" t="n">
        <f aca="false">IF(D1139="","",IF(H1139&lt;=$B$16,1,IF(H1139&gt;=$B$17,$B$21,MATCH(H1139,Aux_CAV!$A$2:$A$121,1))))</f>
        <v>22</v>
      </c>
      <c r="AB1139" s="18" t="n">
        <f aca="false">IF(D1139="","",IF(L1139&lt;=$B$16,1,IF(L1139&gt;=$B$17,$B$21,MATCH(L1139,Aux_CAV!$A$2:$A$121,1))))</f>
        <v>22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1.11031825495657</v>
      </c>
      <c r="E1140" s="16" t="n">
        <f aca="false">IF(D1140="","",D1140*$B$15)</f>
        <v>2.87794491684743</v>
      </c>
      <c r="F1140" s="16" t="n">
        <f aca="false" t="array" ref="F1140:F1140">IF(D1140="","",IFERROR(INDEX(Dados_Evap!$C$2:$N$15,MATCH($B$9,Dados_Evap!$A$2:$A$15,0),C1140),0))</f>
        <v>189</v>
      </c>
      <c r="G1140" s="16" t="n">
        <f aca="false">IF(F1140="","",F1140/1000)</f>
        <v>0.189</v>
      </c>
      <c r="H1140" s="16" t="n">
        <f aca="false">IF(D1140="","",MAX(0,MIN($B$8,IFERROR(LOOKUP(2,1/($U$24:U1139&lt;&gt;""),$U$24:U1139),$B$11))))</f>
        <v>145.311870166842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14.567991245423</v>
      </c>
      <c r="J1140" s="16" t="n">
        <f aca="false">IF(D1140="","",$B$12)</f>
        <v>0.432</v>
      </c>
      <c r="K1140" s="16" t="n">
        <f aca="false">IF(J1140="","",J1140*$B$15)</f>
        <v>1.119744</v>
      </c>
      <c r="L1140" s="16" t="n">
        <f aca="false">IF(D1140="","",H1140+E1140-K1140-G1140*I1140)</f>
        <v>144.316720738304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14.4955376343909</v>
      </c>
      <c r="N1140" s="16" t="n">
        <f aca="false">IF(D1140="","",(I1140+M1140)/2)</f>
        <v>14.5317644399069</v>
      </c>
      <c r="O1140" s="16" t="n">
        <f aca="false">IF(D1140="","",G1140*N1140)</f>
        <v>2.74650347914241</v>
      </c>
      <c r="P1140" s="16" t="n">
        <f aca="false">IF(D1140="","",H1140+E1140-K1140-O1140)</f>
        <v>144.323567604547</v>
      </c>
      <c r="Q1140" s="16" t="n">
        <f aca="false">IF(D1140="","",IF(P1140&gt;=0,K1140,MAX(0,K1140+P1140)))</f>
        <v>1.119744</v>
      </c>
      <c r="R1140" s="16" t="n">
        <f aca="false">IF(D1140="","",Q1140/$B$15)</f>
        <v>0.432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144.323567604547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89.0886219781153</v>
      </c>
      <c r="Z1140" s="18" t="n">
        <f aca="false">IF(D1140="","",MAX(0,IF(P1140&gt;=0,P1140,IF(K1140+P1140&gt;=0,0,P1140+K1140))))</f>
        <v>144.323567604547</v>
      </c>
      <c r="AA1140" s="18" t="n">
        <f aca="false">IF(D1140="","",IF(H1140&lt;=$B$16,1,IF(H1140&gt;=$B$17,$B$21,MATCH(H1140,Aux_CAV!$A$2:$A$121,1))))</f>
        <v>22</v>
      </c>
      <c r="AB1140" s="18" t="n">
        <f aca="false">IF(D1140="","",IF(L1140&lt;=$B$16,1,IF(L1140&gt;=$B$17,$B$21,MATCH(L1140,Aux_CAV!$A$2:$A$121,1))))</f>
        <v>22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2.86018365329313</v>
      </c>
      <c r="E1141" s="16" t="n">
        <f aca="false">IF(D1141="","",D1141*$B$15)</f>
        <v>7.41359602933579</v>
      </c>
      <c r="F1141" s="16" t="n">
        <f aca="false" t="array" ref="F1141:F1141">IF(D1141="","",IFERROR(INDEX(Dados_Evap!$C$2:$N$15,MATCH($B$9,Dados_Evap!$A$2:$A$15,0),C1141),0))</f>
        <v>136.9</v>
      </c>
      <c r="G1141" s="16" t="n">
        <f aca="false">IF(F1141="","",F1141/1000)</f>
        <v>0.1369</v>
      </c>
      <c r="H1141" s="16" t="n">
        <f aca="false">IF(D1141="","",MAX(0,MIN($B$8,IFERROR(LOOKUP(2,1/($U$24:U1140&lt;&gt;""),$U$24:U1140),$B$11))))</f>
        <v>144.323567604547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14.4960361325755</v>
      </c>
      <c r="J1141" s="16" t="n">
        <f aca="false">IF(D1141="","",$B$12)</f>
        <v>0.432</v>
      </c>
      <c r="K1141" s="16" t="n">
        <f aca="false">IF(J1141="","",J1141*$B$15)</f>
        <v>1.119744</v>
      </c>
      <c r="L1141" s="16" t="n">
        <f aca="false">IF(D1141="","",H1141+E1141-K1141-G1141*I1141)</f>
        <v>148.632912287333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14.8097855801422</v>
      </c>
      <c r="N1141" s="16" t="n">
        <f aca="false">IF(D1141="","",(I1141+M1141)/2)</f>
        <v>14.6529108563588</v>
      </c>
      <c r="O1141" s="16" t="n">
        <f aca="false">IF(D1141="","",G1141*N1141)</f>
        <v>2.00598349623552</v>
      </c>
      <c r="P1141" s="16" t="n">
        <f aca="false">IF(D1141="","",H1141+E1141-K1141-O1141)</f>
        <v>148.611436137647</v>
      </c>
      <c r="Q1141" s="16" t="n">
        <f aca="false">IF(D1141="","",IF(P1141&gt;=0,K1141,MAX(0,K1141+P1141)))</f>
        <v>1.119744</v>
      </c>
      <c r="R1141" s="16" t="n">
        <f aca="false">IF(D1141="","",Q1141/$B$15)</f>
        <v>0.432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148.611436137647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91.7354544059549</v>
      </c>
      <c r="Z1141" s="18" t="n">
        <f aca="false">IF(D1141="","",MAX(0,IF(P1141&gt;=0,P1141,IF(K1141+P1141&gt;=0,0,P1141+K1141))))</f>
        <v>148.611436137647</v>
      </c>
      <c r="AA1141" s="18" t="n">
        <f aca="false">IF(D1141="","",IF(H1141&lt;=$B$16,1,IF(H1141&gt;=$B$17,$B$21,MATCH(H1141,Aux_CAV!$A$2:$A$121,1))))</f>
        <v>22</v>
      </c>
      <c r="AB1141" s="18" t="n">
        <f aca="false">IF(D1141="","",IF(L1141&lt;=$B$16,1,IF(L1141&gt;=$B$17,$B$21,MATCH(L1141,Aux_CAV!$A$2:$A$121,1))))</f>
        <v>22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7.06037784439112</v>
      </c>
      <c r="E1142" s="16" t="n">
        <f aca="false">IF(D1142="","",D1142*$B$15)</f>
        <v>18.3004993726618</v>
      </c>
      <c r="F1142" s="16" t="n">
        <f aca="false" t="array" ref="F1142:F1142">IF(D1142="","",IFERROR(INDEX(Dados_Evap!$C$2:$N$15,MATCH($B$9,Dados_Evap!$A$2:$A$15,0),C1142),0))</f>
        <v>102.9</v>
      </c>
      <c r="G1142" s="16" t="n">
        <f aca="false">IF(F1142="","",F1142/1000)</f>
        <v>0.1029</v>
      </c>
      <c r="H1142" s="16" t="n">
        <f aca="false">IF(D1142="","",MAX(0,MIN($B$8,IFERROR(LOOKUP(2,1/($U$24:U1141&lt;&gt;""),$U$24:U1141),$B$11))))</f>
        <v>148.611436137647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14.8082219711492</v>
      </c>
      <c r="J1142" s="16" t="n">
        <f aca="false">IF(D1142="","",$B$12)</f>
        <v>0.432</v>
      </c>
      <c r="K1142" s="16" t="n">
        <f aca="false">IF(J1142="","",J1142*$B$15)</f>
        <v>1.119744</v>
      </c>
      <c r="L1142" s="16" t="n">
        <f aca="false">IF(D1142="","",H1142+E1142-K1142-G1142*I1142)</f>
        <v>164.268425469478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15.9186734471268</v>
      </c>
      <c r="N1142" s="16" t="n">
        <f aca="false">IF(D1142="","",(I1142+M1142)/2)</f>
        <v>15.363447709138</v>
      </c>
      <c r="O1142" s="16" t="n">
        <f aca="false">IF(D1142="","",G1142*N1142)</f>
        <v>1.5808987692703</v>
      </c>
      <c r="P1142" s="16" t="n">
        <f aca="false">IF(D1142="","",H1142+E1142-K1142-O1142)</f>
        <v>164.211292741038</v>
      </c>
      <c r="Q1142" s="16" t="n">
        <f aca="false">IF(D1142="","",IF(P1142&gt;=0,K1142,MAX(0,K1142+P1142)))</f>
        <v>1.119744</v>
      </c>
      <c r="R1142" s="16" t="n">
        <f aca="false">IF(D1142="","",Q1142/$B$15)</f>
        <v>0.432</v>
      </c>
      <c r="S1142" s="16" t="n">
        <f aca="false">IF(D1142="","",MAX(0,J1142-R1142))</f>
        <v>0</v>
      </c>
      <c r="T1142" s="16" t="n">
        <f aca="false">IF(D1142="","",MAX(0,Z1142-$B$8))</f>
        <v>2.21129274103848</v>
      </c>
      <c r="U1142" s="16" t="n">
        <f aca="false">IF(D1142="","",MAX(0,MIN($B$8,Z1142)))</f>
        <v>162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100</v>
      </c>
      <c r="Z1142" s="18" t="n">
        <f aca="false">IF(D1142="","",MAX(0,IF(P1142&gt;=0,P1142,IF(K1142+P1142&gt;=0,0,P1142+K1142))))</f>
        <v>164.211292741038</v>
      </c>
      <c r="AA1142" s="18" t="n">
        <f aca="false">IF(D1142="","",IF(H1142&lt;=$B$16,1,IF(H1142&gt;=$B$17,$B$21,MATCH(H1142,Aux_CAV!$A$2:$A$121,1))))</f>
        <v>22</v>
      </c>
      <c r="AB1142" s="18" t="n">
        <f aca="false">IF(D1142="","",IF(L1142&lt;=$B$16,1,IF(L1142&gt;=$B$17,$B$21,MATCH(L1142,Aux_CAV!$A$2:$A$121,1))))</f>
        <v>23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13.7225096067966</v>
      </c>
      <c r="E1143" s="16" t="n">
        <f aca="false">IF(D1143="","",D1143*$B$15)</f>
        <v>35.5687449008168</v>
      </c>
      <c r="F1143" s="16" t="n">
        <f aca="false" t="array" ref="F1143:F1143">IF(D1143="","",IFERROR(INDEX(Dados_Evap!$C$2:$N$15,MATCH($B$9,Dados_Evap!$A$2:$A$15,0),C1143),0))</f>
        <v>81.8</v>
      </c>
      <c r="G1143" s="16" t="n">
        <f aca="false">IF(F1143="","",F1143/1000)</f>
        <v>0.0818</v>
      </c>
      <c r="H1143" s="16" t="n">
        <f aca="false">IF(D1143="","",MAX(0,MIN($B$8,IFERROR(LOOKUP(2,1/($U$24:U1142&lt;&gt;""),$U$24:U1142),$B$11))))</f>
        <v>162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15.783</v>
      </c>
      <c r="J1143" s="16" t="n">
        <f aca="false">IF(D1143="","",$B$12)</f>
        <v>0.432</v>
      </c>
      <c r="K1143" s="16" t="n">
        <f aca="false">IF(J1143="","",J1143*$B$15)</f>
        <v>1.119744</v>
      </c>
      <c r="L1143" s="16" t="n">
        <f aca="false">IF(D1143="","",H1143+E1143-K1143-G1143*I1143)</f>
        <v>195.157951500817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17.7661612897631</v>
      </c>
      <c r="N1143" s="16" t="n">
        <f aca="false">IF(D1143="","",(I1143+M1143)/2)</f>
        <v>16.7745806448816</v>
      </c>
      <c r="O1143" s="16" t="n">
        <f aca="false">IF(D1143="","",G1143*N1143)</f>
        <v>1.37216069675131</v>
      </c>
      <c r="P1143" s="16" t="n">
        <f aca="false">IF(D1143="","",H1143+E1143-K1143-O1143)</f>
        <v>195.076840204066</v>
      </c>
      <c r="Q1143" s="16" t="n">
        <f aca="false">IF(D1143="","",IF(P1143&gt;=0,K1143,MAX(0,K1143+P1143)))</f>
        <v>1.119744</v>
      </c>
      <c r="R1143" s="16" t="n">
        <f aca="false">IF(D1143="","",Q1143/$B$15)</f>
        <v>0.432</v>
      </c>
      <c r="S1143" s="16" t="n">
        <f aca="false">IF(D1143="","",MAX(0,J1143-R1143))</f>
        <v>0</v>
      </c>
      <c r="T1143" s="16" t="n">
        <f aca="false">IF(D1143="","",MAX(0,Z1143-$B$8))</f>
        <v>33.0768402040655</v>
      </c>
      <c r="U1143" s="16" t="n">
        <f aca="false">IF(D1143="","",MAX(0,MIN($B$8,Z1143)))</f>
        <v>162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100</v>
      </c>
      <c r="Z1143" s="18" t="n">
        <f aca="false">IF(D1143="","",MAX(0,IF(P1143&gt;=0,P1143,IF(K1143+P1143&gt;=0,0,P1143+K1143))))</f>
        <v>195.076840204066</v>
      </c>
      <c r="AA1143" s="18" t="n">
        <f aca="false">IF(D1143="","",IF(H1143&lt;=$B$16,1,IF(H1143&gt;=$B$17,$B$21,MATCH(H1143,Aux_CAV!$A$2:$A$121,1))))</f>
        <v>23</v>
      </c>
      <c r="AB1143" s="18" t="n">
        <f aca="false">IF(D1143="","",IF(L1143&lt;=$B$16,1,IF(L1143&gt;=$B$17,$B$21,MATCH(L1143,Aux_CAV!$A$2:$A$121,1))))</f>
        <v>23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9.58701588668043</v>
      </c>
      <c r="E1144" s="16" t="n">
        <f aca="false">IF(D1144="","",D1144*$B$15)</f>
        <v>24.8495451782757</v>
      </c>
      <c r="F1144" s="16" t="n">
        <f aca="false" t="array" ref="F1144:F1144">IF(D1144="","",IFERROR(INDEX(Dados_Evap!$C$2:$N$15,MATCH($B$9,Dados_Evap!$A$2:$A$15,0),C1144),0))</f>
        <v>83.6</v>
      </c>
      <c r="G1144" s="16" t="n">
        <f aca="false">IF(F1144="","",F1144/1000)</f>
        <v>0.0836</v>
      </c>
      <c r="H1144" s="16" t="n">
        <f aca="false">IF(D1144="","",MAX(0,MIN($B$8,IFERROR(LOOKUP(2,1/($U$24:U1143&lt;&gt;""),$U$24:U1143),$B$11))))</f>
        <v>162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15.783</v>
      </c>
      <c r="J1144" s="16" t="n">
        <f aca="false">IF(D1144="","",$B$12)</f>
        <v>0.432</v>
      </c>
      <c r="K1144" s="16" t="n">
        <f aca="false">IF(J1144="","",J1144*$B$15)</f>
        <v>1.119744</v>
      </c>
      <c r="L1144" s="16" t="n">
        <f aca="false">IF(D1144="","",H1144+E1144-K1144-G1144*I1144)</f>
        <v>184.410342378276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17.1233519060531</v>
      </c>
      <c r="N1144" s="16" t="n">
        <f aca="false">IF(D1144="","",(I1144+M1144)/2)</f>
        <v>16.4531759530265</v>
      </c>
      <c r="O1144" s="16" t="n">
        <f aca="false">IF(D1144="","",G1144*N1144)</f>
        <v>1.37548550967302</v>
      </c>
      <c r="P1144" s="16" t="n">
        <f aca="false">IF(D1144="","",H1144+E1144-K1144-O1144)</f>
        <v>184.354315668603</v>
      </c>
      <c r="Q1144" s="16" t="n">
        <f aca="false">IF(D1144="","",IF(P1144&gt;=0,K1144,MAX(0,K1144+P1144)))</f>
        <v>1.119744</v>
      </c>
      <c r="R1144" s="16" t="n">
        <f aca="false">IF(D1144="","",Q1144/$B$15)</f>
        <v>0.432</v>
      </c>
      <c r="S1144" s="16" t="n">
        <f aca="false">IF(D1144="","",MAX(0,J1144-R1144))</f>
        <v>0</v>
      </c>
      <c r="T1144" s="16" t="n">
        <f aca="false">IF(D1144="","",MAX(0,Z1144-$B$8))</f>
        <v>22.3543156686027</v>
      </c>
      <c r="U1144" s="16" t="n">
        <f aca="false">IF(D1144="","",MAX(0,MIN($B$8,Z1144)))</f>
        <v>162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100</v>
      </c>
      <c r="Z1144" s="18" t="n">
        <f aca="false">IF(D1144="","",MAX(0,IF(P1144&gt;=0,P1144,IF(K1144+P1144&gt;=0,0,P1144+K1144))))</f>
        <v>184.354315668603</v>
      </c>
      <c r="AA1144" s="18" t="n">
        <f aca="false">IF(D1144="","",IF(H1144&lt;=$B$16,1,IF(H1144&gt;=$B$17,$B$21,MATCH(H1144,Aux_CAV!$A$2:$A$121,1))))</f>
        <v>23</v>
      </c>
      <c r="AB1144" s="18" t="n">
        <f aca="false">IF(D1144="","",IF(L1144&lt;=$B$16,1,IF(L1144&gt;=$B$17,$B$21,MATCH(L1144,Aux_CAV!$A$2:$A$121,1))))</f>
        <v>23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7.08888330349612</v>
      </c>
      <c r="E1145" s="16" t="n">
        <f aca="false">IF(D1145="","",D1145*$B$15)</f>
        <v>18.3743855226619</v>
      </c>
      <c r="F1145" s="16" t="n">
        <f aca="false" t="array" ref="F1145:F1145">IF(D1145="","",IFERROR(INDEX(Dados_Evap!$C$2:$N$15,MATCH($B$9,Dados_Evap!$A$2:$A$15,0),C1145),0))</f>
        <v>108.2</v>
      </c>
      <c r="G1145" s="16" t="n">
        <f aca="false">IF(F1145="","",F1145/1000)</f>
        <v>0.1082</v>
      </c>
      <c r="H1145" s="16" t="n">
        <f aca="false">IF(D1145="","",MAX(0,MIN($B$8,IFERROR(LOOKUP(2,1/($U$24:U1144&lt;&gt;""),$U$24:U1144),$B$11))))</f>
        <v>162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15.783</v>
      </c>
      <c r="J1145" s="16" t="n">
        <f aca="false">IF(D1145="","",$B$12)</f>
        <v>0.432</v>
      </c>
      <c r="K1145" s="16" t="n">
        <f aca="false">IF(J1145="","",J1145*$B$15)</f>
        <v>1.119744</v>
      </c>
      <c r="L1145" s="16" t="n">
        <f aca="false">IF(D1145="","",H1145+E1145-K1145-G1145*I1145)</f>
        <v>177.546920922662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16.7128539370887</v>
      </c>
      <c r="N1145" s="16" t="n">
        <f aca="false">IF(D1145="","",(I1145+M1145)/2)</f>
        <v>16.2479269685444</v>
      </c>
      <c r="O1145" s="16" t="n">
        <f aca="false">IF(D1145="","",G1145*N1145)</f>
        <v>1.7580256979965</v>
      </c>
      <c r="P1145" s="16" t="n">
        <f aca="false">IF(D1145="","",H1145+E1145-K1145-O1145)</f>
        <v>177.496615824665</v>
      </c>
      <c r="Q1145" s="16" t="n">
        <f aca="false">IF(D1145="","",IF(P1145&gt;=0,K1145,MAX(0,K1145+P1145)))</f>
        <v>1.119744</v>
      </c>
      <c r="R1145" s="16" t="n">
        <f aca="false">IF(D1145="","",Q1145/$B$15)</f>
        <v>0.432</v>
      </c>
      <c r="S1145" s="16" t="n">
        <f aca="false">IF(D1145="","",MAX(0,J1145-R1145))</f>
        <v>0</v>
      </c>
      <c r="T1145" s="16" t="n">
        <f aca="false">IF(D1145="","",MAX(0,Z1145-$B$8))</f>
        <v>15.4966158246655</v>
      </c>
      <c r="U1145" s="16" t="n">
        <f aca="false">IF(D1145="","",MAX(0,MIN($B$8,Z1145)))</f>
        <v>162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177.496615824665</v>
      </c>
      <c r="AA1145" s="18" t="n">
        <f aca="false">IF(D1145="","",IF(H1145&lt;=$B$16,1,IF(H1145&gt;=$B$17,$B$21,MATCH(H1145,Aux_CAV!$A$2:$A$121,1))))</f>
        <v>23</v>
      </c>
      <c r="AB1145" s="18" t="n">
        <f aca="false">IF(D1145="","",IF(L1145&lt;=$B$16,1,IF(L1145&gt;=$B$17,$B$21,MATCH(L1145,Aux_CAV!$A$2:$A$121,1))))</f>
        <v>23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1.08517489673025</v>
      </c>
      <c r="E1146" s="16" t="n">
        <f aca="false">IF(D1146="","",D1146*$B$15)</f>
        <v>2.81277333232481</v>
      </c>
      <c r="F1146" s="16" t="n">
        <f aca="false" t="array" ref="F1146:F1146">IF(D1146="","",IFERROR(INDEX(Dados_Evap!$C$2:$N$15,MATCH($B$9,Dados_Evap!$A$2:$A$15,0),C1146),0))</f>
        <v>149</v>
      </c>
      <c r="G1146" s="16" t="n">
        <f aca="false">IF(F1146="","",F1146/1000)</f>
        <v>0.149</v>
      </c>
      <c r="H1146" s="16" t="n">
        <f aca="false">IF(D1146="","",MAX(0,MIN($B$8,IFERROR(LOOKUP(2,1/($U$24:U1145&lt;&gt;""),$U$24:U1145),$B$11))))</f>
        <v>162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15.783</v>
      </c>
      <c r="J1146" s="16" t="n">
        <f aca="false">IF(D1146="","",$B$12)</f>
        <v>0.432</v>
      </c>
      <c r="K1146" s="16" t="n">
        <f aca="false">IF(J1146="","",J1146*$B$15)</f>
        <v>1.119744</v>
      </c>
      <c r="L1146" s="16" t="n">
        <f aca="false">IF(D1146="","",H1146+E1146-K1146-G1146*I1146)</f>
        <v>161.341362332325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15.7350467218124</v>
      </c>
      <c r="N1146" s="16" t="n">
        <f aca="false">IF(D1146="","",(I1146+M1146)/2)</f>
        <v>15.7590233609062</v>
      </c>
      <c r="O1146" s="16" t="n">
        <f aca="false">IF(D1146="","",G1146*N1146)</f>
        <v>2.34809448077503</v>
      </c>
      <c r="P1146" s="16" t="n">
        <f aca="false">IF(D1146="","",H1146+E1146-K1146-O1146)</f>
        <v>161.34493485155</v>
      </c>
      <c r="Q1146" s="16" t="n">
        <f aca="false">IF(D1146="","",IF(P1146&gt;=0,K1146,MAX(0,K1146+P1146)))</f>
        <v>1.119744</v>
      </c>
      <c r="R1146" s="16" t="n">
        <f aca="false">IF(D1146="","",Q1146/$B$15)</f>
        <v>0.432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161.34493485155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99.595638797253</v>
      </c>
      <c r="Z1146" s="18" t="n">
        <f aca="false">IF(D1146="","",MAX(0,IF(P1146&gt;=0,P1146,IF(K1146+P1146&gt;=0,0,P1146+K1146))))</f>
        <v>161.34493485155</v>
      </c>
      <c r="AA1146" s="18" t="n">
        <f aca="false">IF(D1146="","",IF(H1146&lt;=$B$16,1,IF(H1146&gt;=$B$17,$B$21,MATCH(H1146,Aux_CAV!$A$2:$A$121,1))))</f>
        <v>23</v>
      </c>
      <c r="AB1146" s="18" t="n">
        <f aca="false">IF(D1146="","",IF(L1146&lt;=$B$16,1,IF(L1146&gt;=$B$17,$B$21,MATCH(L1146,Aux_CAV!$A$2:$A$121,1))))</f>
        <v>22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1.15793325574984</v>
      </c>
      <c r="E1147" s="16" t="n">
        <f aca="false">IF(D1147="","",D1147*$B$15)</f>
        <v>3.00136299890359</v>
      </c>
      <c r="F1147" s="16" t="n">
        <f aca="false" t="array" ref="F1147:F1147">IF(D1147="","",IFERROR(INDEX(Dados_Evap!$C$2:$N$15,MATCH($B$9,Dados_Evap!$A$2:$A$15,0),C1147),0))</f>
        <v>206.8</v>
      </c>
      <c r="G1147" s="16" t="n">
        <f aca="false">IF(F1147="","",F1147/1000)</f>
        <v>0.2068</v>
      </c>
      <c r="H1147" s="16" t="n">
        <f aca="false">IF(D1147="","",MAX(0,MIN($B$8,IFERROR(LOOKUP(2,1/($U$24:U1146&lt;&gt;""),$U$24:U1146),$B$11))))</f>
        <v>161.34493485155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15.7353068253817</v>
      </c>
      <c r="J1147" s="16" t="n">
        <f aca="false">IF(D1147="","",$B$12)</f>
        <v>0.432</v>
      </c>
      <c r="K1147" s="16" t="n">
        <f aca="false">IF(J1147="","",J1147*$B$15)</f>
        <v>1.119744</v>
      </c>
      <c r="L1147" s="16" t="n">
        <f aca="false">IF(D1147="","",H1147+E1147-K1147-G1147*I1147)</f>
        <v>159.972492398964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15.6353837296415</v>
      </c>
      <c r="N1147" s="16" t="n">
        <f aca="false">IF(D1147="","",(I1147+M1147)/2)</f>
        <v>15.6853452775116</v>
      </c>
      <c r="O1147" s="16" t="n">
        <f aca="false">IF(D1147="","",G1147*N1147)</f>
        <v>3.2437294033894</v>
      </c>
      <c r="P1147" s="16" t="n">
        <f aca="false">IF(D1147="","",H1147+E1147-K1147-O1147)</f>
        <v>159.982824447064</v>
      </c>
      <c r="Q1147" s="16" t="n">
        <f aca="false">IF(D1147="","",IF(P1147&gt;=0,K1147,MAX(0,K1147+P1147)))</f>
        <v>1.119744</v>
      </c>
      <c r="R1147" s="16" t="n">
        <f aca="false">IF(D1147="","",Q1147/$B$15)</f>
        <v>0.432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159.982824447064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98.7548299055951</v>
      </c>
      <c r="Z1147" s="18" t="n">
        <f aca="false">IF(D1147="","",MAX(0,IF(P1147&gt;=0,P1147,IF(K1147+P1147&gt;=0,0,P1147+K1147))))</f>
        <v>159.982824447064</v>
      </c>
      <c r="AA1147" s="18" t="n">
        <f aca="false">IF(D1147="","",IF(H1147&lt;=$B$16,1,IF(H1147&gt;=$B$17,$B$21,MATCH(H1147,Aux_CAV!$A$2:$A$121,1))))</f>
        <v>22</v>
      </c>
      <c r="AB1147" s="18" t="n">
        <f aca="false">IF(D1147="","",IF(L1147&lt;=$B$16,1,IF(L1147&gt;=$B$17,$B$21,MATCH(L1147,Aux_CAV!$A$2:$A$121,1))))</f>
        <v>22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0.571154957363816</v>
      </c>
      <c r="E1148" s="16" t="n">
        <f aca="false">IF(D1148="","",D1148*$B$15)</f>
        <v>1.48043364948701</v>
      </c>
      <c r="F1148" s="16" t="n">
        <f aca="false" t="array" ref="F1148:F1148">IF(D1148="","",IFERROR(INDEX(Dados_Evap!$C$2:$N$15,MATCH($B$9,Dados_Evap!$A$2:$A$15,0),C1148),0))</f>
        <v>245.9</v>
      </c>
      <c r="G1148" s="16" t="n">
        <f aca="false">IF(F1148="","",F1148/1000)</f>
        <v>0.2459</v>
      </c>
      <c r="H1148" s="16" t="n">
        <f aca="false">IF(D1148="","",MAX(0,MIN($B$8,IFERROR(LOOKUP(2,1/($U$24:U1147&lt;&gt;""),$U$24:U1147),$B$11))))</f>
        <v>159.982824447064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15.6361359726441</v>
      </c>
      <c r="J1148" s="16" t="n">
        <f aca="false">IF(D1148="","",$B$12)</f>
        <v>0.432</v>
      </c>
      <c r="K1148" s="16" t="n">
        <f aca="false">IF(J1148="","",J1148*$B$15)</f>
        <v>1.119744</v>
      </c>
      <c r="L1148" s="16" t="n">
        <f aca="false">IF(D1148="","",H1148+E1148-K1148-G1148*I1148)</f>
        <v>156.498588260878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15.3824600058609</v>
      </c>
      <c r="N1148" s="16" t="n">
        <f aca="false">IF(D1148="","",(I1148+M1148)/2)</f>
        <v>15.5092979892525</v>
      </c>
      <c r="O1148" s="16" t="n">
        <f aca="false">IF(D1148="","",G1148*N1148)</f>
        <v>3.81373637555719</v>
      </c>
      <c r="P1148" s="16" t="n">
        <f aca="false">IF(D1148="","",H1148+E1148-K1148-O1148)</f>
        <v>156.529777720994</v>
      </c>
      <c r="Q1148" s="16" t="n">
        <f aca="false">IF(D1148="","",IF(P1148&gt;=0,K1148,MAX(0,K1148+P1148)))</f>
        <v>1.119744</v>
      </c>
      <c r="R1148" s="16" t="n">
        <f aca="false">IF(D1148="","",Q1148/$B$15)</f>
        <v>0.432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156.529777720994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96.6233195808603</v>
      </c>
      <c r="Z1148" s="18" t="n">
        <f aca="false">IF(D1148="","",MAX(0,IF(P1148&gt;=0,P1148,IF(K1148+P1148&gt;=0,0,P1148+K1148))))</f>
        <v>156.529777720994</v>
      </c>
      <c r="AA1148" s="18" t="n">
        <f aca="false">IF(D1148="","",IF(H1148&lt;=$B$16,1,IF(H1148&gt;=$B$17,$B$21,MATCH(H1148,Aux_CAV!$A$2:$A$121,1))))</f>
        <v>22</v>
      </c>
      <c r="AB1148" s="18" t="n">
        <f aca="false">IF(D1148="","",IF(L1148&lt;=$B$16,1,IF(L1148&gt;=$B$17,$B$21,MATCH(L1148,Aux_CAV!$A$2:$A$121,1))))</f>
        <v>22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0.528329901096503</v>
      </c>
      <c r="E1149" s="16" t="n">
        <f aca="false">IF(D1149="","",D1149*$B$15)</f>
        <v>1.36943110364214</v>
      </c>
      <c r="F1149" s="16" t="n">
        <f aca="false" t="array" ref="F1149:F1149">IF(D1149="","",IFERROR(INDEX(Dados_Evap!$C$2:$N$15,MATCH($B$9,Dados_Evap!$A$2:$A$15,0),C1149),0))</f>
        <v>282.3</v>
      </c>
      <c r="G1149" s="16" t="n">
        <f aca="false">IF(F1149="","",F1149/1000)</f>
        <v>0.2823</v>
      </c>
      <c r="H1149" s="16" t="n">
        <f aca="false">IF(D1149="","",MAX(0,MIN($B$8,IFERROR(LOOKUP(2,1/($U$24:U1148&lt;&gt;""),$U$24:U1148),$B$11))))</f>
        <v>156.529777720994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15.3847308095681</v>
      </c>
      <c r="J1149" s="16" t="n">
        <f aca="false">IF(D1149="","",$B$12)</f>
        <v>0.432</v>
      </c>
      <c r="K1149" s="16" t="n">
        <f aca="false">IF(J1149="","",J1149*$B$15)</f>
        <v>1.119744</v>
      </c>
      <c r="L1149" s="16" t="n">
        <f aca="false">IF(D1149="","",H1149+E1149-K1149-G1149*I1149)</f>
        <v>152.436355317095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15.0867019647159</v>
      </c>
      <c r="N1149" s="16" t="n">
        <f aca="false">IF(D1149="","",(I1149+M1149)/2)</f>
        <v>15.235716387142</v>
      </c>
      <c r="O1149" s="16" t="n">
        <f aca="false">IF(D1149="","",G1149*N1149)</f>
        <v>4.30104273609019</v>
      </c>
      <c r="P1149" s="16" t="n">
        <f aca="false">IF(D1149="","",H1149+E1149-K1149-O1149)</f>
        <v>152.478422088546</v>
      </c>
      <c r="Q1149" s="16" t="n">
        <f aca="false">IF(D1149="","",IF(P1149&gt;=0,K1149,MAX(0,K1149+P1149)))</f>
        <v>1.119744</v>
      </c>
      <c r="R1149" s="16" t="n">
        <f aca="false">IF(D1149="","",Q1149/$B$15)</f>
        <v>0.432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152.478422088546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94.1224827707072</v>
      </c>
      <c r="Z1149" s="18" t="n">
        <f aca="false">IF(D1149="","",MAX(0,IF(P1149&gt;=0,P1149,IF(K1149+P1149&gt;=0,0,P1149+K1149))))</f>
        <v>152.478422088546</v>
      </c>
      <c r="AA1149" s="18" t="n">
        <f aca="false">IF(D1149="","",IF(H1149&lt;=$B$16,1,IF(H1149&gt;=$B$17,$B$21,MATCH(H1149,Aux_CAV!$A$2:$A$121,1))))</f>
        <v>22</v>
      </c>
      <c r="AB1149" s="18" t="n">
        <f aca="false">IF(D1149="","",IF(L1149&lt;=$B$16,1,IF(L1149&gt;=$B$17,$B$21,MATCH(L1149,Aux_CAV!$A$2:$A$121,1))))</f>
        <v>22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0.540757286045066</v>
      </c>
      <c r="E1150" s="16" t="n">
        <f aca="false">IF(D1150="","",D1150*$B$15)</f>
        <v>1.40164288542881</v>
      </c>
      <c r="F1150" s="16" t="n">
        <f aca="false" t="array" ref="F1150:F1150">IF(D1150="","",IFERROR(INDEX(Dados_Evap!$C$2:$N$15,MATCH($B$9,Dados_Evap!$A$2:$A$15,0),C1150),0))</f>
        <v>241.3</v>
      </c>
      <c r="G1150" s="16" t="n">
        <f aca="false">IF(F1150="","",F1150/1000)</f>
        <v>0.2413</v>
      </c>
      <c r="H1150" s="16" t="n">
        <f aca="false">IF(D1150="","",MAX(0,MIN($B$8,IFERROR(LOOKUP(2,1/($U$24:U1149&lt;&gt;""),$U$24:U1149),$B$11))))</f>
        <v>152.478422088546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15.0897647102782</v>
      </c>
      <c r="J1150" s="16" t="n">
        <f aca="false">IF(D1150="","",$B$12)</f>
        <v>0.432</v>
      </c>
      <c r="K1150" s="16" t="n">
        <f aca="false">IF(J1150="","",J1150*$B$15)</f>
        <v>1.119744</v>
      </c>
      <c r="L1150" s="16" t="n">
        <f aca="false">IF(D1150="","",H1150+E1150-K1150-G1150*I1150)</f>
        <v>149.119160749384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14.8451877578696</v>
      </c>
      <c r="N1150" s="16" t="n">
        <f aca="false">IF(D1150="","",(I1150+M1150)/2)</f>
        <v>14.9674762340739</v>
      </c>
      <c r="O1150" s="16" t="n">
        <f aca="false">IF(D1150="","",G1150*N1150)</f>
        <v>3.61165201528204</v>
      </c>
      <c r="P1150" s="16" t="n">
        <f aca="false">IF(D1150="","",H1150+E1150-K1150-O1150)</f>
        <v>149.148668958693</v>
      </c>
      <c r="Q1150" s="16" t="n">
        <f aca="false">IF(D1150="","",IF(P1150&gt;=0,K1150,MAX(0,K1150+P1150)))</f>
        <v>1.119744</v>
      </c>
      <c r="R1150" s="16" t="n">
        <f aca="false">IF(D1150="","",Q1150/$B$15)</f>
        <v>0.432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149.148668958693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92.0670796041312</v>
      </c>
      <c r="Z1150" s="18" t="n">
        <f aca="false">IF(D1150="","",MAX(0,IF(P1150&gt;=0,P1150,IF(K1150+P1150&gt;=0,0,P1150+K1150))))</f>
        <v>149.148668958693</v>
      </c>
      <c r="AA1150" s="18" t="n">
        <f aca="false">IF(D1150="","",IF(H1150&lt;=$B$16,1,IF(H1150&gt;=$B$17,$B$21,MATCH(H1150,Aux_CAV!$A$2:$A$121,1))))</f>
        <v>22</v>
      </c>
      <c r="AB1150" s="18" t="n">
        <f aca="false">IF(D1150="","",IF(L1150&lt;=$B$16,1,IF(L1150&gt;=$B$17,$B$21,MATCH(L1150,Aux_CAV!$A$2:$A$121,1))))</f>
        <v>22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0.608715560394858</v>
      </c>
      <c r="E1151" s="16" t="n">
        <f aca="false">IF(D1151="","",D1151*$B$15)</f>
        <v>1.57779073254347</v>
      </c>
      <c r="F1151" s="16" t="n">
        <f aca="false" t="array" ref="F1151:F1151">IF(D1151="","",IFERROR(INDEX(Dados_Evap!$C$2:$N$15,MATCH($B$9,Dados_Evap!$A$2:$A$15,0),C1151),0))</f>
        <v>241.8</v>
      </c>
      <c r="G1151" s="16" t="n">
        <f aca="false">IF(F1151="","",F1151/1000)</f>
        <v>0.2418</v>
      </c>
      <c r="H1151" s="16" t="n">
        <f aca="false">IF(D1151="","",MAX(0,MIN($B$8,IFERROR(LOOKUP(2,1/($U$24:U1150&lt;&gt;""),$U$24:U1150),$B$11))))</f>
        <v>149.148668958693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14.8473361551436</v>
      </c>
      <c r="J1151" s="16" t="n">
        <f aca="false">IF(D1151="","",$B$12)</f>
        <v>0.432</v>
      </c>
      <c r="K1151" s="16" t="n">
        <f aca="false">IF(J1151="","",J1151*$B$15)</f>
        <v>1.119744</v>
      </c>
      <c r="L1151" s="16" t="n">
        <f aca="false">IF(D1151="","",H1151+E1151-K1151-G1151*I1151)</f>
        <v>146.016629808922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14.6193025153832</v>
      </c>
      <c r="N1151" s="16" t="n">
        <f aca="false">IF(D1151="","",(I1151+M1151)/2)</f>
        <v>14.7333193352634</v>
      </c>
      <c r="O1151" s="16" t="n">
        <f aca="false">IF(D1151="","",G1151*N1151)</f>
        <v>3.5625166152667</v>
      </c>
      <c r="P1151" s="16" t="n">
        <f aca="false">IF(D1151="","",H1151+E1151-K1151-O1151)</f>
        <v>146.044199075969</v>
      </c>
      <c r="Q1151" s="16" t="n">
        <f aca="false">IF(D1151="","",IF(P1151&gt;=0,K1151,MAX(0,K1151+P1151)))</f>
        <v>1.119744</v>
      </c>
      <c r="R1151" s="16" t="n">
        <f aca="false">IF(D1151="","",Q1151/$B$15)</f>
        <v>0.432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146.044199075969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90.1507401703514</v>
      </c>
      <c r="Z1151" s="18" t="n">
        <f aca="false">IF(D1151="","",MAX(0,IF(P1151&gt;=0,P1151,IF(K1151+P1151&gt;=0,0,P1151+K1151))))</f>
        <v>146.044199075969</v>
      </c>
      <c r="AA1151" s="18" t="n">
        <f aca="false">IF(D1151="","",IF(H1151&lt;=$B$16,1,IF(H1151&gt;=$B$17,$B$21,MATCH(H1151,Aux_CAV!$A$2:$A$121,1))))</f>
        <v>22</v>
      </c>
      <c r="AB1151" s="18" t="n">
        <f aca="false">IF(D1151="","",IF(L1151&lt;=$B$16,1,IF(L1151&gt;=$B$17,$B$21,MATCH(L1151,Aux_CAV!$A$2:$A$121,1))))</f>
        <v>22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5.8767516388048</v>
      </c>
      <c r="E1152" s="16" t="n">
        <f aca="false">IF(D1152="","",D1152*$B$15)</f>
        <v>15.232540247782</v>
      </c>
      <c r="F1152" s="16" t="n">
        <f aca="false" t="array" ref="F1152:F1152">IF(D1152="","",IFERROR(INDEX(Dados_Evap!$C$2:$N$15,MATCH($B$9,Dados_Evap!$A$2:$A$15,0),C1152),0))</f>
        <v>189</v>
      </c>
      <c r="G1152" s="16" t="n">
        <f aca="false">IF(F1152="","",F1152/1000)</f>
        <v>0.189</v>
      </c>
      <c r="H1152" s="16" t="n">
        <f aca="false">IF(D1152="","",MAX(0,MIN($B$8,IFERROR(LOOKUP(2,1/($U$24:U1151&lt;&gt;""),$U$24:U1151),$B$11))))</f>
        <v>146.044199075969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14.6213097445428</v>
      </c>
      <c r="J1152" s="16" t="n">
        <f aca="false">IF(D1152="","",$B$12)</f>
        <v>0.432</v>
      </c>
      <c r="K1152" s="16" t="n">
        <f aca="false">IF(J1152="","",J1152*$B$15)</f>
        <v>1.119744</v>
      </c>
      <c r="L1152" s="16" t="n">
        <f aca="false">IF(D1152="","",H1152+E1152-K1152-G1152*I1152)</f>
        <v>157.393567782033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15.447620569941</v>
      </c>
      <c r="N1152" s="16" t="n">
        <f aca="false">IF(D1152="","",(I1152+M1152)/2)</f>
        <v>15.0344651572419</v>
      </c>
      <c r="O1152" s="16" t="n">
        <f aca="false">IF(D1152="","",G1152*N1152)</f>
        <v>2.84151391471871</v>
      </c>
      <c r="P1152" s="16" t="n">
        <f aca="false">IF(D1152="","",H1152+E1152-K1152-O1152)</f>
        <v>157.315481409033</v>
      </c>
      <c r="Q1152" s="16" t="n">
        <f aca="false">IF(D1152="","",IF(P1152&gt;=0,K1152,MAX(0,K1152+P1152)))</f>
        <v>1.119744</v>
      </c>
      <c r="R1152" s="16" t="n">
        <f aca="false">IF(D1152="","",Q1152/$B$15)</f>
        <v>0.432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157.315481409033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97.1083218574275</v>
      </c>
      <c r="Z1152" s="18" t="n">
        <f aca="false">IF(D1152="","",MAX(0,IF(P1152&gt;=0,P1152,IF(K1152+P1152&gt;=0,0,P1152+K1152))))</f>
        <v>157.315481409033</v>
      </c>
      <c r="AA1152" s="18" t="n">
        <f aca="false">IF(D1152="","",IF(H1152&lt;=$B$16,1,IF(H1152&gt;=$B$17,$B$21,MATCH(H1152,Aux_CAV!$A$2:$A$121,1))))</f>
        <v>22</v>
      </c>
      <c r="AB1152" s="18" t="n">
        <f aca="false">IF(D1152="","",IF(L1152&lt;=$B$16,1,IF(L1152&gt;=$B$17,$B$21,MATCH(L1152,Aux_CAV!$A$2:$A$121,1))))</f>
        <v>22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9.86144477158593</v>
      </c>
      <c r="E1153" s="16" t="n">
        <f aca="false">IF(D1153="","",D1153*$B$15)</f>
        <v>25.5608648479507</v>
      </c>
      <c r="F1153" s="16" t="n">
        <f aca="false" t="array" ref="F1153:F1153">IF(D1153="","",IFERROR(INDEX(Dados_Evap!$C$2:$N$15,MATCH($B$9,Dados_Evap!$A$2:$A$15,0),C1153),0))</f>
        <v>136.9</v>
      </c>
      <c r="G1153" s="16" t="n">
        <f aca="false">IF(F1153="","",F1153/1000)</f>
        <v>0.1369</v>
      </c>
      <c r="H1153" s="16" t="n">
        <f aca="false">IF(D1153="","",MAX(0,MIN($B$8,IFERROR(LOOKUP(2,1/($U$24:U1152&lt;&gt;""),$U$24:U1152),$B$11))))</f>
        <v>157.315481409033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15.441935353697</v>
      </c>
      <c r="J1153" s="16" t="n">
        <f aca="false">IF(D1153="","",$B$12)</f>
        <v>0.432</v>
      </c>
      <c r="K1153" s="16" t="n">
        <f aca="false">IF(J1153="","",J1153*$B$15)</f>
        <v>1.119744</v>
      </c>
      <c r="L1153" s="16" t="n">
        <f aca="false">IF(D1153="","",H1153+E1153-K1153-G1153*I1153)</f>
        <v>179.642601307062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16.8381955829367</v>
      </c>
      <c r="N1153" s="16" t="n">
        <f aca="false">IF(D1153="","",(I1153+M1153)/2)</f>
        <v>16.1400654683169</v>
      </c>
      <c r="O1153" s="16" t="n">
        <f aca="false">IF(D1153="","",G1153*N1153)</f>
        <v>2.20957496261258</v>
      </c>
      <c r="P1153" s="16" t="n">
        <f aca="false">IF(D1153="","",H1153+E1153-K1153-O1153)</f>
        <v>179.547027294371</v>
      </c>
      <c r="Q1153" s="16" t="n">
        <f aca="false">IF(D1153="","",IF(P1153&gt;=0,K1153,MAX(0,K1153+P1153)))</f>
        <v>1.119744</v>
      </c>
      <c r="R1153" s="16" t="n">
        <f aca="false">IF(D1153="","",Q1153/$B$15)</f>
        <v>0.432</v>
      </c>
      <c r="S1153" s="16" t="n">
        <f aca="false">IF(D1153="","",MAX(0,J1153-R1153))</f>
        <v>0</v>
      </c>
      <c r="T1153" s="16" t="n">
        <f aca="false">IF(D1153="","",MAX(0,Z1153-$B$8))</f>
        <v>17.5470272943708</v>
      </c>
      <c r="U1153" s="16" t="n">
        <f aca="false">IF(D1153="","",MAX(0,MIN($B$8,Z1153)))</f>
        <v>162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179.547027294371</v>
      </c>
      <c r="AA1153" s="18" t="n">
        <f aca="false">IF(D1153="","",IF(H1153&lt;=$B$16,1,IF(H1153&gt;=$B$17,$B$21,MATCH(H1153,Aux_CAV!$A$2:$A$121,1))))</f>
        <v>22</v>
      </c>
      <c r="AB1153" s="18" t="n">
        <f aca="false">IF(D1153="","",IF(L1153&lt;=$B$16,1,IF(L1153&gt;=$B$17,$B$21,MATCH(L1153,Aux_CAV!$A$2:$A$121,1))))</f>
        <v>23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8.89479302706525</v>
      </c>
      <c r="E1154" s="16" t="n">
        <f aca="false">IF(D1154="","",D1154*$B$15)</f>
        <v>23.0553035261531</v>
      </c>
      <c r="F1154" s="16" t="n">
        <f aca="false" t="array" ref="F1154:F1154">IF(D1154="","",IFERROR(INDEX(Dados_Evap!$C$2:$N$15,MATCH($B$9,Dados_Evap!$A$2:$A$15,0),C1154),0))</f>
        <v>102.9</v>
      </c>
      <c r="G1154" s="16" t="n">
        <f aca="false">IF(F1154="","",F1154/1000)</f>
        <v>0.1029</v>
      </c>
      <c r="H1154" s="16" t="n">
        <f aca="false">IF(D1154="","",MAX(0,MIN($B$8,IFERROR(LOOKUP(2,1/($U$24:U1153&lt;&gt;""),$U$24:U1153),$B$11))))</f>
        <v>162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15.783</v>
      </c>
      <c r="J1154" s="16" t="n">
        <f aca="false">IF(D1154="","",$B$12)</f>
        <v>0.432</v>
      </c>
      <c r="K1154" s="16" t="n">
        <f aca="false">IF(J1154="","",J1154*$B$15)</f>
        <v>1.119744</v>
      </c>
      <c r="L1154" s="16" t="n">
        <f aca="false">IF(D1154="","",H1154+E1154-K1154-G1154*I1154)</f>
        <v>182.311488826153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16.9978204745547</v>
      </c>
      <c r="N1154" s="16" t="n">
        <f aca="false">IF(D1154="","",(I1154+M1154)/2)</f>
        <v>16.3904102372773</v>
      </c>
      <c r="O1154" s="16" t="n">
        <f aca="false">IF(D1154="","",G1154*N1154)</f>
        <v>1.68657321341584</v>
      </c>
      <c r="P1154" s="16" t="n">
        <f aca="false">IF(D1154="","",H1154+E1154-K1154-O1154)</f>
        <v>182.248986312737</v>
      </c>
      <c r="Q1154" s="16" t="n">
        <f aca="false">IF(D1154="","",IF(P1154&gt;=0,K1154,MAX(0,K1154+P1154)))</f>
        <v>1.119744</v>
      </c>
      <c r="R1154" s="16" t="n">
        <f aca="false">IF(D1154="","",Q1154/$B$15)</f>
        <v>0.432</v>
      </c>
      <c r="S1154" s="16" t="n">
        <f aca="false">IF(D1154="","",MAX(0,J1154-R1154))</f>
        <v>0</v>
      </c>
      <c r="T1154" s="16" t="n">
        <f aca="false">IF(D1154="","",MAX(0,Z1154-$B$8))</f>
        <v>20.2489863127373</v>
      </c>
      <c r="U1154" s="16" t="n">
        <f aca="false">IF(D1154="","",MAX(0,MIN($B$8,Z1154)))</f>
        <v>162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182.248986312737</v>
      </c>
      <c r="AA1154" s="18" t="n">
        <f aca="false">IF(D1154="","",IF(H1154&lt;=$B$16,1,IF(H1154&gt;=$B$17,$B$21,MATCH(H1154,Aux_CAV!$A$2:$A$121,1))))</f>
        <v>23</v>
      </c>
      <c r="AB1154" s="18" t="n">
        <f aca="false">IF(D1154="","",IF(L1154&lt;=$B$16,1,IF(L1154&gt;=$B$17,$B$21,MATCH(L1154,Aux_CAV!$A$2:$A$121,1))))</f>
        <v>23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6.22522944657357</v>
      </c>
      <c r="E1155" s="16" t="n">
        <f aca="false">IF(D1155="","",D1155*$B$15)</f>
        <v>16.1357947255187</v>
      </c>
      <c r="F1155" s="16" t="n">
        <f aca="false" t="array" ref="F1155:F1155">IF(D1155="","",IFERROR(INDEX(Dados_Evap!$C$2:$N$15,MATCH($B$9,Dados_Evap!$A$2:$A$15,0),C1155),0))</f>
        <v>81.8</v>
      </c>
      <c r="G1155" s="16" t="n">
        <f aca="false">IF(F1155="","",F1155/1000)</f>
        <v>0.0818</v>
      </c>
      <c r="H1155" s="16" t="n">
        <f aca="false">IF(D1155="","",MAX(0,MIN($B$8,IFERROR(LOOKUP(2,1/($U$24:U1154&lt;&gt;""),$U$24:U1154),$B$11))))</f>
        <v>162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15.783</v>
      </c>
      <c r="J1155" s="16" t="n">
        <f aca="false">IF(D1155="","",$B$12)</f>
        <v>0.432</v>
      </c>
      <c r="K1155" s="16" t="n">
        <f aca="false">IF(J1155="","",J1155*$B$15)</f>
        <v>1.119744</v>
      </c>
      <c r="L1155" s="16" t="n">
        <f aca="false">IF(D1155="","",H1155+E1155-K1155-G1155*I1155)</f>
        <v>175.725001325519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16.6038857935644</v>
      </c>
      <c r="N1155" s="16" t="n">
        <f aca="false">IF(D1155="","",(I1155+M1155)/2)</f>
        <v>16.1934428967822</v>
      </c>
      <c r="O1155" s="16" t="n">
        <f aca="false">IF(D1155="","",G1155*N1155)</f>
        <v>1.32462362895678</v>
      </c>
      <c r="P1155" s="16" t="n">
        <f aca="false">IF(D1155="","",H1155+E1155-K1155-O1155)</f>
        <v>175.691427096562</v>
      </c>
      <c r="Q1155" s="16" t="n">
        <f aca="false">IF(D1155="","",IF(P1155&gt;=0,K1155,MAX(0,K1155+P1155)))</f>
        <v>1.119744</v>
      </c>
      <c r="R1155" s="16" t="n">
        <f aca="false">IF(D1155="","",Q1155/$B$15)</f>
        <v>0.432</v>
      </c>
      <c r="S1155" s="16" t="n">
        <f aca="false">IF(D1155="","",MAX(0,J1155-R1155))</f>
        <v>0</v>
      </c>
      <c r="T1155" s="16" t="n">
        <f aca="false">IF(D1155="","",MAX(0,Z1155-$B$8))</f>
        <v>13.6914270965619</v>
      </c>
      <c r="U1155" s="16" t="n">
        <f aca="false">IF(D1155="","",MAX(0,MIN($B$8,Z1155)))</f>
        <v>162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175.691427096562</v>
      </c>
      <c r="AA1155" s="18" t="n">
        <f aca="false">IF(D1155="","",IF(H1155&lt;=$B$16,1,IF(H1155&gt;=$B$17,$B$21,MATCH(H1155,Aux_CAV!$A$2:$A$121,1))))</f>
        <v>23</v>
      </c>
      <c r="AB1155" s="18" t="n">
        <f aca="false">IF(D1155="","",IF(L1155&lt;=$B$16,1,IF(L1155&gt;=$B$17,$B$21,MATCH(L1155,Aux_CAV!$A$2:$A$121,1))))</f>
        <v>23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3.06027602607951</v>
      </c>
      <c r="E1156" s="16" t="n">
        <f aca="false">IF(D1156="","",D1156*$B$15)</f>
        <v>7.93223545959809</v>
      </c>
      <c r="F1156" s="16" t="n">
        <f aca="false" t="array" ref="F1156:F1156">IF(D1156="","",IFERROR(INDEX(Dados_Evap!$C$2:$N$15,MATCH($B$9,Dados_Evap!$A$2:$A$15,0),C1156),0))</f>
        <v>83.6</v>
      </c>
      <c r="G1156" s="16" t="n">
        <f aca="false">IF(F1156="","",F1156/1000)</f>
        <v>0.0836</v>
      </c>
      <c r="H1156" s="16" t="n">
        <f aca="false">IF(D1156="","",MAX(0,MIN($B$8,IFERROR(LOOKUP(2,1/($U$24:U1155&lt;&gt;""),$U$24:U1155),$B$11))))</f>
        <v>162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15.783</v>
      </c>
      <c r="J1156" s="16" t="n">
        <f aca="false">IF(D1156="","",$B$12)</f>
        <v>0.432</v>
      </c>
      <c r="K1156" s="16" t="n">
        <f aca="false">IF(J1156="","",J1156*$B$15)</f>
        <v>1.119744</v>
      </c>
      <c r="L1156" s="16" t="n">
        <f aca="false">IF(D1156="","",H1156+E1156-K1156-G1156*I1156)</f>
        <v>167.493032659598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16.1115356676407</v>
      </c>
      <c r="N1156" s="16" t="n">
        <f aca="false">IF(D1156="","",(I1156+M1156)/2)</f>
        <v>15.9472678338204</v>
      </c>
      <c r="O1156" s="16" t="n">
        <f aca="false">IF(D1156="","",G1156*N1156)</f>
        <v>1.33319159090738</v>
      </c>
      <c r="P1156" s="16" t="n">
        <f aca="false">IF(D1156="","",H1156+E1156-K1156-O1156)</f>
        <v>167.479299868691</v>
      </c>
      <c r="Q1156" s="16" t="n">
        <f aca="false">IF(D1156="","",IF(P1156&gt;=0,K1156,MAX(0,K1156+P1156)))</f>
        <v>1.119744</v>
      </c>
      <c r="R1156" s="16" t="n">
        <f aca="false">IF(D1156="","",Q1156/$B$15)</f>
        <v>0.432</v>
      </c>
      <c r="S1156" s="16" t="n">
        <f aca="false">IF(D1156="","",MAX(0,J1156-R1156))</f>
        <v>0</v>
      </c>
      <c r="T1156" s="16" t="n">
        <f aca="false">IF(D1156="","",MAX(0,Z1156-$B$8))</f>
        <v>5.47929986869073</v>
      </c>
      <c r="U1156" s="16" t="n">
        <f aca="false">IF(D1156="","",MAX(0,MIN($B$8,Z1156)))</f>
        <v>162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167.479299868691</v>
      </c>
      <c r="AA1156" s="18" t="n">
        <f aca="false">IF(D1156="","",IF(H1156&lt;=$B$16,1,IF(H1156&gt;=$B$17,$B$21,MATCH(H1156,Aux_CAV!$A$2:$A$121,1))))</f>
        <v>23</v>
      </c>
      <c r="AB1156" s="18" t="n">
        <f aca="false">IF(D1156="","",IF(L1156&lt;=$B$16,1,IF(L1156&gt;=$B$17,$B$21,MATCH(L1156,Aux_CAV!$A$2:$A$121,1))))</f>
        <v>23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11.1341947257841</v>
      </c>
      <c r="E1157" s="16" t="n">
        <f aca="false">IF(D1157="","",D1157*$B$15)</f>
        <v>28.8598327292324</v>
      </c>
      <c r="F1157" s="16" t="n">
        <f aca="false" t="array" ref="F1157:F1157">IF(D1157="","",IFERROR(INDEX(Dados_Evap!$C$2:$N$15,MATCH($B$9,Dados_Evap!$A$2:$A$15,0),C1157),0))</f>
        <v>108.2</v>
      </c>
      <c r="G1157" s="16" t="n">
        <f aca="false">IF(F1157="","",F1157/1000)</f>
        <v>0.1082</v>
      </c>
      <c r="H1157" s="16" t="n">
        <f aca="false">IF(D1157="","",MAX(0,MIN($B$8,IFERROR(LOOKUP(2,1/($U$24:U1156&lt;&gt;""),$U$24:U1156),$B$11))))</f>
        <v>162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15.783</v>
      </c>
      <c r="J1157" s="16" t="n">
        <f aca="false">IF(D1157="","",$B$12)</f>
        <v>0.432</v>
      </c>
      <c r="K1157" s="16" t="n">
        <f aca="false">IF(J1157="","",J1157*$B$15)</f>
        <v>1.119744</v>
      </c>
      <c r="L1157" s="16" t="n">
        <f aca="false">IF(D1157="","",H1157+E1157-K1157-G1157*I1157)</f>
        <v>188.032368129232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17.3399835414436</v>
      </c>
      <c r="N1157" s="16" t="n">
        <f aca="false">IF(D1157="","",(I1157+M1157)/2)</f>
        <v>16.5614917707218</v>
      </c>
      <c r="O1157" s="16" t="n">
        <f aca="false">IF(D1157="","",G1157*N1157)</f>
        <v>1.7919534095921</v>
      </c>
      <c r="P1157" s="16" t="n">
        <f aca="false">IF(D1157="","",H1157+E1157-K1157-O1157)</f>
        <v>187.94813531964</v>
      </c>
      <c r="Q1157" s="16" t="n">
        <f aca="false">IF(D1157="","",IF(P1157&gt;=0,K1157,MAX(0,K1157+P1157)))</f>
        <v>1.119744</v>
      </c>
      <c r="R1157" s="16" t="n">
        <f aca="false">IF(D1157="","",Q1157/$B$15)</f>
        <v>0.432</v>
      </c>
      <c r="S1157" s="16" t="n">
        <f aca="false">IF(D1157="","",MAX(0,J1157-R1157))</f>
        <v>0</v>
      </c>
      <c r="T1157" s="16" t="n">
        <f aca="false">IF(D1157="","",MAX(0,Z1157-$B$8))</f>
        <v>25.9481353196403</v>
      </c>
      <c r="U1157" s="16" t="n">
        <f aca="false">IF(D1157="","",MAX(0,MIN($B$8,Z1157)))</f>
        <v>162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187.94813531964</v>
      </c>
      <c r="AA1157" s="18" t="n">
        <f aca="false">IF(D1157="","",IF(H1157&lt;=$B$16,1,IF(H1157&gt;=$B$17,$B$21,MATCH(H1157,Aux_CAV!$A$2:$A$121,1))))</f>
        <v>23</v>
      </c>
      <c r="AB1157" s="18" t="n">
        <f aca="false">IF(D1157="","",IF(L1157&lt;=$B$16,1,IF(L1157&gt;=$B$17,$B$21,MATCH(L1157,Aux_CAV!$A$2:$A$121,1))))</f>
        <v>23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3.48860996966626</v>
      </c>
      <c r="E1158" s="16" t="n">
        <f aca="false">IF(D1158="","",D1158*$B$15)</f>
        <v>9.04247704137495</v>
      </c>
      <c r="F1158" s="16" t="n">
        <f aca="false" t="array" ref="F1158:F1158">IF(D1158="","",IFERROR(INDEX(Dados_Evap!$C$2:$N$15,MATCH($B$9,Dados_Evap!$A$2:$A$15,0),C1158),0))</f>
        <v>149</v>
      </c>
      <c r="G1158" s="16" t="n">
        <f aca="false">IF(F1158="","",F1158/1000)</f>
        <v>0.149</v>
      </c>
      <c r="H1158" s="16" t="n">
        <f aca="false">IF(D1158="","",MAX(0,MIN($B$8,IFERROR(LOOKUP(2,1/($U$24:U1157&lt;&gt;""),$U$24:U1157),$B$11))))</f>
        <v>162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15.783</v>
      </c>
      <c r="J1158" s="16" t="n">
        <f aca="false">IF(D1158="","",$B$12)</f>
        <v>0.432</v>
      </c>
      <c r="K1158" s="16" t="n">
        <f aca="false">IF(J1158="","",J1158*$B$15)</f>
        <v>1.119744</v>
      </c>
      <c r="L1158" s="16" t="n">
        <f aca="false">IF(D1158="","",H1158+E1158-K1158-G1158*I1158)</f>
        <v>167.571066041375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16.116202807046</v>
      </c>
      <c r="N1158" s="16" t="n">
        <f aca="false">IF(D1158="","",(I1158+M1158)/2)</f>
        <v>15.949601403523</v>
      </c>
      <c r="O1158" s="16" t="n">
        <f aca="false">IF(D1158="","",G1158*N1158)</f>
        <v>2.37649060912493</v>
      </c>
      <c r="P1158" s="16" t="n">
        <f aca="false">IF(D1158="","",H1158+E1158-K1158-O1158)</f>
        <v>167.54624243225</v>
      </c>
      <c r="Q1158" s="16" t="n">
        <f aca="false">IF(D1158="","",IF(P1158&gt;=0,K1158,MAX(0,K1158+P1158)))</f>
        <v>1.119744</v>
      </c>
      <c r="R1158" s="16" t="n">
        <f aca="false">IF(D1158="","",Q1158/$B$15)</f>
        <v>0.432</v>
      </c>
      <c r="S1158" s="16" t="n">
        <f aca="false">IF(D1158="","",MAX(0,J1158-R1158))</f>
        <v>0</v>
      </c>
      <c r="T1158" s="16" t="n">
        <f aca="false">IF(D1158="","",MAX(0,Z1158-$B$8))</f>
        <v>5.54624243225001</v>
      </c>
      <c r="U1158" s="16" t="n">
        <f aca="false">IF(D1158="","",MAX(0,MIN($B$8,Z1158)))</f>
        <v>162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100</v>
      </c>
      <c r="Z1158" s="18" t="n">
        <f aca="false">IF(D1158="","",MAX(0,IF(P1158&gt;=0,P1158,IF(K1158+P1158&gt;=0,0,P1158+K1158))))</f>
        <v>167.54624243225</v>
      </c>
      <c r="AA1158" s="18" t="n">
        <f aca="false">IF(D1158="","",IF(H1158&lt;=$B$16,1,IF(H1158&gt;=$B$17,$B$21,MATCH(H1158,Aux_CAV!$A$2:$A$121,1))))</f>
        <v>23</v>
      </c>
      <c r="AB1158" s="18" t="n">
        <f aca="false">IF(D1158="","",IF(L1158&lt;=$B$16,1,IF(L1158&gt;=$B$17,$B$21,MATCH(L1158,Aux_CAV!$A$2:$A$121,1))))</f>
        <v>23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0.82398314163685</v>
      </c>
      <c r="E1159" s="16" t="n">
        <f aca="false">IF(D1159="","",D1159*$B$15)</f>
        <v>2.13576430312272</v>
      </c>
      <c r="F1159" s="16" t="n">
        <f aca="false" t="array" ref="F1159:F1159">IF(D1159="","",IFERROR(INDEX(Dados_Evap!$C$2:$N$15,MATCH($B$9,Dados_Evap!$A$2:$A$15,0),C1159),0))</f>
        <v>206.8</v>
      </c>
      <c r="G1159" s="16" t="n">
        <f aca="false">IF(F1159="","",F1159/1000)</f>
        <v>0.2068</v>
      </c>
      <c r="H1159" s="16" t="n">
        <f aca="false">IF(D1159="","",MAX(0,MIN($B$8,IFERROR(LOOKUP(2,1/($U$24:U1158&lt;&gt;""),$U$24:U1158),$B$11))))</f>
        <v>162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15.783</v>
      </c>
      <c r="J1159" s="16" t="n">
        <f aca="false">IF(D1159="","",$B$12)</f>
        <v>0.432</v>
      </c>
      <c r="K1159" s="16" t="n">
        <f aca="false">IF(J1159="","",J1159*$B$15)</f>
        <v>1.119744</v>
      </c>
      <c r="L1159" s="16" t="n">
        <f aca="false">IF(D1159="","",H1159+E1159-K1159-G1159*I1159)</f>
        <v>159.752095903123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15.6193373736625</v>
      </c>
      <c r="N1159" s="16" t="n">
        <f aca="false">IF(D1159="","",(I1159+M1159)/2)</f>
        <v>15.7011686868313</v>
      </c>
      <c r="O1159" s="16" t="n">
        <f aca="false">IF(D1159="","",G1159*N1159)</f>
        <v>3.24700168443671</v>
      </c>
      <c r="P1159" s="16" t="n">
        <f aca="false">IF(D1159="","",H1159+E1159-K1159-O1159)</f>
        <v>159.769018618686</v>
      </c>
      <c r="Q1159" s="16" t="n">
        <f aca="false">IF(D1159="","",IF(P1159&gt;=0,K1159,MAX(0,K1159+P1159)))</f>
        <v>1.119744</v>
      </c>
      <c r="R1159" s="16" t="n">
        <f aca="false">IF(D1159="","",Q1159/$B$15)</f>
        <v>0.432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159.769018618686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98.6228509991889</v>
      </c>
      <c r="Z1159" s="18" t="n">
        <f aca="false">IF(D1159="","",MAX(0,IF(P1159&gt;=0,P1159,IF(K1159+P1159&gt;=0,0,P1159+K1159))))</f>
        <v>159.769018618686</v>
      </c>
      <c r="AA1159" s="18" t="n">
        <f aca="false">IF(D1159="","",IF(H1159&lt;=$B$16,1,IF(H1159&gt;=$B$17,$B$21,MATCH(H1159,Aux_CAV!$A$2:$A$121,1))))</f>
        <v>23</v>
      </c>
      <c r="AB1159" s="18" t="n">
        <f aca="false">IF(D1159="","",IF(L1159&lt;=$B$16,1,IF(L1159&gt;=$B$17,$B$21,MATCH(L1159,Aux_CAV!$A$2:$A$121,1))))</f>
        <v>22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0.710073967860073</v>
      </c>
      <c r="E1160" s="16" t="n">
        <f aca="false">IF(D1160="","",D1160*$B$15)</f>
        <v>1.84051172469331</v>
      </c>
      <c r="F1160" s="16" t="n">
        <f aca="false" t="array" ref="F1160:F1160">IF(D1160="","",IFERROR(INDEX(Dados_Evap!$C$2:$N$15,MATCH($B$9,Dados_Evap!$A$2:$A$15,0),C1160),0))</f>
        <v>245.9</v>
      </c>
      <c r="G1160" s="16" t="n">
        <f aca="false">IF(F1160="","",F1160/1000)</f>
        <v>0.2459</v>
      </c>
      <c r="H1160" s="16" t="n">
        <f aca="false">IF(D1160="","",MAX(0,MIN($B$8,IFERROR(LOOKUP(2,1/($U$24:U1159&lt;&gt;""),$U$24:U1159),$B$11))))</f>
        <v>159.769018618686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15.6205694618453</v>
      </c>
      <c r="J1160" s="16" t="n">
        <f aca="false">IF(D1160="","",$B$12)</f>
        <v>0.432</v>
      </c>
      <c r="K1160" s="16" t="n">
        <f aca="false">IF(J1160="","",J1160*$B$15)</f>
        <v>1.119744</v>
      </c>
      <c r="L1160" s="16" t="n">
        <f aca="false">IF(D1160="","",H1160+E1160-K1160-G1160*I1160)</f>
        <v>156.648688312712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15.3933883051289</v>
      </c>
      <c r="N1160" s="16" t="n">
        <f aca="false">IF(D1160="","",(I1160+M1160)/2)</f>
        <v>15.5069788834871</v>
      </c>
      <c r="O1160" s="16" t="n">
        <f aca="false">IF(D1160="","",G1160*N1160)</f>
        <v>3.81316610744948</v>
      </c>
      <c r="P1160" s="16" t="n">
        <f aca="false">IF(D1160="","",H1160+E1160-K1160-O1160)</f>
        <v>156.67662023593</v>
      </c>
      <c r="Q1160" s="16" t="n">
        <f aca="false">IF(D1160="","",IF(P1160&gt;=0,K1160,MAX(0,K1160+P1160)))</f>
        <v>1.119744</v>
      </c>
      <c r="R1160" s="16" t="n">
        <f aca="false">IF(D1160="","",Q1160/$B$15)</f>
        <v>0.432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156.67662023593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96.7139631085987</v>
      </c>
      <c r="Z1160" s="18" t="n">
        <f aca="false">IF(D1160="","",MAX(0,IF(P1160&gt;=0,P1160,IF(K1160+P1160&gt;=0,0,P1160+K1160))))</f>
        <v>156.67662023593</v>
      </c>
      <c r="AA1160" s="18" t="n">
        <f aca="false">IF(D1160="","",IF(H1160&lt;=$B$16,1,IF(H1160&gt;=$B$17,$B$21,MATCH(H1160,Aux_CAV!$A$2:$A$121,1))))</f>
        <v>22</v>
      </c>
      <c r="AB1160" s="18" t="n">
        <f aca="false">IF(D1160="","",IF(L1160&lt;=$B$16,1,IF(L1160&gt;=$B$17,$B$21,MATCH(L1160,Aux_CAV!$A$2:$A$121,1))))</f>
        <v>22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0.595639041837417</v>
      </c>
      <c r="E1161" s="16" t="n">
        <f aca="false">IF(D1161="","",D1161*$B$15)</f>
        <v>1.54389639644259</v>
      </c>
      <c r="F1161" s="16" t="n">
        <f aca="false" t="array" ref="F1161:F1161">IF(D1161="","",IFERROR(INDEX(Dados_Evap!$C$2:$N$15,MATCH($B$9,Dados_Evap!$A$2:$A$15,0),C1161),0))</f>
        <v>282.3</v>
      </c>
      <c r="G1161" s="16" t="n">
        <f aca="false">IF(F1161="","",F1161/1000)</f>
        <v>0.2823</v>
      </c>
      <c r="H1161" s="16" t="n">
        <f aca="false">IF(D1161="","",MAX(0,MIN($B$8,IFERROR(LOOKUP(2,1/($U$24:U1160&lt;&gt;""),$U$24:U1160),$B$11))))</f>
        <v>156.67662023593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15.3954219381113</v>
      </c>
      <c r="J1161" s="16" t="n">
        <f aca="false">IF(D1161="","",$B$12)</f>
        <v>0.432</v>
      </c>
      <c r="K1161" s="16" t="n">
        <f aca="false">IF(J1161="","",J1161*$B$15)</f>
        <v>1.119744</v>
      </c>
      <c r="L1161" s="16" t="n">
        <f aca="false">IF(D1161="","",H1161+E1161-K1161-G1161*I1161)</f>
        <v>152.754645019244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15.1098756084057</v>
      </c>
      <c r="N1161" s="16" t="n">
        <f aca="false">IF(D1161="","",(I1161+M1161)/2)</f>
        <v>15.2526487732585</v>
      </c>
      <c r="O1161" s="16" t="n">
        <f aca="false">IF(D1161="","",G1161*N1161)</f>
        <v>4.30582274869087</v>
      </c>
      <c r="P1161" s="16" t="n">
        <f aca="false">IF(D1161="","",H1161+E1161-K1161-O1161)</f>
        <v>152.794949883682</v>
      </c>
      <c r="Q1161" s="16" t="n">
        <f aca="false">IF(D1161="","",IF(P1161&gt;=0,K1161,MAX(0,K1161+P1161)))</f>
        <v>1.119744</v>
      </c>
      <c r="R1161" s="16" t="n">
        <f aca="false">IF(D1161="","",Q1161/$B$15)</f>
        <v>0.432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152.794949883682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94.3178702985689</v>
      </c>
      <c r="Z1161" s="18" t="n">
        <f aca="false">IF(D1161="","",MAX(0,IF(P1161&gt;=0,P1161,IF(K1161+P1161&gt;=0,0,P1161+K1161))))</f>
        <v>152.794949883682</v>
      </c>
      <c r="AA1161" s="18" t="n">
        <f aca="false">IF(D1161="","",IF(H1161&lt;=$B$16,1,IF(H1161&gt;=$B$17,$B$21,MATCH(H1161,Aux_CAV!$A$2:$A$121,1))))</f>
        <v>22</v>
      </c>
      <c r="AB1161" s="18" t="n">
        <f aca="false">IF(D1161="","",IF(L1161&lt;=$B$16,1,IF(L1161&gt;=$B$17,$B$21,MATCH(L1161,Aux_CAV!$A$2:$A$121,1))))</f>
        <v>22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0.516093959228628</v>
      </c>
      <c r="E1162" s="16" t="n">
        <f aca="false">IF(D1162="","",D1162*$B$15)</f>
        <v>1.3377155423206</v>
      </c>
      <c r="F1162" s="16" t="n">
        <f aca="false" t="array" ref="F1162:F1162">IF(D1162="","",IFERROR(INDEX(Dados_Evap!$C$2:$N$15,MATCH($B$9,Dados_Evap!$A$2:$A$15,0),C1162),0))</f>
        <v>241.3</v>
      </c>
      <c r="G1162" s="16" t="n">
        <f aca="false">IF(F1162="","",F1162/1000)</f>
        <v>0.2413</v>
      </c>
      <c r="H1162" s="16" t="n">
        <f aca="false">IF(D1162="","",MAX(0,MIN($B$8,IFERROR(LOOKUP(2,1/($U$24:U1161&lt;&gt;""),$U$24:U1161),$B$11))))</f>
        <v>152.794949883682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15.1128100752174</v>
      </c>
      <c r="J1162" s="16" t="n">
        <f aca="false">IF(D1162="","",$B$12)</f>
        <v>0.432</v>
      </c>
      <c r="K1162" s="16" t="n">
        <f aca="false">IF(J1162="","",J1162*$B$15)</f>
        <v>1.119744</v>
      </c>
      <c r="L1162" s="16" t="n">
        <f aca="false">IF(D1162="","",H1162+E1162-K1162-G1162*I1162)</f>
        <v>149.366200354852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14.863173912482</v>
      </c>
      <c r="N1162" s="16" t="n">
        <f aca="false">IF(D1162="","",(I1162+M1162)/2)</f>
        <v>14.9879919938497</v>
      </c>
      <c r="O1162" s="16" t="n">
        <f aca="false">IF(D1162="","",G1162*N1162)</f>
        <v>3.61660246811593</v>
      </c>
      <c r="P1162" s="16" t="n">
        <f aca="false">IF(D1162="","",H1162+E1162-K1162-O1162)</f>
        <v>149.396318957886</v>
      </c>
      <c r="Q1162" s="16" t="n">
        <f aca="false">IF(D1162="","",IF(P1162&gt;=0,K1162,MAX(0,K1162+P1162)))</f>
        <v>1.119744</v>
      </c>
      <c r="R1162" s="16" t="n">
        <f aca="false">IF(D1162="","",Q1162/$B$15)</f>
        <v>0.432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149.396318957886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92.2199499740039</v>
      </c>
      <c r="Z1162" s="18" t="n">
        <f aca="false">IF(D1162="","",MAX(0,IF(P1162&gt;=0,P1162,IF(K1162+P1162&gt;=0,0,P1162+K1162))))</f>
        <v>149.396318957886</v>
      </c>
      <c r="AA1162" s="18" t="n">
        <f aca="false">IF(D1162="","",IF(H1162&lt;=$B$16,1,IF(H1162&gt;=$B$17,$B$21,MATCH(H1162,Aux_CAV!$A$2:$A$121,1))))</f>
        <v>22</v>
      </c>
      <c r="AB1162" s="18" t="n">
        <f aca="false">IF(D1162="","",IF(L1162&lt;=$B$16,1,IF(L1162&gt;=$B$17,$B$21,MATCH(L1162,Aux_CAV!$A$2:$A$121,1))))</f>
        <v>22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0.465428137891574</v>
      </c>
      <c r="E1163" s="16" t="n">
        <f aca="false">IF(D1163="","",D1163*$B$15)</f>
        <v>1.20638973341496</v>
      </c>
      <c r="F1163" s="16" t="n">
        <f aca="false" t="array" ref="F1163:F1163">IF(D1163="","",IFERROR(INDEX(Dados_Evap!$C$2:$N$15,MATCH($B$9,Dados_Evap!$A$2:$A$15,0),C1163),0))</f>
        <v>241.8</v>
      </c>
      <c r="G1163" s="16" t="n">
        <f aca="false">IF(F1163="","",F1163/1000)</f>
        <v>0.2418</v>
      </c>
      <c r="H1163" s="16" t="n">
        <f aca="false">IF(D1163="","",MAX(0,MIN($B$8,IFERROR(LOOKUP(2,1/($U$24:U1162&lt;&gt;""),$U$24:U1162),$B$11))))</f>
        <v>149.396318957886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14.8653667505488</v>
      </c>
      <c r="J1163" s="16" t="n">
        <f aca="false">IF(D1163="","",$B$12)</f>
        <v>0.432</v>
      </c>
      <c r="K1163" s="16" t="n">
        <f aca="false">IF(J1163="","",J1163*$B$15)</f>
        <v>1.119744</v>
      </c>
      <c r="L1163" s="16" t="n">
        <f aca="false">IF(D1163="","",H1163+E1163-K1163-G1163*I1163)</f>
        <v>145.888519011019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14.6099751825685</v>
      </c>
      <c r="N1163" s="16" t="n">
        <f aca="false">IF(D1163="","",(I1163+M1163)/2)</f>
        <v>14.7376709665587</v>
      </c>
      <c r="O1163" s="16" t="n">
        <f aca="false">IF(D1163="","",G1163*N1163)</f>
        <v>3.56356883971389</v>
      </c>
      <c r="P1163" s="16" t="n">
        <f aca="false">IF(D1163="","",H1163+E1163-K1163-O1163)</f>
        <v>145.919395851587</v>
      </c>
      <c r="Q1163" s="16" t="n">
        <f aca="false">IF(D1163="","",IF(P1163&gt;=0,K1163,MAX(0,K1163+P1163)))</f>
        <v>1.119744</v>
      </c>
      <c r="R1163" s="16" t="n">
        <f aca="false">IF(D1163="","",Q1163/$B$15)</f>
        <v>0.432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145.919395851587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90.0737011429551</v>
      </c>
      <c r="Z1163" s="18" t="n">
        <f aca="false">IF(D1163="","",MAX(0,IF(P1163&gt;=0,P1163,IF(K1163+P1163&gt;=0,0,P1163+K1163))))</f>
        <v>145.919395851587</v>
      </c>
      <c r="AA1163" s="18" t="n">
        <f aca="false">IF(D1163="","",IF(H1163&lt;=$B$16,1,IF(H1163&gt;=$B$17,$B$21,MATCH(H1163,Aux_CAV!$A$2:$A$121,1))))</f>
        <v>22</v>
      </c>
      <c r="AB1163" s="18" t="n">
        <f aca="false">IF(D1163="","",IF(L1163&lt;=$B$16,1,IF(L1163&gt;=$B$17,$B$21,MATCH(L1163,Aux_CAV!$A$2:$A$121,1))))</f>
        <v>22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0.506275996516127</v>
      </c>
      <c r="E1164" s="16" t="n">
        <f aca="false">IF(D1164="","",D1164*$B$15)</f>
        <v>1.3122673829698</v>
      </c>
      <c r="F1164" s="16" t="n">
        <f aca="false" t="array" ref="F1164:F1164">IF(D1164="","",IFERROR(INDEX(Dados_Evap!$C$2:$N$15,MATCH($B$9,Dados_Evap!$A$2:$A$15,0),C1164),0))</f>
        <v>189</v>
      </c>
      <c r="G1164" s="16" t="n">
        <f aca="false">IF(F1164="","",F1164/1000)</f>
        <v>0.189</v>
      </c>
      <c r="H1164" s="16" t="n">
        <f aca="false">IF(D1164="","",MAX(0,MIN($B$8,IFERROR(LOOKUP(2,1/($U$24:U1163&lt;&gt;""),$U$24:U1163),$B$11))))</f>
        <v>145.919395851587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14.6122232254577</v>
      </c>
      <c r="J1164" s="16" t="n">
        <f aca="false">IF(D1164="","",$B$12)</f>
        <v>0.432</v>
      </c>
      <c r="K1164" s="16" t="n">
        <f aca="false">IF(J1164="","",J1164*$B$15)</f>
        <v>1.119744</v>
      </c>
      <c r="L1164" s="16" t="n">
        <f aca="false">IF(D1164="","",H1164+E1164-K1164-G1164*I1164)</f>
        <v>143.350209044946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14.425169044227</v>
      </c>
      <c r="N1164" s="16" t="n">
        <f aca="false">IF(D1164="","",(I1164+M1164)/2)</f>
        <v>14.5186961348423</v>
      </c>
      <c r="O1164" s="16" t="n">
        <f aca="false">IF(D1164="","",G1164*N1164)</f>
        <v>2.7440335694852</v>
      </c>
      <c r="P1164" s="16" t="n">
        <f aca="false">IF(D1164="","",H1164+E1164-K1164-O1164)</f>
        <v>143.367885665072</v>
      </c>
      <c r="Q1164" s="16" t="n">
        <f aca="false">IF(D1164="","",IF(P1164&gt;=0,K1164,MAX(0,K1164+P1164)))</f>
        <v>1.119744</v>
      </c>
      <c r="R1164" s="16" t="n">
        <f aca="false">IF(D1164="","",Q1164/$B$15)</f>
        <v>0.432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143.367885665072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88.4986948549827</v>
      </c>
      <c r="Z1164" s="18" t="n">
        <f aca="false">IF(D1164="","",MAX(0,IF(P1164&gt;=0,P1164,IF(K1164+P1164&gt;=0,0,P1164+K1164))))</f>
        <v>143.367885665072</v>
      </c>
      <c r="AA1164" s="18" t="n">
        <f aca="false">IF(D1164="","",IF(H1164&lt;=$B$16,1,IF(H1164&gt;=$B$17,$B$21,MATCH(H1164,Aux_CAV!$A$2:$A$121,1))))</f>
        <v>22</v>
      </c>
      <c r="AB1164" s="18" t="n">
        <f aca="false">IF(D1164="","",IF(L1164&lt;=$B$16,1,IF(L1164&gt;=$B$17,$B$21,MATCH(L1164,Aux_CAV!$A$2:$A$121,1))))</f>
        <v>22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0.600932411610332</v>
      </c>
      <c r="E1165" s="16" t="n">
        <f aca="false">IF(D1165="","",D1165*$B$15)</f>
        <v>1.55761681089398</v>
      </c>
      <c r="F1165" s="16" t="n">
        <f aca="false" t="array" ref="F1165:F1165">IF(D1165="","",IFERROR(INDEX(Dados_Evap!$C$2:$N$15,MATCH($B$9,Dados_Evap!$A$2:$A$15,0),C1165),0))</f>
        <v>136.9</v>
      </c>
      <c r="G1165" s="16" t="n">
        <f aca="false">IF(F1165="","",F1165/1000)</f>
        <v>0.1369</v>
      </c>
      <c r="H1165" s="16" t="n">
        <f aca="false">IF(D1165="","",MAX(0,MIN($B$8,IFERROR(LOOKUP(2,1/($U$24:U1164&lt;&gt;""),$U$24:U1164),$B$11))))</f>
        <v>143.367885665072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14.4264560217625</v>
      </c>
      <c r="J1165" s="16" t="n">
        <f aca="false">IF(D1165="","",$B$12)</f>
        <v>0.432</v>
      </c>
      <c r="K1165" s="16" t="n">
        <f aca="false">IF(J1165="","",J1165*$B$15)</f>
        <v>1.119744</v>
      </c>
      <c r="L1165" s="16" t="n">
        <f aca="false">IF(D1165="","",H1165+E1165-K1165-G1165*I1165)</f>
        <v>141.830776646587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14.3145440859811</v>
      </c>
      <c r="N1165" s="16" t="n">
        <f aca="false">IF(D1165="","",(I1165+M1165)/2)</f>
        <v>14.3705000538718</v>
      </c>
      <c r="O1165" s="16" t="n">
        <f aca="false">IF(D1165="","",G1165*N1165)</f>
        <v>1.96732145737505</v>
      </c>
      <c r="P1165" s="16" t="n">
        <f aca="false">IF(D1165="","",H1165+E1165-K1165-O1165)</f>
        <v>141.838437018591</v>
      </c>
      <c r="Q1165" s="16" t="n">
        <f aca="false">IF(D1165="","",IF(P1165&gt;=0,K1165,MAX(0,K1165+P1165)))</f>
        <v>1.119744</v>
      </c>
      <c r="R1165" s="16" t="n">
        <f aca="false">IF(D1165="","",Q1165/$B$15)</f>
        <v>0.432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141.838437018591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87.5545907522166</v>
      </c>
      <c r="Z1165" s="18" t="n">
        <f aca="false">IF(D1165="","",MAX(0,IF(P1165&gt;=0,P1165,IF(K1165+P1165&gt;=0,0,P1165+K1165))))</f>
        <v>141.838437018591</v>
      </c>
      <c r="AA1165" s="18" t="n">
        <f aca="false">IF(D1165="","",IF(H1165&lt;=$B$16,1,IF(H1165&gt;=$B$17,$B$21,MATCH(H1165,Aux_CAV!$A$2:$A$121,1))))</f>
        <v>22</v>
      </c>
      <c r="AB1165" s="18" t="n">
        <f aca="false">IF(D1165="","",IF(L1165&lt;=$B$16,1,IF(L1165&gt;=$B$17,$B$21,MATCH(L1165,Aux_CAV!$A$2:$A$121,1))))</f>
        <v>22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1.09070246591163</v>
      </c>
      <c r="E1166" s="16" t="n">
        <f aca="false">IF(D1166="","",D1166*$B$15)</f>
        <v>2.82710079164295</v>
      </c>
      <c r="F1166" s="16" t="n">
        <f aca="false" t="array" ref="F1166:F1166">IF(D1166="","",IFERROR(INDEX(Dados_Evap!$C$2:$N$15,MATCH($B$9,Dados_Evap!$A$2:$A$15,0),C1166),0))</f>
        <v>102.9</v>
      </c>
      <c r="G1166" s="16" t="n">
        <f aca="false">IF(F1166="","",F1166/1000)</f>
        <v>0.1029</v>
      </c>
      <c r="H1166" s="16" t="n">
        <f aca="false">IF(D1166="","",MAX(0,MIN($B$8,IFERROR(LOOKUP(2,1/($U$24:U1165&lt;&gt;""),$U$24:U1165),$B$11))))</f>
        <v>141.838437018591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14.3151018128889</v>
      </c>
      <c r="J1166" s="16" t="n">
        <f aca="false">IF(D1166="","",$B$12)</f>
        <v>0.432</v>
      </c>
      <c r="K1166" s="16" t="n">
        <f aca="false">IF(J1166="","",J1166*$B$15)</f>
        <v>1.119744</v>
      </c>
      <c r="L1166" s="16" t="n">
        <f aca="false">IF(D1166="","",H1166+E1166-K1166-G1166*I1166)</f>
        <v>142.072769833688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14.3321628271951</v>
      </c>
      <c r="N1166" s="16" t="n">
        <f aca="false">IF(D1166="","",(I1166+M1166)/2)</f>
        <v>14.323632320042</v>
      </c>
      <c r="O1166" s="16" t="n">
        <f aca="false">IF(D1166="","",G1166*N1166)</f>
        <v>1.47390176573232</v>
      </c>
      <c r="P1166" s="16" t="n">
        <f aca="false">IF(D1166="","",H1166+E1166-K1166-O1166)</f>
        <v>142.071892044501</v>
      </c>
      <c r="Q1166" s="16" t="n">
        <f aca="false">IF(D1166="","",IF(P1166&gt;=0,K1166,MAX(0,K1166+P1166)))</f>
        <v>1.119744</v>
      </c>
      <c r="R1166" s="16" t="n">
        <f aca="false">IF(D1166="","",Q1166/$B$15)</f>
        <v>0.432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142.071892044501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87.6986987929022</v>
      </c>
      <c r="Z1166" s="18" t="n">
        <f aca="false">IF(D1166="","",MAX(0,IF(P1166&gt;=0,P1166,IF(K1166+P1166&gt;=0,0,P1166+K1166))))</f>
        <v>142.071892044501</v>
      </c>
      <c r="AA1166" s="18" t="n">
        <f aca="false">IF(D1166="","",IF(H1166&lt;=$B$16,1,IF(H1166&gt;=$B$17,$B$21,MATCH(H1166,Aux_CAV!$A$2:$A$121,1))))</f>
        <v>22</v>
      </c>
      <c r="AB1166" s="18" t="n">
        <f aca="false">IF(D1166="","",IF(L1166&lt;=$B$16,1,IF(L1166&gt;=$B$17,$B$21,MATCH(L1166,Aux_CAV!$A$2:$A$121,1))))</f>
        <v>22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2.71135750291292</v>
      </c>
      <c r="E1167" s="16" t="n">
        <f aca="false">IF(D1167="","",D1167*$B$15)</f>
        <v>7.02783864755029</v>
      </c>
      <c r="F1167" s="16" t="n">
        <f aca="false" t="array" ref="F1167:F1167">IF(D1167="","",IFERROR(INDEX(Dados_Evap!$C$2:$N$15,MATCH($B$9,Dados_Evap!$A$2:$A$15,0),C1167),0))</f>
        <v>81.8</v>
      </c>
      <c r="G1167" s="16" t="n">
        <f aca="false">IF(F1167="","",F1167/1000)</f>
        <v>0.0818</v>
      </c>
      <c r="H1167" s="16" t="n">
        <f aca="false">IF(D1167="","",MAX(0,MIN($B$8,IFERROR(LOOKUP(2,1/($U$24:U1166&lt;&gt;""),$U$24:U1166),$B$11))))</f>
        <v>142.071892044501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14.3320989182037</v>
      </c>
      <c r="J1167" s="16" t="n">
        <f aca="false">IF(D1167="","",$B$12)</f>
        <v>0.432</v>
      </c>
      <c r="K1167" s="16" t="n">
        <f aca="false">IF(J1167="","",J1167*$B$15)</f>
        <v>1.119744</v>
      </c>
      <c r="L1167" s="16" t="n">
        <f aca="false">IF(D1167="","",H1167+E1167-K1167-G1167*I1167)</f>
        <v>146.807621000543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14.6768920255453</v>
      </c>
      <c r="N1167" s="16" t="n">
        <f aca="false">IF(D1167="","",(I1167+M1167)/2)</f>
        <v>14.5044954718745</v>
      </c>
      <c r="O1167" s="16" t="n">
        <f aca="false">IF(D1167="","",G1167*N1167)</f>
        <v>1.18646772959933</v>
      </c>
      <c r="P1167" s="16" t="n">
        <f aca="false">IF(D1167="","",H1167+E1167-K1167-O1167)</f>
        <v>146.793518962452</v>
      </c>
      <c r="Q1167" s="16" t="n">
        <f aca="false">IF(D1167="","",IF(P1167&gt;=0,K1167,MAX(0,K1167+P1167)))</f>
        <v>1.119744</v>
      </c>
      <c r="R1167" s="16" t="n">
        <f aca="false">IF(D1167="","",Q1167/$B$15)</f>
        <v>0.432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146.793518962452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90.6132833101558</v>
      </c>
      <c r="Z1167" s="18" t="n">
        <f aca="false">IF(D1167="","",MAX(0,IF(P1167&gt;=0,P1167,IF(K1167+P1167&gt;=0,0,P1167+K1167))))</f>
        <v>146.793518962452</v>
      </c>
      <c r="AA1167" s="18" t="n">
        <f aca="false">IF(D1167="","",IF(H1167&lt;=$B$16,1,IF(H1167&gt;=$B$17,$B$21,MATCH(H1167,Aux_CAV!$A$2:$A$121,1))))</f>
        <v>22</v>
      </c>
      <c r="AB1167" s="18" t="n">
        <f aca="false">IF(D1167="","",IF(L1167&lt;=$B$16,1,IF(L1167&gt;=$B$17,$B$21,MATCH(L1167,Aux_CAV!$A$2:$A$121,1))))</f>
        <v>22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5.45653416955375</v>
      </c>
      <c r="E1168" s="16" t="n">
        <f aca="false">IF(D1168="","",D1168*$B$15)</f>
        <v>14.1433365674833</v>
      </c>
      <c r="F1168" s="16" t="n">
        <f aca="false" t="array" ref="F1168:F1168">IF(D1168="","",IFERROR(INDEX(Dados_Evap!$C$2:$N$15,MATCH($B$9,Dados_Evap!$A$2:$A$15,0),C1168),0))</f>
        <v>83.6</v>
      </c>
      <c r="G1168" s="16" t="n">
        <f aca="false">IF(F1168="","",F1168/1000)</f>
        <v>0.0836</v>
      </c>
      <c r="H1168" s="16" t="n">
        <f aca="false">IF(D1168="","",MAX(0,MIN($B$8,IFERROR(LOOKUP(2,1/($U$24:U1167&lt;&gt;""),$U$24:U1167),$B$11))))</f>
        <v>146.793518962452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14.6758653017657</v>
      </c>
      <c r="J1168" s="16" t="n">
        <f aca="false">IF(D1168="","",$B$12)</f>
        <v>0.432</v>
      </c>
      <c r="K1168" s="16" t="n">
        <f aca="false">IF(J1168="","",J1168*$B$15)</f>
        <v>1.119744</v>
      </c>
      <c r="L1168" s="16" t="n">
        <f aca="false">IF(D1168="","",H1168+E1168-K1168-G1168*I1168)</f>
        <v>158.590209190708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15.5347441603112</v>
      </c>
      <c r="N1168" s="16" t="n">
        <f aca="false">IF(D1168="","",(I1168+M1168)/2)</f>
        <v>15.1053047310384</v>
      </c>
      <c r="O1168" s="16" t="n">
        <f aca="false">IF(D1168="","",G1168*N1168)</f>
        <v>1.26280347551481</v>
      </c>
      <c r="P1168" s="16" t="n">
        <f aca="false">IF(D1168="","",H1168+E1168-K1168-O1168)</f>
        <v>158.554308054421</v>
      </c>
      <c r="Q1168" s="16" t="n">
        <f aca="false">IF(D1168="","",IF(P1168&gt;=0,K1168,MAX(0,K1168+P1168)))</f>
        <v>1.119744</v>
      </c>
      <c r="R1168" s="16" t="n">
        <f aca="false">IF(D1168="","",Q1168/$B$15)</f>
        <v>0.432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158.554308054421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97.8730296632228</v>
      </c>
      <c r="Z1168" s="18" t="n">
        <f aca="false">IF(D1168="","",MAX(0,IF(P1168&gt;=0,P1168,IF(K1168+P1168&gt;=0,0,P1168+K1168))))</f>
        <v>158.554308054421</v>
      </c>
      <c r="AA1168" s="18" t="n">
        <f aca="false">IF(D1168="","",IF(H1168&lt;=$B$16,1,IF(H1168&gt;=$B$17,$B$21,MATCH(H1168,Aux_CAV!$A$2:$A$121,1))))</f>
        <v>22</v>
      </c>
      <c r="AB1168" s="18" t="n">
        <f aca="false">IF(D1168="","",IF(L1168&lt;=$B$16,1,IF(L1168&gt;=$B$17,$B$21,MATCH(L1168,Aux_CAV!$A$2:$A$121,1))))</f>
        <v>22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6.9154554175554</v>
      </c>
      <c r="E1169" s="16" t="n">
        <f aca="false">IF(D1169="","",D1169*$B$15)</f>
        <v>17.9248604423036</v>
      </c>
      <c r="F1169" s="16" t="n">
        <f aca="false" t="array" ref="F1169:F1169">IF(D1169="","",IFERROR(INDEX(Dados_Evap!$C$2:$N$15,MATCH($B$9,Dados_Evap!$A$2:$A$15,0),C1169),0))</f>
        <v>108.2</v>
      </c>
      <c r="G1169" s="16" t="n">
        <f aca="false">IF(F1169="","",F1169/1000)</f>
        <v>0.1082</v>
      </c>
      <c r="H1169" s="16" t="n">
        <f aca="false">IF(D1169="","",MAX(0,MIN($B$8,IFERROR(LOOKUP(2,1/($U$24:U1168&lt;&gt;""),$U$24:U1168),$B$11))))</f>
        <v>158.554308054421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15.5321303147022</v>
      </c>
      <c r="J1169" s="16" t="n">
        <f aca="false">IF(D1169="","",$B$12)</f>
        <v>0.432</v>
      </c>
      <c r="K1169" s="16" t="n">
        <f aca="false">IF(J1169="","",J1169*$B$15)</f>
        <v>1.119744</v>
      </c>
      <c r="L1169" s="16" t="n">
        <f aca="false">IF(D1169="","",H1169+E1169-K1169-G1169*I1169)</f>
        <v>173.678847996674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16.4815063373249</v>
      </c>
      <c r="N1169" s="16" t="n">
        <f aca="false">IF(D1169="","",(I1169+M1169)/2)</f>
        <v>16.0068183260135</v>
      </c>
      <c r="O1169" s="16" t="n">
        <f aca="false">IF(D1169="","",G1169*N1169)</f>
        <v>1.73193774287466</v>
      </c>
      <c r="P1169" s="16" t="n">
        <f aca="false">IF(D1169="","",H1169+E1169-K1169-O1169)</f>
        <v>173.62748675385</v>
      </c>
      <c r="Q1169" s="16" t="n">
        <f aca="false">IF(D1169="","",IF(P1169&gt;=0,K1169,MAX(0,K1169+P1169)))</f>
        <v>1.119744</v>
      </c>
      <c r="R1169" s="16" t="n">
        <f aca="false">IF(D1169="","",Q1169/$B$15)</f>
        <v>0.432</v>
      </c>
      <c r="S1169" s="16" t="n">
        <f aca="false">IF(D1169="","",MAX(0,J1169-R1169))</f>
        <v>0</v>
      </c>
      <c r="T1169" s="16" t="n">
        <f aca="false">IF(D1169="","",MAX(0,Z1169-$B$8))</f>
        <v>11.6274867538499</v>
      </c>
      <c r="U1169" s="16" t="n">
        <f aca="false">IF(D1169="","",MAX(0,MIN($B$8,Z1169)))</f>
        <v>162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100</v>
      </c>
      <c r="Z1169" s="18" t="n">
        <f aca="false">IF(D1169="","",MAX(0,IF(P1169&gt;=0,P1169,IF(K1169+P1169&gt;=0,0,P1169+K1169))))</f>
        <v>173.62748675385</v>
      </c>
      <c r="AA1169" s="18" t="n">
        <f aca="false">IF(D1169="","",IF(H1169&lt;=$B$16,1,IF(H1169&gt;=$B$17,$B$21,MATCH(H1169,Aux_CAV!$A$2:$A$121,1))))</f>
        <v>22</v>
      </c>
      <c r="AB1169" s="18" t="n">
        <f aca="false">IF(D1169="","",IF(L1169&lt;=$B$16,1,IF(L1169&gt;=$B$17,$B$21,MATCH(L1169,Aux_CAV!$A$2:$A$121,1))))</f>
        <v>23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0.709748929704986</v>
      </c>
      <c r="E1170" s="16" t="n">
        <f aca="false">IF(D1170="","",D1170*$B$15)</f>
        <v>1.83966922579532</v>
      </c>
      <c r="F1170" s="16" t="n">
        <f aca="false" t="array" ref="F1170:F1170">IF(D1170="","",IFERROR(INDEX(Dados_Evap!$C$2:$N$15,MATCH($B$9,Dados_Evap!$A$2:$A$15,0),C1170),0))</f>
        <v>149</v>
      </c>
      <c r="G1170" s="16" t="n">
        <f aca="false">IF(F1170="","",F1170/1000)</f>
        <v>0.149</v>
      </c>
      <c r="H1170" s="16" t="n">
        <f aca="false">IF(D1170="","",MAX(0,MIN($B$8,IFERROR(LOOKUP(2,1/($U$24:U1169&lt;&gt;""),$U$24:U1169),$B$11))))</f>
        <v>162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15.783</v>
      </c>
      <c r="J1170" s="16" t="n">
        <f aca="false">IF(D1170="","",$B$12)</f>
        <v>0.432</v>
      </c>
      <c r="K1170" s="16" t="n">
        <f aca="false">IF(J1170="","",J1170*$B$15)</f>
        <v>1.119744</v>
      </c>
      <c r="L1170" s="16" t="n">
        <f aca="false">IF(D1170="","",H1170+E1170-K1170-G1170*I1170)</f>
        <v>160.368258225795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15.664198159369</v>
      </c>
      <c r="N1170" s="16" t="n">
        <f aca="false">IF(D1170="","",(I1170+M1170)/2)</f>
        <v>15.7235990796845</v>
      </c>
      <c r="O1170" s="16" t="n">
        <f aca="false">IF(D1170="","",G1170*N1170)</f>
        <v>2.34281626287299</v>
      </c>
      <c r="P1170" s="16" t="n">
        <f aca="false">IF(D1170="","",H1170+E1170-K1170-O1170)</f>
        <v>160.377108962922</v>
      </c>
      <c r="Q1170" s="16" t="n">
        <f aca="false">IF(D1170="","",IF(P1170&gt;=0,K1170,MAX(0,K1170+P1170)))</f>
        <v>1.119744</v>
      </c>
      <c r="R1170" s="16" t="n">
        <f aca="false">IF(D1170="","",Q1170/$B$15)</f>
        <v>0.432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160.377108962922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98.9982154092113</v>
      </c>
      <c r="Z1170" s="18" t="n">
        <f aca="false">IF(D1170="","",MAX(0,IF(P1170&gt;=0,P1170,IF(K1170+P1170&gt;=0,0,P1170+K1170))))</f>
        <v>160.377108962922</v>
      </c>
      <c r="AA1170" s="18" t="n">
        <f aca="false">IF(D1170="","",IF(H1170&lt;=$B$16,1,IF(H1170&gt;=$B$17,$B$21,MATCH(H1170,Aux_CAV!$A$2:$A$121,1))))</f>
        <v>23</v>
      </c>
      <c r="AB1170" s="18" t="n">
        <f aca="false">IF(D1170="","",IF(L1170&lt;=$B$16,1,IF(L1170&gt;=$B$17,$B$21,MATCH(L1170,Aux_CAV!$A$2:$A$121,1))))</f>
        <v>22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0.335169037653077</v>
      </c>
      <c r="E1171" s="16" t="n">
        <f aca="false">IF(D1171="","",D1171*$B$15)</f>
        <v>0.868758145596776</v>
      </c>
      <c r="F1171" s="16" t="n">
        <f aca="false" t="array" ref="F1171:F1171">IF(D1171="","",IFERROR(INDEX(Dados_Evap!$C$2:$N$15,MATCH($B$9,Dados_Evap!$A$2:$A$15,0),C1171),0))</f>
        <v>206.8</v>
      </c>
      <c r="G1171" s="16" t="n">
        <f aca="false">IF(F1171="","",F1171/1000)</f>
        <v>0.2068</v>
      </c>
      <c r="H1171" s="16" t="n">
        <f aca="false">IF(D1171="","",MAX(0,MIN($B$8,IFERROR(LOOKUP(2,1/($U$24:U1170&lt;&gt;""),$U$24:U1170),$B$11))))</f>
        <v>160.377108962922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15.6648425529111</v>
      </c>
      <c r="J1171" s="16" t="n">
        <f aca="false">IF(D1171="","",$B$12)</f>
        <v>0.432</v>
      </c>
      <c r="K1171" s="16" t="n">
        <f aca="false">IF(J1171="","",J1171*$B$15)</f>
        <v>1.119744</v>
      </c>
      <c r="L1171" s="16" t="n">
        <f aca="false">IF(D1171="","",H1171+E1171-K1171-G1171*I1171)</f>
        <v>156.886633668577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15.4107123368435</v>
      </c>
      <c r="N1171" s="16" t="n">
        <f aca="false">IF(D1171="","",(I1171+M1171)/2)</f>
        <v>15.5377774448773</v>
      </c>
      <c r="O1171" s="16" t="n">
        <f aca="false">IF(D1171="","",G1171*N1171)</f>
        <v>3.21321237560063</v>
      </c>
      <c r="P1171" s="16" t="n">
        <f aca="false">IF(D1171="","",H1171+E1171-K1171-O1171)</f>
        <v>156.912910732919</v>
      </c>
      <c r="Q1171" s="16" t="n">
        <f aca="false">IF(D1171="","",IF(P1171&gt;=0,K1171,MAX(0,K1171+P1171)))</f>
        <v>1.119744</v>
      </c>
      <c r="R1171" s="16" t="n">
        <f aca="false">IF(D1171="","",Q1171/$B$15)</f>
        <v>0.432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156.912910732919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96.8598214400732</v>
      </c>
      <c r="Z1171" s="18" t="n">
        <f aca="false">IF(D1171="","",MAX(0,IF(P1171&gt;=0,P1171,IF(K1171+P1171&gt;=0,0,P1171+K1171))))</f>
        <v>156.912910732919</v>
      </c>
      <c r="AA1171" s="18" t="n">
        <f aca="false">IF(D1171="","",IF(H1171&lt;=$B$16,1,IF(H1171&gt;=$B$17,$B$21,MATCH(H1171,Aux_CAV!$A$2:$A$121,1))))</f>
        <v>22</v>
      </c>
      <c r="AB1171" s="18" t="n">
        <f aca="false">IF(D1171="","",IF(L1171&lt;=$B$16,1,IF(L1171&gt;=$B$17,$B$21,MATCH(L1171,Aux_CAV!$A$2:$A$121,1))))</f>
        <v>22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0.323054191939529</v>
      </c>
      <c r="E1172" s="16" t="n">
        <f aca="false">IF(D1172="","",D1172*$B$15)</f>
        <v>0.837356465507259</v>
      </c>
      <c r="F1172" s="16" t="n">
        <f aca="false" t="array" ref="F1172:F1172">IF(D1172="","",IFERROR(INDEX(Dados_Evap!$C$2:$N$15,MATCH($B$9,Dados_Evap!$A$2:$A$15,0),C1172),0))</f>
        <v>245.9</v>
      </c>
      <c r="G1172" s="16" t="n">
        <f aca="false">IF(F1172="","",F1172/1000)</f>
        <v>0.2459</v>
      </c>
      <c r="H1172" s="16" t="n">
        <f aca="false">IF(D1172="","",MAX(0,MIN($B$8,IFERROR(LOOKUP(2,1/($U$24:U1171&lt;&gt;""),$U$24:U1171),$B$11))))</f>
        <v>156.912910732919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15.4126254849038</v>
      </c>
      <c r="J1172" s="16" t="n">
        <f aca="false">IF(D1172="","",$B$12)</f>
        <v>0.432</v>
      </c>
      <c r="K1172" s="16" t="n">
        <f aca="false">IF(J1172="","",J1172*$B$15)</f>
        <v>1.119744</v>
      </c>
      <c r="L1172" s="16" t="n">
        <f aca="false">IF(D1172="","",H1172+E1172-K1172-G1172*I1172)</f>
        <v>152.840558591688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15.1161306977237</v>
      </c>
      <c r="N1172" s="16" t="n">
        <f aca="false">IF(D1172="","",(I1172+M1172)/2)</f>
        <v>15.2643780913138</v>
      </c>
      <c r="O1172" s="16" t="n">
        <f aca="false">IF(D1172="","",G1172*N1172)</f>
        <v>3.75351057265405</v>
      </c>
      <c r="P1172" s="16" t="n">
        <f aca="false">IF(D1172="","",H1172+E1172-K1172-O1172)</f>
        <v>152.877012625772</v>
      </c>
      <c r="Q1172" s="16" t="n">
        <f aca="false">IF(D1172="","",IF(P1172&gt;=0,K1172,MAX(0,K1172+P1172)))</f>
        <v>1.119744</v>
      </c>
      <c r="R1172" s="16" t="n">
        <f aca="false">IF(D1172="","",Q1172/$B$15)</f>
        <v>0.432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152.877012625772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94.3685263122048</v>
      </c>
      <c r="Z1172" s="18" t="n">
        <f aca="false">IF(D1172="","",MAX(0,IF(P1172&gt;=0,P1172,IF(K1172+P1172&gt;=0,0,P1172+K1172))))</f>
        <v>152.877012625772</v>
      </c>
      <c r="AA1172" s="18" t="n">
        <f aca="false">IF(D1172="","",IF(H1172&lt;=$B$16,1,IF(H1172&gt;=$B$17,$B$21,MATCH(H1172,Aux_CAV!$A$2:$A$121,1))))</f>
        <v>22</v>
      </c>
      <c r="AB1172" s="18" t="n">
        <f aca="false">IF(D1172="","",IF(L1172&lt;=$B$16,1,IF(L1172&gt;=$B$17,$B$21,MATCH(L1172,Aux_CAV!$A$2:$A$121,1))))</f>
        <v>22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0.303031477671025</v>
      </c>
      <c r="E1173" s="16" t="n">
        <f aca="false">IF(D1173="","",D1173*$B$15)</f>
        <v>0.785457590123297</v>
      </c>
      <c r="F1173" s="16" t="n">
        <f aca="false" t="array" ref="F1173:F1173">IF(D1173="","",IFERROR(INDEX(Dados_Evap!$C$2:$N$15,MATCH($B$9,Dados_Evap!$A$2:$A$15,0),C1173),0))</f>
        <v>282.3</v>
      </c>
      <c r="G1173" s="16" t="n">
        <f aca="false">IF(F1173="","",F1173/1000)</f>
        <v>0.2823</v>
      </c>
      <c r="H1173" s="16" t="n">
        <f aca="false">IF(D1173="","",MAX(0,MIN($B$8,IFERROR(LOOKUP(2,1/($U$24:U1172&lt;&gt;""),$U$24:U1172),$B$11))))</f>
        <v>152.877012625772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15.118784798033</v>
      </c>
      <c r="J1173" s="16" t="n">
        <f aca="false">IF(D1173="","",$B$12)</f>
        <v>0.432</v>
      </c>
      <c r="K1173" s="16" t="n">
        <f aca="false">IF(J1173="","",J1173*$B$15)</f>
        <v>1.119744</v>
      </c>
      <c r="L1173" s="16" t="n">
        <f aca="false">IF(D1173="","",H1173+E1173-K1173-G1173*I1173)</f>
        <v>148.27469326741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14.7837048119786</v>
      </c>
      <c r="N1173" s="16" t="n">
        <f aca="false">IF(D1173="","",(I1173+M1173)/2)</f>
        <v>14.9512448050058</v>
      </c>
      <c r="O1173" s="16" t="n">
        <f aca="false">IF(D1173="","",G1173*N1173)</f>
        <v>4.22073640845314</v>
      </c>
      <c r="P1173" s="16" t="n">
        <f aca="false">IF(D1173="","",H1173+E1173-K1173-O1173)</f>
        <v>148.321989807442</v>
      </c>
      <c r="Q1173" s="16" t="n">
        <f aca="false">IF(D1173="","",IF(P1173&gt;=0,K1173,MAX(0,K1173+P1173)))</f>
        <v>1.119744</v>
      </c>
      <c r="R1173" s="16" t="n">
        <f aca="false">IF(D1173="","",Q1173/$B$15)</f>
        <v>0.432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148.321989807442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91.5567838317543</v>
      </c>
      <c r="Z1173" s="18" t="n">
        <f aca="false">IF(D1173="","",MAX(0,IF(P1173&gt;=0,P1173,IF(K1173+P1173&gt;=0,0,P1173+K1173))))</f>
        <v>148.321989807442</v>
      </c>
      <c r="AA1173" s="18" t="n">
        <f aca="false">IF(D1173="","",IF(H1173&lt;=$B$16,1,IF(H1173&gt;=$B$17,$B$21,MATCH(H1173,Aux_CAV!$A$2:$A$121,1))))</f>
        <v>22</v>
      </c>
      <c r="AB1173" s="18" t="n">
        <f aca="false">IF(D1173="","",IF(L1173&lt;=$B$16,1,IF(L1173&gt;=$B$17,$B$21,MATCH(L1173,Aux_CAV!$A$2:$A$121,1))))</f>
        <v>22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0.280373506907731</v>
      </c>
      <c r="E1174" s="16" t="n">
        <f aca="false">IF(D1174="","",D1174*$B$15)</f>
        <v>0.726728129904839</v>
      </c>
      <c r="F1174" s="16" t="n">
        <f aca="false" t="array" ref="F1174:F1174">IF(D1174="","",IFERROR(INDEX(Dados_Evap!$C$2:$N$15,MATCH($B$9,Dados_Evap!$A$2:$A$15,0),C1174),0))</f>
        <v>241.3</v>
      </c>
      <c r="G1174" s="16" t="n">
        <f aca="false">IF(F1174="","",F1174/1000)</f>
        <v>0.2413</v>
      </c>
      <c r="H1174" s="16" t="n">
        <f aca="false">IF(D1174="","",MAX(0,MIN($B$8,IFERROR(LOOKUP(2,1/($U$24:U1173&lt;&gt;""),$U$24:U1173),$B$11))))</f>
        <v>148.321989807442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14.7871483200753</v>
      </c>
      <c r="J1174" s="16" t="n">
        <f aca="false">IF(D1174="","",$B$12)</f>
        <v>0.432</v>
      </c>
      <c r="K1174" s="16" t="n">
        <f aca="false">IF(J1174="","",J1174*$B$15)</f>
        <v>1.119744</v>
      </c>
      <c r="L1174" s="16" t="n">
        <f aca="false">IF(D1174="","",H1174+E1174-K1174-G1174*I1174)</f>
        <v>144.360835047713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14.498749454569</v>
      </c>
      <c r="N1174" s="16" t="n">
        <f aca="false">IF(D1174="","",(I1174+M1174)/2)</f>
        <v>14.6429488873222</v>
      </c>
      <c r="O1174" s="16" t="n">
        <f aca="false">IF(D1174="","",G1174*N1174)</f>
        <v>3.53334356651084</v>
      </c>
      <c r="P1174" s="16" t="n">
        <f aca="false">IF(D1174="","",H1174+E1174-K1174-O1174)</f>
        <v>144.395630370836</v>
      </c>
      <c r="Q1174" s="16" t="n">
        <f aca="false">IF(D1174="","",IF(P1174&gt;=0,K1174,MAX(0,K1174+P1174)))</f>
        <v>1.119744</v>
      </c>
      <c r="R1174" s="16" t="n">
        <f aca="false">IF(D1174="","",Q1174/$B$15)</f>
        <v>0.432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144.395630370836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89.1331051671826</v>
      </c>
      <c r="Z1174" s="18" t="n">
        <f aca="false">IF(D1174="","",MAX(0,IF(P1174&gt;=0,P1174,IF(K1174+P1174&gt;=0,0,P1174+K1174))))</f>
        <v>144.395630370836</v>
      </c>
      <c r="AA1174" s="18" t="n">
        <f aca="false">IF(D1174="","",IF(H1174&lt;=$B$16,1,IF(H1174&gt;=$B$17,$B$21,MATCH(H1174,Aux_CAV!$A$2:$A$121,1))))</f>
        <v>22</v>
      </c>
      <c r="AB1174" s="18" t="n">
        <f aca="false">IF(D1174="","",IF(L1174&lt;=$B$16,1,IF(L1174&gt;=$B$17,$B$21,MATCH(L1174,Aux_CAV!$A$2:$A$121,1))))</f>
        <v>22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0.292536598279562</v>
      </c>
      <c r="E1175" s="16" t="n">
        <f aca="false">IF(D1175="","",D1175*$B$15)</f>
        <v>0.758254862740625</v>
      </c>
      <c r="F1175" s="16" t="n">
        <f aca="false" t="array" ref="F1175:F1175">IF(D1175="","",IFERROR(INDEX(Dados_Evap!$C$2:$N$15,MATCH($B$9,Dados_Evap!$A$2:$A$15,0),C1175),0))</f>
        <v>241.8</v>
      </c>
      <c r="G1175" s="16" t="n">
        <f aca="false">IF(F1175="","",F1175/1000)</f>
        <v>0.2418</v>
      </c>
      <c r="H1175" s="16" t="n">
        <f aca="false">IF(D1175="","",MAX(0,MIN($B$8,IFERROR(LOOKUP(2,1/($U$24:U1174&lt;&gt;""),$U$24:U1174),$B$11))))</f>
        <v>144.395630370836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14.5012827894984</v>
      </c>
      <c r="J1175" s="16" t="n">
        <f aca="false">IF(D1175="","",$B$12)</f>
        <v>0.432</v>
      </c>
      <c r="K1175" s="16" t="n">
        <f aca="false">IF(J1175="","",J1175*$B$15)</f>
        <v>1.119744</v>
      </c>
      <c r="L1175" s="16" t="n">
        <f aca="false">IF(D1175="","",H1175+E1175-K1175-G1175*I1175)</f>
        <v>140.527731055076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14.2196735512282</v>
      </c>
      <c r="N1175" s="16" t="n">
        <f aca="false">IF(D1175="","",(I1175+M1175)/2)</f>
        <v>14.3604781703633</v>
      </c>
      <c r="O1175" s="16" t="n">
        <f aca="false">IF(D1175="","",G1175*N1175)</f>
        <v>3.47236362159385</v>
      </c>
      <c r="P1175" s="16" t="n">
        <f aca="false">IF(D1175="","",H1175+E1175-K1175-O1175)</f>
        <v>140.561777611983</v>
      </c>
      <c r="Q1175" s="16" t="n">
        <f aca="false">IF(D1175="","",IF(P1175&gt;=0,K1175,MAX(0,K1175+P1175)))</f>
        <v>1.119744</v>
      </c>
      <c r="R1175" s="16" t="n">
        <f aca="false">IF(D1175="","",Q1175/$B$15)</f>
        <v>0.432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140.561777611983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86.7665293901128</v>
      </c>
      <c r="Z1175" s="18" t="n">
        <f aca="false">IF(D1175="","",MAX(0,IF(P1175&gt;=0,P1175,IF(K1175+P1175&gt;=0,0,P1175+K1175))))</f>
        <v>140.561777611983</v>
      </c>
      <c r="AA1175" s="18" t="n">
        <f aca="false">IF(D1175="","",IF(H1175&lt;=$B$16,1,IF(H1175&gt;=$B$17,$B$21,MATCH(H1175,Aux_CAV!$A$2:$A$121,1))))</f>
        <v>22</v>
      </c>
      <c r="AB1175" s="18" t="n">
        <f aca="false">IF(D1175="","",IF(L1175&lt;=$B$16,1,IF(L1175&gt;=$B$17,$B$21,MATCH(L1175,Aux_CAV!$A$2:$A$121,1))))</f>
        <v>22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0.276408747092239</v>
      </c>
      <c r="E1176" s="16" t="n">
        <f aca="false">IF(D1176="","",D1176*$B$15)</f>
        <v>0.716451472463084</v>
      </c>
      <c r="F1176" s="16" t="n">
        <f aca="false" t="array" ref="F1176:F1176">IF(D1176="","",IFERROR(INDEX(Dados_Evap!$C$2:$N$15,MATCH($B$9,Dados_Evap!$A$2:$A$15,0),C1176),0))</f>
        <v>189</v>
      </c>
      <c r="G1176" s="16" t="n">
        <f aca="false">IF(F1176="","",F1176/1000)</f>
        <v>0.189</v>
      </c>
      <c r="H1176" s="16" t="n">
        <f aca="false">IF(D1176="","",MAX(0,MIN($B$8,IFERROR(LOOKUP(2,1/($U$24:U1175&lt;&gt;""),$U$24:U1175),$B$11))))</f>
        <v>140.561777611983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14.2221523709113</v>
      </c>
      <c r="J1176" s="16" t="n">
        <f aca="false">IF(D1176="","",$B$12)</f>
        <v>0.432</v>
      </c>
      <c r="K1176" s="16" t="n">
        <f aca="false">IF(J1176="","",J1176*$B$15)</f>
        <v>1.119744</v>
      </c>
      <c r="L1176" s="16" t="n">
        <f aca="false">IF(D1176="","",H1176+E1176-K1176-G1176*I1176)</f>
        <v>137.470498286344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13.9970863221063</v>
      </c>
      <c r="N1176" s="16" t="n">
        <f aca="false">IF(D1176="","",(I1176+M1176)/2)</f>
        <v>14.1096193465088</v>
      </c>
      <c r="O1176" s="16" t="n">
        <f aca="false">IF(D1176="","",G1176*N1176)</f>
        <v>2.66671805649016</v>
      </c>
      <c r="P1176" s="16" t="n">
        <f aca="false">IF(D1176="","",H1176+E1176-K1176-O1176)</f>
        <v>137.491767027956</v>
      </c>
      <c r="Q1176" s="16" t="n">
        <f aca="false">IF(D1176="","",IF(P1176&gt;=0,K1176,MAX(0,K1176+P1176)))</f>
        <v>1.119744</v>
      </c>
      <c r="R1176" s="16" t="n">
        <f aca="false">IF(D1176="","",Q1176/$B$15)</f>
        <v>0.432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137.491767027956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84.8714611283676</v>
      </c>
      <c r="Z1176" s="18" t="n">
        <f aca="false">IF(D1176="","",MAX(0,IF(P1176&gt;=0,P1176,IF(K1176+P1176&gt;=0,0,P1176+K1176))))</f>
        <v>137.491767027956</v>
      </c>
      <c r="AA1176" s="18" t="n">
        <f aca="false">IF(D1176="","",IF(H1176&lt;=$B$16,1,IF(H1176&gt;=$B$17,$B$21,MATCH(H1176,Aux_CAV!$A$2:$A$121,1))))</f>
        <v>22</v>
      </c>
      <c r="AB1176" s="18" t="n">
        <f aca="false">IF(D1176="","",IF(L1176&lt;=$B$16,1,IF(L1176&gt;=$B$17,$B$21,MATCH(L1176,Aux_CAV!$A$2:$A$121,1))))</f>
        <v>22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0.44670272649415</v>
      </c>
      <c r="E1177" s="16" t="n">
        <f aca="false">IF(D1177="","",D1177*$B$15)</f>
        <v>1.15785346707284</v>
      </c>
      <c r="F1177" s="16" t="n">
        <f aca="false" t="array" ref="F1177:F1177">IF(D1177="","",IFERROR(INDEX(Dados_Evap!$C$2:$N$15,MATCH($B$9,Dados_Evap!$A$2:$A$15,0),C1177),0))</f>
        <v>136.9</v>
      </c>
      <c r="G1177" s="16" t="n">
        <f aca="false">IF(F1177="","",F1177/1000)</f>
        <v>0.1369</v>
      </c>
      <c r="H1177" s="16" t="n">
        <f aca="false">IF(D1177="","",MAX(0,MIN($B$8,IFERROR(LOOKUP(2,1/($U$24:U1176&lt;&gt;""),$U$24:U1176),$B$11))))</f>
        <v>137.491767027956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13.9986348303883</v>
      </c>
      <c r="J1177" s="16" t="n">
        <f aca="false">IF(D1177="","",$B$12)</f>
        <v>0.432</v>
      </c>
      <c r="K1177" s="16" t="n">
        <f aca="false">IF(J1177="","",J1177*$B$15)</f>
        <v>1.119744</v>
      </c>
      <c r="L1177" s="16" t="n">
        <f aca="false">IF(D1177="","",H1177+E1177-K1177-G1177*I1177)</f>
        <v>135.613463386748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13.8618816177373</v>
      </c>
      <c r="N1177" s="16" t="n">
        <f aca="false">IF(D1177="","",(I1177+M1177)/2)</f>
        <v>13.9302582240628</v>
      </c>
      <c r="O1177" s="16" t="n">
        <f aca="false">IF(D1177="","",G1177*N1177)</f>
        <v>1.90705235087419</v>
      </c>
      <c r="P1177" s="16" t="n">
        <f aca="false">IF(D1177="","",H1177+E1177-K1177-O1177)</f>
        <v>135.622824144154</v>
      </c>
      <c r="Q1177" s="16" t="n">
        <f aca="false">IF(D1177="","",IF(P1177&gt;=0,K1177,MAX(0,K1177+P1177)))</f>
        <v>1.119744</v>
      </c>
      <c r="R1177" s="16" t="n">
        <f aca="false">IF(D1177="","",Q1177/$B$15)</f>
        <v>0.432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135.622824144154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83.7177926815767</v>
      </c>
      <c r="Z1177" s="18" t="n">
        <f aca="false">IF(D1177="","",MAX(0,IF(P1177&gt;=0,P1177,IF(K1177+P1177&gt;=0,0,P1177+K1177))))</f>
        <v>135.622824144154</v>
      </c>
      <c r="AA1177" s="18" t="n">
        <f aca="false">IF(D1177="","",IF(H1177&lt;=$B$16,1,IF(H1177&gt;=$B$17,$B$21,MATCH(H1177,Aux_CAV!$A$2:$A$121,1))))</f>
        <v>22</v>
      </c>
      <c r="AB1177" s="18" t="n">
        <f aca="false">IF(D1177="","",IF(L1177&lt;=$B$16,1,IF(L1177&gt;=$B$17,$B$21,MATCH(L1177,Aux_CAV!$A$2:$A$121,1))))</f>
        <v>22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1.32667851719994</v>
      </c>
      <c r="E1178" s="16" t="n">
        <f aca="false">IF(D1178="","",D1178*$B$15)</f>
        <v>3.43875071658224</v>
      </c>
      <c r="F1178" s="16" t="n">
        <f aca="false" t="array" ref="F1178:F1178">IF(D1178="","",IFERROR(INDEX(Dados_Evap!$C$2:$N$15,MATCH($B$9,Dados_Evap!$A$2:$A$15,0),C1178),0))</f>
        <v>102.9</v>
      </c>
      <c r="G1178" s="16" t="n">
        <f aca="false">IF(F1178="","",F1178/1000)</f>
        <v>0.1029</v>
      </c>
      <c r="H1178" s="16" t="n">
        <f aca="false">IF(D1178="","",MAX(0,MIN($B$8,IFERROR(LOOKUP(2,1/($U$24:U1177&lt;&gt;""),$U$24:U1177),$B$11))))</f>
        <v>135.622824144154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13.8625631442062</v>
      </c>
      <c r="J1178" s="16" t="n">
        <f aca="false">IF(D1178="","",$B$12)</f>
        <v>0.432</v>
      </c>
      <c r="K1178" s="16" t="n">
        <f aca="false">IF(J1178="","",J1178*$B$15)</f>
        <v>1.119744</v>
      </c>
      <c r="L1178" s="16" t="n">
        <f aca="false">IF(D1178="","",H1178+E1178-K1178-G1178*I1178)</f>
        <v>136.515373113198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13.9275467476488</v>
      </c>
      <c r="N1178" s="16" t="n">
        <f aca="false">IF(D1178="","",(I1178+M1178)/2)</f>
        <v>13.8950549459275</v>
      </c>
      <c r="O1178" s="16" t="n">
        <f aca="false">IF(D1178="","",G1178*N1178)</f>
        <v>1.42980115393594</v>
      </c>
      <c r="P1178" s="16" t="n">
        <f aca="false">IF(D1178="","",H1178+E1178-K1178-O1178)</f>
        <v>136.512029706801</v>
      </c>
      <c r="Q1178" s="16" t="n">
        <f aca="false">IF(D1178="","",IF(P1178&gt;=0,K1178,MAX(0,K1178+P1178)))</f>
        <v>1.119744</v>
      </c>
      <c r="R1178" s="16" t="n">
        <f aca="false">IF(D1178="","",Q1178/$B$15)</f>
        <v>0.432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136.512029706801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84.2666850041979</v>
      </c>
      <c r="Z1178" s="18" t="n">
        <f aca="false">IF(D1178="","",MAX(0,IF(P1178&gt;=0,P1178,IF(K1178+P1178&gt;=0,0,P1178+K1178))))</f>
        <v>136.512029706801</v>
      </c>
      <c r="AA1178" s="18" t="n">
        <f aca="false">IF(D1178="","",IF(H1178&lt;=$B$16,1,IF(H1178&gt;=$B$17,$B$21,MATCH(H1178,Aux_CAV!$A$2:$A$121,1))))</f>
        <v>22</v>
      </c>
      <c r="AB1178" s="18" t="n">
        <f aca="false">IF(D1178="","",IF(L1178&lt;=$B$16,1,IF(L1178&gt;=$B$17,$B$21,MATCH(L1178,Aux_CAV!$A$2:$A$121,1))))</f>
        <v>22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4.23631344719033</v>
      </c>
      <c r="E1179" s="16" t="n">
        <f aca="false">IF(D1179="","",D1179*$B$15)</f>
        <v>10.9805244551173</v>
      </c>
      <c r="F1179" s="16" t="n">
        <f aca="false" t="array" ref="F1179:F1179">IF(D1179="","",IFERROR(INDEX(Dados_Evap!$C$2:$N$15,MATCH($B$9,Dados_Evap!$A$2:$A$15,0),C1179),0))</f>
        <v>81.8</v>
      </c>
      <c r="G1179" s="16" t="n">
        <f aca="false">IF(F1179="","",F1179/1000)</f>
        <v>0.0818</v>
      </c>
      <c r="H1179" s="16" t="n">
        <f aca="false">IF(D1179="","",MAX(0,MIN($B$8,IFERROR(LOOKUP(2,1/($U$24:U1178&lt;&gt;""),$U$24:U1178),$B$11))))</f>
        <v>136.512029706801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13.9273033250434</v>
      </c>
      <c r="J1179" s="16" t="n">
        <f aca="false">IF(D1179="","",$B$12)</f>
        <v>0.432</v>
      </c>
      <c r="K1179" s="16" t="n">
        <f aca="false">IF(J1179="","",J1179*$B$15)</f>
        <v>1.119744</v>
      </c>
      <c r="L1179" s="16" t="n">
        <f aca="false">IF(D1179="","",H1179+E1179-K1179-G1179*I1179)</f>
        <v>145.233556749929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14.5622894988462</v>
      </c>
      <c r="N1179" s="16" t="n">
        <f aca="false">IF(D1179="","",(I1179+M1179)/2)</f>
        <v>14.2447964119448</v>
      </c>
      <c r="O1179" s="16" t="n">
        <f aca="false">IF(D1179="","",G1179*N1179)</f>
        <v>1.16522434649709</v>
      </c>
      <c r="P1179" s="16" t="n">
        <f aca="false">IF(D1179="","",H1179+E1179-K1179-O1179)</f>
        <v>145.207585815421</v>
      </c>
      <c r="Q1179" s="16" t="n">
        <f aca="false">IF(D1179="","",IF(P1179&gt;=0,K1179,MAX(0,K1179+P1179)))</f>
        <v>1.119744</v>
      </c>
      <c r="R1179" s="16" t="n">
        <f aca="false">IF(D1179="","",Q1179/$B$15)</f>
        <v>0.432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145.207585815421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89.6343122317412</v>
      </c>
      <c r="Z1179" s="18" t="n">
        <f aca="false">IF(D1179="","",MAX(0,IF(P1179&gt;=0,P1179,IF(K1179+P1179&gt;=0,0,P1179+K1179))))</f>
        <v>145.207585815421</v>
      </c>
      <c r="AA1179" s="18" t="n">
        <f aca="false">IF(D1179="","",IF(H1179&lt;=$B$16,1,IF(H1179&gt;=$B$17,$B$21,MATCH(H1179,Aux_CAV!$A$2:$A$121,1))))</f>
        <v>22</v>
      </c>
      <c r="AB1179" s="18" t="n">
        <f aca="false">IF(D1179="","",IF(L1179&lt;=$B$16,1,IF(L1179&gt;=$B$17,$B$21,MATCH(L1179,Aux_CAV!$A$2:$A$121,1))))</f>
        <v>22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6.33415978049477</v>
      </c>
      <c r="E1180" s="16" t="n">
        <f aca="false">IF(D1180="","",D1180*$B$15)</f>
        <v>16.4181421510424</v>
      </c>
      <c r="F1180" s="16" t="n">
        <f aca="false" t="array" ref="F1180:F1180">IF(D1180="","",IFERROR(INDEX(Dados_Evap!$C$2:$N$15,MATCH($B$9,Dados_Evap!$A$2:$A$15,0),C1180),0))</f>
        <v>83.6</v>
      </c>
      <c r="G1180" s="16" t="n">
        <f aca="false">IF(F1180="","",F1180/1000)</f>
        <v>0.0836</v>
      </c>
      <c r="H1180" s="16" t="n">
        <f aca="false">IF(D1180="","",MAX(0,MIN($B$8,IFERROR(LOOKUP(2,1/($U$24:U1179&lt;&gt;""),$U$24:U1179),$B$11))))</f>
        <v>145.207585815421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14.5603986391089</v>
      </c>
      <c r="J1180" s="16" t="n">
        <f aca="false">IF(D1180="","",$B$12)</f>
        <v>0.432</v>
      </c>
      <c r="K1180" s="16" t="n">
        <f aca="false">IF(J1180="","",J1180*$B$15)</f>
        <v>1.119744</v>
      </c>
      <c r="L1180" s="16" t="n">
        <f aca="false">IF(D1180="","",H1180+E1180-K1180-G1180*I1180)</f>
        <v>159.288734640234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15.5856015388763</v>
      </c>
      <c r="N1180" s="16" t="n">
        <f aca="false">IF(D1180="","",(I1180+M1180)/2)</f>
        <v>15.0730000889926</v>
      </c>
      <c r="O1180" s="16" t="n">
        <f aca="false">IF(D1180="","",G1180*N1180)</f>
        <v>1.26010280743978</v>
      </c>
      <c r="P1180" s="16" t="n">
        <f aca="false">IF(D1180="","",H1180+E1180-K1180-O1180)</f>
        <v>159.245881159023</v>
      </c>
      <c r="Q1180" s="16" t="n">
        <f aca="false">IF(D1180="","",IF(P1180&gt;=0,K1180,MAX(0,K1180+P1180)))</f>
        <v>1.119744</v>
      </c>
      <c r="R1180" s="16" t="n">
        <f aca="false">IF(D1180="","",Q1180/$B$15)</f>
        <v>0.432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159.245881159023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98.2999266413725</v>
      </c>
      <c r="Z1180" s="18" t="n">
        <f aca="false">IF(D1180="","",MAX(0,IF(P1180&gt;=0,P1180,IF(K1180+P1180&gt;=0,0,P1180+K1180))))</f>
        <v>159.245881159023</v>
      </c>
      <c r="AA1180" s="18" t="n">
        <f aca="false">IF(D1180="","",IF(H1180&lt;=$B$16,1,IF(H1180&gt;=$B$17,$B$21,MATCH(H1180,Aux_CAV!$A$2:$A$121,1))))</f>
        <v>22</v>
      </c>
      <c r="AB1180" s="18" t="n">
        <f aca="false">IF(D1180="","",IF(L1180&lt;=$B$16,1,IF(L1180&gt;=$B$17,$B$21,MATCH(L1180,Aux_CAV!$A$2:$A$121,1))))</f>
        <v>22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6.26322487158035</v>
      </c>
      <c r="E1181" s="16" t="n">
        <f aca="false">IF(D1181="","",D1181*$B$15)</f>
        <v>16.2342788671363</v>
      </c>
      <c r="F1181" s="16" t="n">
        <f aca="false" t="array" ref="F1181:F1181">IF(D1181="","",IFERROR(INDEX(Dados_Evap!$C$2:$N$15,MATCH($B$9,Dados_Evap!$A$2:$A$15,0),C1181),0))</f>
        <v>108.2</v>
      </c>
      <c r="G1181" s="16" t="n">
        <f aca="false">IF(F1181="","",F1181/1000)</f>
        <v>0.1082</v>
      </c>
      <c r="H1181" s="16" t="n">
        <f aca="false">IF(D1181="","",MAX(0,MIN($B$8,IFERROR(LOOKUP(2,1/($U$24:U1180&lt;&gt;""),$U$24:U1180),$B$11))))</f>
        <v>159.245881159023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15.5824815155211</v>
      </c>
      <c r="J1181" s="16" t="n">
        <f aca="false">IF(D1181="","",$B$12)</f>
        <v>0.432</v>
      </c>
      <c r="K1181" s="16" t="n">
        <f aca="false">IF(J1181="","",J1181*$B$15)</f>
        <v>1.119744</v>
      </c>
      <c r="L1181" s="16" t="n">
        <f aca="false">IF(D1181="","",H1181+E1181-K1181-G1181*I1181)</f>
        <v>172.67439152618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16.4214302741373</v>
      </c>
      <c r="N1181" s="16" t="n">
        <f aca="false">IF(D1181="","",(I1181+M1181)/2)</f>
        <v>16.0019558948292</v>
      </c>
      <c r="O1181" s="16" t="n">
        <f aca="false">IF(D1181="","",G1181*N1181)</f>
        <v>1.73141162782052</v>
      </c>
      <c r="P1181" s="16" t="n">
        <f aca="false">IF(D1181="","",H1181+E1181-K1181-O1181)</f>
        <v>172.629004398339</v>
      </c>
      <c r="Q1181" s="16" t="n">
        <f aca="false">IF(D1181="","",IF(P1181&gt;=0,K1181,MAX(0,K1181+P1181)))</f>
        <v>1.119744</v>
      </c>
      <c r="R1181" s="16" t="n">
        <f aca="false">IF(D1181="","",Q1181/$B$15)</f>
        <v>0.432</v>
      </c>
      <c r="S1181" s="16" t="n">
        <f aca="false">IF(D1181="","",MAX(0,J1181-R1181))</f>
        <v>0</v>
      </c>
      <c r="T1181" s="16" t="n">
        <f aca="false">IF(D1181="","",MAX(0,Z1181-$B$8))</f>
        <v>10.6290043983392</v>
      </c>
      <c r="U1181" s="16" t="n">
        <f aca="false">IF(D1181="","",MAX(0,MIN($B$8,Z1181)))</f>
        <v>162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100</v>
      </c>
      <c r="Z1181" s="18" t="n">
        <f aca="false">IF(D1181="","",MAX(0,IF(P1181&gt;=0,P1181,IF(K1181+P1181&gt;=0,0,P1181+K1181))))</f>
        <v>172.629004398339</v>
      </c>
      <c r="AA1181" s="18" t="n">
        <f aca="false">IF(D1181="","",IF(H1181&lt;=$B$16,1,IF(H1181&gt;=$B$17,$B$21,MATCH(H1181,Aux_CAV!$A$2:$A$121,1))))</f>
        <v>22</v>
      </c>
      <c r="AB1181" s="18" t="n">
        <f aca="false">IF(D1181="","",IF(L1181&lt;=$B$16,1,IF(L1181&gt;=$B$17,$B$21,MATCH(L1181,Aux_CAV!$A$2:$A$121,1))))</f>
        <v>23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1.48886946393717</v>
      </c>
      <c r="E1182" s="16" t="n">
        <f aca="false">IF(D1182="","",D1182*$B$15)</f>
        <v>3.85914965052515</v>
      </c>
      <c r="F1182" s="16" t="n">
        <f aca="false" t="array" ref="F1182:F1182">IF(D1182="","",IFERROR(INDEX(Dados_Evap!$C$2:$N$15,MATCH($B$9,Dados_Evap!$A$2:$A$15,0),C1182),0))</f>
        <v>149</v>
      </c>
      <c r="G1182" s="16" t="n">
        <f aca="false">IF(F1182="","",F1182/1000)</f>
        <v>0.149</v>
      </c>
      <c r="H1182" s="16" t="n">
        <f aca="false">IF(D1182="","",MAX(0,MIN($B$8,IFERROR(LOOKUP(2,1/($U$24:U1181&lt;&gt;""),$U$24:U1181),$B$11))))</f>
        <v>162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15.783</v>
      </c>
      <c r="J1182" s="16" t="n">
        <f aca="false">IF(D1182="","",$B$12)</f>
        <v>0.432</v>
      </c>
      <c r="K1182" s="16" t="n">
        <f aca="false">IF(J1182="","",J1182*$B$15)</f>
        <v>1.119744</v>
      </c>
      <c r="L1182" s="16" t="n">
        <f aca="false">IF(D1182="","",H1182+E1182-K1182-G1182*I1182)</f>
        <v>162.387738650525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15.8061904640505</v>
      </c>
      <c r="N1182" s="16" t="n">
        <f aca="false">IF(D1182="","",(I1182+M1182)/2)</f>
        <v>15.7945952320252</v>
      </c>
      <c r="O1182" s="16" t="n">
        <f aca="false">IF(D1182="","",G1182*N1182)</f>
        <v>2.35339468957176</v>
      </c>
      <c r="P1182" s="16" t="n">
        <f aca="false">IF(D1182="","",H1182+E1182-K1182-O1182)</f>
        <v>162.386010960953</v>
      </c>
      <c r="Q1182" s="16" t="n">
        <f aca="false">IF(D1182="","",IF(P1182&gt;=0,K1182,MAX(0,K1182+P1182)))</f>
        <v>1.119744</v>
      </c>
      <c r="R1182" s="16" t="n">
        <f aca="false">IF(D1182="","",Q1182/$B$15)</f>
        <v>0.432</v>
      </c>
      <c r="S1182" s="16" t="n">
        <f aca="false">IF(D1182="","",MAX(0,J1182-R1182))</f>
        <v>0</v>
      </c>
      <c r="T1182" s="16" t="n">
        <f aca="false">IF(D1182="","",MAX(0,Z1182-$B$8))</f>
        <v>0.386010960953399</v>
      </c>
      <c r="U1182" s="16" t="n">
        <f aca="false">IF(D1182="","",MAX(0,MIN($B$8,Z1182)))</f>
        <v>162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100</v>
      </c>
      <c r="Z1182" s="18" t="n">
        <f aca="false">IF(D1182="","",MAX(0,IF(P1182&gt;=0,P1182,IF(K1182+P1182&gt;=0,0,P1182+K1182))))</f>
        <v>162.386010960953</v>
      </c>
      <c r="AA1182" s="18" t="n">
        <f aca="false">IF(D1182="","",IF(H1182&lt;=$B$16,1,IF(H1182&gt;=$B$17,$B$21,MATCH(H1182,Aux_CAV!$A$2:$A$121,1))))</f>
        <v>23</v>
      </c>
      <c r="AB1182" s="18" t="n">
        <f aca="false">IF(D1182="","",IF(L1182&lt;=$B$16,1,IF(L1182&gt;=$B$17,$B$21,MATCH(L1182,Aux_CAV!$A$2:$A$121,1))))</f>
        <v>23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0.929587028034721</v>
      </c>
      <c r="E1183" s="16" t="n">
        <f aca="false">IF(D1183="","",D1183*$B$15)</f>
        <v>2.409489576666</v>
      </c>
      <c r="F1183" s="16" t="n">
        <f aca="false" t="array" ref="F1183:F1183">IF(D1183="","",IFERROR(INDEX(Dados_Evap!$C$2:$N$15,MATCH($B$9,Dados_Evap!$A$2:$A$15,0),C1183),0))</f>
        <v>206.8</v>
      </c>
      <c r="G1183" s="16" t="n">
        <f aca="false">IF(F1183="","",F1183/1000)</f>
        <v>0.2068</v>
      </c>
      <c r="H1183" s="16" t="n">
        <f aca="false">IF(D1183="","",MAX(0,MIN($B$8,IFERROR(LOOKUP(2,1/($U$24:U1182&lt;&gt;""),$U$24:U1182),$B$11))))</f>
        <v>162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15.783</v>
      </c>
      <c r="J1183" s="16" t="n">
        <f aca="false">IF(D1183="","",$B$12)</f>
        <v>0.432</v>
      </c>
      <c r="K1183" s="16" t="n">
        <f aca="false">IF(J1183="","",J1183*$B$15)</f>
        <v>1.119744</v>
      </c>
      <c r="L1183" s="16" t="n">
        <f aca="false">IF(D1183="","",H1183+E1183-K1183-G1183*I1183)</f>
        <v>160.025821176666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15.6392664254514</v>
      </c>
      <c r="N1183" s="16" t="n">
        <f aca="false">IF(D1183="","",(I1183+M1183)/2)</f>
        <v>15.7111332127257</v>
      </c>
      <c r="O1183" s="16" t="n">
        <f aca="false">IF(D1183="","",G1183*N1183)</f>
        <v>3.24906234839167</v>
      </c>
      <c r="P1183" s="16" t="n">
        <f aca="false">IF(D1183="","",H1183+E1183-K1183-O1183)</f>
        <v>160.040683228274</v>
      </c>
      <c r="Q1183" s="16" t="n">
        <f aca="false">IF(D1183="","",IF(P1183&gt;=0,K1183,MAX(0,K1183+P1183)))</f>
        <v>1.119744</v>
      </c>
      <c r="R1183" s="16" t="n">
        <f aca="false">IF(D1183="","",Q1183/$B$15)</f>
        <v>0.432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160.040683228274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98.7905452026385</v>
      </c>
      <c r="Z1183" s="18" t="n">
        <f aca="false">IF(D1183="","",MAX(0,IF(P1183&gt;=0,P1183,IF(K1183+P1183&gt;=0,0,P1183+K1183))))</f>
        <v>160.040683228274</v>
      </c>
      <c r="AA1183" s="18" t="n">
        <f aca="false">IF(D1183="","",IF(H1183&lt;=$B$16,1,IF(H1183&gt;=$B$17,$B$21,MATCH(H1183,Aux_CAV!$A$2:$A$121,1))))</f>
        <v>23</v>
      </c>
      <c r="AB1183" s="18" t="n">
        <f aca="false">IF(D1183="","",IF(L1183&lt;=$B$16,1,IF(L1183&gt;=$B$17,$B$21,MATCH(L1183,Aux_CAV!$A$2:$A$121,1))))</f>
        <v>22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0.412277029113548</v>
      </c>
      <c r="E1184" s="16" t="n">
        <f aca="false">IF(D1184="","",D1184*$B$15)</f>
        <v>1.06862205946232</v>
      </c>
      <c r="F1184" s="16" t="n">
        <f aca="false" t="array" ref="F1184:F1184">IF(D1184="","",IFERROR(INDEX(Dados_Evap!$C$2:$N$15,MATCH($B$9,Dados_Evap!$A$2:$A$15,0),C1184),0))</f>
        <v>245.9</v>
      </c>
      <c r="G1184" s="16" t="n">
        <f aca="false">IF(F1184="","",F1184/1000)</f>
        <v>0.2459</v>
      </c>
      <c r="H1184" s="16" t="n">
        <f aca="false">IF(D1184="","",MAX(0,MIN($B$8,IFERROR(LOOKUP(2,1/($U$24:U1183&lt;&gt;""),$U$24:U1183),$B$11))))</f>
        <v>160.040683228274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15.6403484833569</v>
      </c>
      <c r="J1184" s="16" t="n">
        <f aca="false">IF(D1184="","",$B$12)</f>
        <v>0.432</v>
      </c>
      <c r="K1184" s="16" t="n">
        <f aca="false">IF(J1184="","",J1184*$B$15)</f>
        <v>1.119744</v>
      </c>
      <c r="L1184" s="16" t="n">
        <f aca="false">IF(D1184="","",H1184+E1184-K1184-G1184*I1184)</f>
        <v>156.143599595679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15.356614429376</v>
      </c>
      <c r="N1184" s="16" t="n">
        <f aca="false">IF(D1184="","",(I1184+M1184)/2)</f>
        <v>15.4984814563665</v>
      </c>
      <c r="O1184" s="16" t="n">
        <f aca="false">IF(D1184="","",G1184*N1184)</f>
        <v>3.81107659012052</v>
      </c>
      <c r="P1184" s="16" t="n">
        <f aca="false">IF(D1184="","",H1184+E1184-K1184-O1184)</f>
        <v>156.178484697616</v>
      </c>
      <c r="Q1184" s="16" t="n">
        <f aca="false">IF(D1184="","",IF(P1184&gt;=0,K1184,MAX(0,K1184+P1184)))</f>
        <v>1.119744</v>
      </c>
      <c r="R1184" s="16" t="n">
        <f aca="false">IF(D1184="","",Q1184/$B$15)</f>
        <v>0.432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156.178484697616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96.4064720355655</v>
      </c>
      <c r="Z1184" s="18" t="n">
        <f aca="false">IF(D1184="","",MAX(0,IF(P1184&gt;=0,P1184,IF(K1184+P1184&gt;=0,0,P1184+K1184))))</f>
        <v>156.178484697616</v>
      </c>
      <c r="AA1184" s="18" t="n">
        <f aca="false">IF(D1184="","",IF(H1184&lt;=$B$16,1,IF(H1184&gt;=$B$17,$B$21,MATCH(H1184,Aux_CAV!$A$2:$A$121,1))))</f>
        <v>22</v>
      </c>
      <c r="AB1184" s="18" t="n">
        <f aca="false">IF(D1184="","",IF(L1184&lt;=$B$16,1,IF(L1184&gt;=$B$17,$B$21,MATCH(L1184,Aux_CAV!$A$2:$A$121,1))))</f>
        <v>22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0.319523077773594</v>
      </c>
      <c r="E1185" s="16" t="n">
        <f aca="false">IF(D1185="","",D1185*$B$15)</f>
        <v>0.828203817589156</v>
      </c>
      <c r="F1185" s="16" t="n">
        <f aca="false" t="array" ref="F1185:F1185">IF(D1185="","",IFERROR(INDEX(Dados_Evap!$C$2:$N$15,MATCH($B$9,Dados_Evap!$A$2:$A$15,0),C1185),0))</f>
        <v>282.3</v>
      </c>
      <c r="G1185" s="16" t="n">
        <f aca="false">IF(F1185="","",F1185/1000)</f>
        <v>0.2823</v>
      </c>
      <c r="H1185" s="16" t="n">
        <f aca="false">IF(D1185="","",MAX(0,MIN($B$8,IFERROR(LOOKUP(2,1/($U$24:U1184&lt;&gt;""),$U$24:U1184),$B$11))))</f>
        <v>156.178484697616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15.3591543008105</v>
      </c>
      <c r="J1185" s="16" t="n">
        <f aca="false">IF(D1185="","",$B$12)</f>
        <v>0.432</v>
      </c>
      <c r="K1185" s="16" t="n">
        <f aca="false">IF(J1185="","",J1185*$B$15)</f>
        <v>1.119744</v>
      </c>
      <c r="L1185" s="16" t="n">
        <f aca="false">IF(D1185="","",H1185+E1185-K1185-G1185*I1185)</f>
        <v>151.551055256087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15.0222461308204</v>
      </c>
      <c r="N1185" s="16" t="n">
        <f aca="false">IF(D1185="","",(I1185+M1185)/2)</f>
        <v>15.1907002158155</v>
      </c>
      <c r="O1185" s="16" t="n">
        <f aca="false">IF(D1185="","",G1185*N1185)</f>
        <v>4.28833467092471</v>
      </c>
      <c r="P1185" s="16" t="n">
        <f aca="false">IF(D1185="","",H1185+E1185-K1185-O1185)</f>
        <v>151.598609844281</v>
      </c>
      <c r="Q1185" s="16" t="n">
        <f aca="false">IF(D1185="","",IF(P1185&gt;=0,K1185,MAX(0,K1185+P1185)))</f>
        <v>1.119744</v>
      </c>
      <c r="R1185" s="16" t="n">
        <f aca="false">IF(D1185="","",Q1185/$B$15)</f>
        <v>0.432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151.598609844281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93.5793887927658</v>
      </c>
      <c r="Z1185" s="18" t="n">
        <f aca="false">IF(D1185="","",MAX(0,IF(P1185&gt;=0,P1185,IF(K1185+P1185&gt;=0,0,P1185+K1185))))</f>
        <v>151.598609844281</v>
      </c>
      <c r="AA1185" s="18" t="n">
        <f aca="false">IF(D1185="","",IF(H1185&lt;=$B$16,1,IF(H1185&gt;=$B$17,$B$21,MATCH(H1185,Aux_CAV!$A$2:$A$121,1))))</f>
        <v>22</v>
      </c>
      <c r="AB1185" s="18" t="n">
        <f aca="false">IF(D1185="","",IF(L1185&lt;=$B$16,1,IF(L1185&gt;=$B$17,$B$21,MATCH(L1185,Aux_CAV!$A$2:$A$121,1))))</f>
        <v>22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0.34976883460312</v>
      </c>
      <c r="E1186" s="16" t="n">
        <f aca="false">IF(D1186="","",D1186*$B$15)</f>
        <v>0.906600819291287</v>
      </c>
      <c r="F1186" s="16" t="n">
        <f aca="false" t="array" ref="F1186:F1186">IF(D1186="","",IFERROR(INDEX(Dados_Evap!$C$2:$N$15,MATCH($B$9,Dados_Evap!$A$2:$A$15,0),C1186),0))</f>
        <v>241.3</v>
      </c>
      <c r="G1186" s="16" t="n">
        <f aca="false">IF(F1186="","",F1186/1000)</f>
        <v>0.2413</v>
      </c>
      <c r="H1186" s="16" t="n">
        <f aca="false">IF(D1186="","",MAX(0,MIN($B$8,IFERROR(LOOKUP(2,1/($U$24:U1185&lt;&gt;""),$U$24:U1185),$B$11))))</f>
        <v>151.598609844281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15.0257084265692</v>
      </c>
      <c r="J1186" s="16" t="n">
        <f aca="false">IF(D1186="","",$B$12)</f>
        <v>0.432</v>
      </c>
      <c r="K1186" s="16" t="n">
        <f aca="false">IF(J1186="","",J1186*$B$15)</f>
        <v>1.119744</v>
      </c>
      <c r="L1186" s="16" t="n">
        <f aca="false">IF(D1186="","",H1186+E1186-K1186-G1186*I1186)</f>
        <v>147.759763220241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14.7462144208107</v>
      </c>
      <c r="N1186" s="16" t="n">
        <f aca="false">IF(D1186="","",(I1186+M1186)/2)</f>
        <v>14.88596142369</v>
      </c>
      <c r="O1186" s="16" t="n">
        <f aca="false">IF(D1186="","",G1186*N1186)</f>
        <v>3.59198249153639</v>
      </c>
      <c r="P1186" s="16" t="n">
        <f aca="false">IF(D1186="","",H1186+E1186-K1186-O1186)</f>
        <v>147.793484172036</v>
      </c>
      <c r="Q1186" s="16" t="n">
        <f aca="false">IF(D1186="","",IF(P1186&gt;=0,K1186,MAX(0,K1186+P1186)))</f>
        <v>1.119744</v>
      </c>
      <c r="R1186" s="16" t="n">
        <f aca="false">IF(D1186="","",Q1186/$B$15)</f>
        <v>0.432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147.793484172036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91.2305457852071</v>
      </c>
      <c r="Z1186" s="18" t="n">
        <f aca="false">IF(D1186="","",MAX(0,IF(P1186&gt;=0,P1186,IF(K1186+P1186&gt;=0,0,P1186+K1186))))</f>
        <v>147.793484172036</v>
      </c>
      <c r="AA1186" s="18" t="n">
        <f aca="false">IF(D1186="","",IF(H1186&lt;=$B$16,1,IF(H1186&gt;=$B$17,$B$21,MATCH(H1186,Aux_CAV!$A$2:$A$121,1))))</f>
        <v>22</v>
      </c>
      <c r="AB1186" s="18" t="n">
        <f aca="false">IF(D1186="","",IF(L1186&lt;=$B$16,1,IF(L1186&gt;=$B$17,$B$21,MATCH(L1186,Aux_CAV!$A$2:$A$121,1))))</f>
        <v>22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0.326454094166864</v>
      </c>
      <c r="E1187" s="16" t="n">
        <f aca="false">IF(D1187="","",D1187*$B$15)</f>
        <v>0.846169012080512</v>
      </c>
      <c r="F1187" s="16" t="n">
        <f aca="false" t="array" ref="F1187:F1187">IF(D1187="","",IFERROR(INDEX(Dados_Evap!$C$2:$N$15,MATCH($B$9,Dados_Evap!$A$2:$A$15,0),C1187),0))</f>
        <v>241.8</v>
      </c>
      <c r="G1187" s="16" t="n">
        <f aca="false">IF(F1187="","",F1187/1000)</f>
        <v>0.2418</v>
      </c>
      <c r="H1187" s="16" t="n">
        <f aca="false">IF(D1187="","",MAX(0,MIN($B$8,IFERROR(LOOKUP(2,1/($U$24:U1186&lt;&gt;""),$U$24:U1186),$B$11))))</f>
        <v>147.793484172036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14.7486695342388</v>
      </c>
      <c r="J1187" s="16" t="n">
        <f aca="false">IF(D1187="","",$B$12)</f>
        <v>0.432</v>
      </c>
      <c r="K1187" s="16" t="n">
        <f aca="false">IF(J1187="","",J1187*$B$15)</f>
        <v>1.119744</v>
      </c>
      <c r="L1187" s="16" t="n">
        <f aca="false">IF(D1187="","",H1187+E1187-K1187-G1187*I1187)</f>
        <v>143.953680890737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14.4691058773597</v>
      </c>
      <c r="N1187" s="16" t="n">
        <f aca="false">IF(D1187="","",(I1187+M1187)/2)</f>
        <v>14.6088877057993</v>
      </c>
      <c r="O1187" s="16" t="n">
        <f aca="false">IF(D1187="","",G1187*N1187)</f>
        <v>3.53242904726227</v>
      </c>
      <c r="P1187" s="16" t="n">
        <f aca="false">IF(D1187="","",H1187+E1187-K1187-O1187)</f>
        <v>143.987480136854</v>
      </c>
      <c r="Q1187" s="16" t="n">
        <f aca="false">IF(D1187="","",IF(P1187&gt;=0,K1187,MAX(0,K1187+P1187)))</f>
        <v>1.119744</v>
      </c>
      <c r="R1187" s="16" t="n">
        <f aca="false">IF(D1187="","",Q1187/$B$15)</f>
        <v>0.432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143.987480136854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88.8811605783048</v>
      </c>
      <c r="Z1187" s="18" t="n">
        <f aca="false">IF(D1187="","",MAX(0,IF(P1187&gt;=0,P1187,IF(K1187+P1187&gt;=0,0,P1187+K1187))))</f>
        <v>143.987480136854</v>
      </c>
      <c r="AA1187" s="18" t="n">
        <f aca="false">IF(D1187="","",IF(H1187&lt;=$B$16,1,IF(H1187&gt;=$B$17,$B$21,MATCH(H1187,Aux_CAV!$A$2:$A$121,1))))</f>
        <v>22</v>
      </c>
      <c r="AB1187" s="18" t="n">
        <f aca="false">IF(D1187="","",IF(L1187&lt;=$B$16,1,IF(L1187&gt;=$B$17,$B$21,MATCH(L1187,Aux_CAV!$A$2:$A$121,1))))</f>
        <v>22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0.426749932711225</v>
      </c>
      <c r="E1188" s="16" t="n">
        <f aca="false">IF(D1188="","",D1188*$B$15)</f>
        <v>1.1061358255875</v>
      </c>
      <c r="F1188" s="16" t="n">
        <f aca="false" t="array" ref="F1188:F1188">IF(D1188="","",IFERROR(INDEX(Dados_Evap!$C$2:$N$15,MATCH($B$9,Dados_Evap!$A$2:$A$15,0),C1188),0))</f>
        <v>189</v>
      </c>
      <c r="G1188" s="16" t="n">
        <f aca="false">IF(F1188="","",F1188/1000)</f>
        <v>0.189</v>
      </c>
      <c r="H1188" s="16" t="n">
        <f aca="false">IF(D1188="","",MAX(0,MIN($B$8,IFERROR(LOOKUP(2,1/($U$24:U1187&lt;&gt;""),$U$24:U1187),$B$11))))</f>
        <v>143.987480136854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14.4715666911442</v>
      </c>
      <c r="J1188" s="16" t="n">
        <f aca="false">IF(D1188="","",$B$12)</f>
        <v>0.432</v>
      </c>
      <c r="K1188" s="16" t="n">
        <f aca="false">IF(J1188="","",J1188*$B$15)</f>
        <v>1.119744</v>
      </c>
      <c r="L1188" s="16" t="n">
        <f aca="false">IF(D1188="","",H1188+E1188-K1188-G1188*I1188)</f>
        <v>141.238745857815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14.2714402392033</v>
      </c>
      <c r="N1188" s="16" t="n">
        <f aca="false">IF(D1188="","",(I1188+M1188)/2)</f>
        <v>14.3715034651737</v>
      </c>
      <c r="O1188" s="16" t="n">
        <f aca="false">IF(D1188="","",G1188*N1188)</f>
        <v>2.71621415491784</v>
      </c>
      <c r="P1188" s="16" t="n">
        <f aca="false">IF(D1188="","",H1188+E1188-K1188-O1188)</f>
        <v>141.257657807523</v>
      </c>
      <c r="Q1188" s="16" t="n">
        <f aca="false">IF(D1188="","",IF(P1188&gt;=0,K1188,MAX(0,K1188+P1188)))</f>
        <v>1.119744</v>
      </c>
      <c r="R1188" s="16" t="n">
        <f aca="false">IF(D1188="","",Q1188/$B$15)</f>
        <v>0.432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141.257657807523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87.1960850663725</v>
      </c>
      <c r="Z1188" s="18" t="n">
        <f aca="false">IF(D1188="","",MAX(0,IF(P1188&gt;=0,P1188,IF(K1188+P1188&gt;=0,0,P1188+K1188))))</f>
        <v>141.257657807523</v>
      </c>
      <c r="AA1188" s="18" t="n">
        <f aca="false">IF(D1188="","",IF(H1188&lt;=$B$16,1,IF(H1188&gt;=$B$17,$B$21,MATCH(H1188,Aux_CAV!$A$2:$A$121,1))))</f>
        <v>22</v>
      </c>
      <c r="AB1188" s="18" t="n">
        <f aca="false">IF(D1188="","",IF(L1188&lt;=$B$16,1,IF(L1188&gt;=$B$17,$B$21,MATCH(L1188,Aux_CAV!$A$2:$A$121,1))))</f>
        <v>22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1.06441107358714</v>
      </c>
      <c r="E1189" s="16" t="n">
        <f aca="false">IF(D1189="","",D1189*$B$15)</f>
        <v>2.75895350273787</v>
      </c>
      <c r="F1189" s="16" t="n">
        <f aca="false" t="array" ref="F1189:F1189">IF(D1189="","",IFERROR(INDEX(Dados_Evap!$C$2:$N$15,MATCH($B$9,Dados_Evap!$A$2:$A$15,0),C1189),0))</f>
        <v>136.9</v>
      </c>
      <c r="G1189" s="16" t="n">
        <f aca="false">IF(F1189="","",F1189/1000)</f>
        <v>0.1369</v>
      </c>
      <c r="H1189" s="16" t="n">
        <f aca="false">IF(D1189="","",MAX(0,MIN($B$8,IFERROR(LOOKUP(2,1/($U$24:U1188&lt;&gt;""),$U$24:U1188),$B$11))))</f>
        <v>141.257657807523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14.27281715709</v>
      </c>
      <c r="J1189" s="16" t="n">
        <f aca="false">IF(D1189="","",$B$12)</f>
        <v>0.432</v>
      </c>
      <c r="K1189" s="16" t="n">
        <f aca="false">IF(J1189="","",J1189*$B$15)</f>
        <v>1.119744</v>
      </c>
      <c r="L1189" s="16" t="n">
        <f aca="false">IF(D1189="","",H1189+E1189-K1189-G1189*I1189)</f>
        <v>140.942918641456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14.2499020164479</v>
      </c>
      <c r="N1189" s="16" t="n">
        <f aca="false">IF(D1189="","",(I1189+M1189)/2)</f>
        <v>14.2613595867689</v>
      </c>
      <c r="O1189" s="16" t="n">
        <f aca="false">IF(D1189="","",G1189*N1189)</f>
        <v>1.95238012742866</v>
      </c>
      <c r="P1189" s="16" t="n">
        <f aca="false">IF(D1189="","",H1189+E1189-K1189-O1189)</f>
        <v>140.944487182833</v>
      </c>
      <c r="Q1189" s="16" t="n">
        <f aca="false">IF(D1189="","",IF(P1189&gt;=0,K1189,MAX(0,K1189+P1189)))</f>
        <v>1.119744</v>
      </c>
      <c r="R1189" s="16" t="n">
        <f aca="false">IF(D1189="","",Q1189/$B$15)</f>
        <v>0.432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140.944487182833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87.0027698659461</v>
      </c>
      <c r="Z1189" s="18" t="n">
        <f aca="false">IF(D1189="","",MAX(0,IF(P1189&gt;=0,P1189,IF(K1189+P1189&gt;=0,0,P1189+K1189))))</f>
        <v>140.944487182833</v>
      </c>
      <c r="AA1189" s="18" t="n">
        <f aca="false">IF(D1189="","",IF(H1189&lt;=$B$16,1,IF(H1189&gt;=$B$17,$B$21,MATCH(H1189,Aux_CAV!$A$2:$A$121,1))))</f>
        <v>22</v>
      </c>
      <c r="AB1189" s="18" t="n">
        <f aca="false">IF(D1189="","",IF(L1189&lt;=$B$16,1,IF(L1189&gt;=$B$17,$B$21,MATCH(L1189,Aux_CAV!$A$2:$A$121,1))))</f>
        <v>22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1.56078443392238</v>
      </c>
      <c r="E1190" s="16" t="n">
        <f aca="false">IF(D1190="","",D1190*$B$15)</f>
        <v>4.04555325272681</v>
      </c>
      <c r="F1190" s="16" t="n">
        <f aca="false" t="array" ref="F1190:F1190">IF(D1190="","",IFERROR(INDEX(Dados_Evap!$C$2:$N$15,MATCH($B$9,Dados_Evap!$A$2:$A$15,0),C1190),0))</f>
        <v>102.9</v>
      </c>
      <c r="G1190" s="16" t="n">
        <f aca="false">IF(F1190="","",F1190/1000)</f>
        <v>0.1029</v>
      </c>
      <c r="H1190" s="16" t="n">
        <f aca="false">IF(D1190="","",MAX(0,MIN($B$8,IFERROR(LOOKUP(2,1/($U$24:U1189&lt;&gt;""),$U$24:U1189),$B$11))))</f>
        <v>140.944487182833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14.250016216872</v>
      </c>
      <c r="J1190" s="16" t="n">
        <f aca="false">IF(D1190="","",$B$12)</f>
        <v>0.432</v>
      </c>
      <c r="K1190" s="16" t="n">
        <f aca="false">IF(J1190="","",J1190*$B$15)</f>
        <v>1.119744</v>
      </c>
      <c r="L1190" s="16" t="n">
        <f aca="false">IF(D1190="","",H1190+E1190-K1190-G1190*I1190)</f>
        <v>142.403969766843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14.3562764230457</v>
      </c>
      <c r="N1190" s="16" t="n">
        <f aca="false">IF(D1190="","",(I1190+M1190)/2)</f>
        <v>14.3031463199589</v>
      </c>
      <c r="O1190" s="16" t="n">
        <f aca="false">IF(D1190="","",G1190*N1190)</f>
        <v>1.47179375632377</v>
      </c>
      <c r="P1190" s="16" t="n">
        <f aca="false">IF(D1190="","",H1190+E1190-K1190-O1190)</f>
        <v>142.398502679236</v>
      </c>
      <c r="Q1190" s="16" t="n">
        <f aca="false">IF(D1190="","",IF(P1190&gt;=0,K1190,MAX(0,K1190+P1190)))</f>
        <v>1.119744</v>
      </c>
      <c r="R1190" s="16" t="n">
        <f aca="false">IF(D1190="","",Q1190/$B$15)</f>
        <v>0.432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142.398502679236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87.9003102958245</v>
      </c>
      <c r="Z1190" s="18" t="n">
        <f aca="false">IF(D1190="","",MAX(0,IF(P1190&gt;=0,P1190,IF(K1190+P1190&gt;=0,0,P1190+K1190))))</f>
        <v>142.398502679236</v>
      </c>
      <c r="AA1190" s="18" t="n">
        <f aca="false">IF(D1190="","",IF(H1190&lt;=$B$16,1,IF(H1190&gt;=$B$17,$B$21,MATCH(H1190,Aux_CAV!$A$2:$A$121,1))))</f>
        <v>22</v>
      </c>
      <c r="AB1190" s="18" t="n">
        <f aca="false">IF(D1190="","",IF(L1190&lt;=$B$16,1,IF(L1190&gt;=$B$17,$B$21,MATCH(L1190,Aux_CAV!$A$2:$A$121,1))))</f>
        <v>22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5.31584684229777</v>
      </c>
      <c r="E1191" s="16" t="n">
        <f aca="false">IF(D1191="","",D1191*$B$15)</f>
        <v>13.7786750152358</v>
      </c>
      <c r="F1191" s="16" t="n">
        <f aca="false" t="array" ref="F1191:F1191">IF(D1191="","",IFERROR(INDEX(Dados_Evap!$C$2:$N$15,MATCH($B$9,Dados_Evap!$A$2:$A$15,0),C1191),0))</f>
        <v>81.8</v>
      </c>
      <c r="G1191" s="16" t="n">
        <f aca="false">IF(F1191="","",F1191/1000)</f>
        <v>0.0818</v>
      </c>
      <c r="H1191" s="16" t="n">
        <f aca="false">IF(D1191="","",MAX(0,MIN($B$8,IFERROR(LOOKUP(2,1/($U$24:U1190&lt;&gt;""),$U$24:U1190),$B$11))))</f>
        <v>142.398502679236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14.3558783820806</v>
      </c>
      <c r="J1191" s="16" t="n">
        <f aca="false">IF(D1191="","",$B$12)</f>
        <v>0.432</v>
      </c>
      <c r="K1191" s="16" t="n">
        <f aca="false">IF(J1191="","",J1191*$B$15)</f>
        <v>1.119744</v>
      </c>
      <c r="L1191" s="16" t="n">
        <f aca="false">IF(D1191="","",H1191+E1191-K1191-G1191*I1191)</f>
        <v>153.883122842817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15.1920364286232</v>
      </c>
      <c r="N1191" s="16" t="n">
        <f aca="false">IF(D1191="","",(I1191+M1191)/2)</f>
        <v>14.7739574053519</v>
      </c>
      <c r="O1191" s="16" t="n">
        <f aca="false">IF(D1191="","",G1191*N1191)</f>
        <v>1.20850971575778</v>
      </c>
      <c r="P1191" s="16" t="n">
        <f aca="false">IF(D1191="","",H1191+E1191-K1191-O1191)</f>
        <v>153.848923978714</v>
      </c>
      <c r="Q1191" s="16" t="n">
        <f aca="false">IF(D1191="","",IF(P1191&gt;=0,K1191,MAX(0,K1191+P1191)))</f>
        <v>1.119744</v>
      </c>
      <c r="R1191" s="16" t="n">
        <f aca="false">IF(D1191="","",Q1191/$B$15)</f>
        <v>0.432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153.848923978714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94.9684715917986</v>
      </c>
      <c r="Z1191" s="18" t="n">
        <f aca="false">IF(D1191="","",MAX(0,IF(P1191&gt;=0,P1191,IF(K1191+P1191&gt;=0,0,P1191+K1191))))</f>
        <v>153.848923978714</v>
      </c>
      <c r="AA1191" s="18" t="n">
        <f aca="false">IF(D1191="","",IF(H1191&lt;=$B$16,1,IF(H1191&gt;=$B$17,$B$21,MATCH(H1191,Aux_CAV!$A$2:$A$121,1))))</f>
        <v>22</v>
      </c>
      <c r="AB1191" s="18" t="n">
        <f aca="false">IF(D1191="","",IF(L1191&lt;=$B$16,1,IF(L1191&gt;=$B$17,$B$21,MATCH(L1191,Aux_CAV!$A$2:$A$121,1))))</f>
        <v>22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2.95003175683562</v>
      </c>
      <c r="E1192" s="16" t="n">
        <f aca="false">IF(D1192="","",D1192*$B$15)</f>
        <v>7.64648231371793</v>
      </c>
      <c r="F1192" s="16" t="n">
        <f aca="false" t="array" ref="F1192:F1192">IF(D1192="","",IFERROR(INDEX(Dados_Evap!$C$2:$N$15,MATCH($B$9,Dados_Evap!$A$2:$A$15,0),C1192),0))</f>
        <v>83.6</v>
      </c>
      <c r="G1192" s="16" t="n">
        <f aca="false">IF(F1192="","",F1192/1000)</f>
        <v>0.0836</v>
      </c>
      <c r="H1192" s="16" t="n">
        <f aca="false">IF(D1192="","",MAX(0,MIN($B$8,IFERROR(LOOKUP(2,1/($U$24:U1191&lt;&gt;""),$U$24:U1191),$B$11))))</f>
        <v>153.848923978714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15.1895465199457</v>
      </c>
      <c r="J1192" s="16" t="n">
        <f aca="false">IF(D1192="","",$B$12)</f>
        <v>0.432</v>
      </c>
      <c r="K1192" s="16" t="n">
        <f aca="false">IF(J1192="","",J1192*$B$15)</f>
        <v>1.119744</v>
      </c>
      <c r="L1192" s="16" t="n">
        <f aca="false">IF(D1192="","",H1192+E1192-K1192-G1192*I1192)</f>
        <v>159.105816203364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15.5722838391465</v>
      </c>
      <c r="N1192" s="16" t="n">
        <f aca="false">IF(D1192="","",(I1192+M1192)/2)</f>
        <v>15.3809151795461</v>
      </c>
      <c r="O1192" s="16" t="n">
        <f aca="false">IF(D1192="","",G1192*N1192)</f>
        <v>1.28584450901006</v>
      </c>
      <c r="P1192" s="16" t="n">
        <f aca="false">IF(D1192="","",H1192+E1192-K1192-O1192)</f>
        <v>159.089817783422</v>
      </c>
      <c r="Q1192" s="16" t="n">
        <f aca="false">IF(D1192="","",IF(P1192&gt;=0,K1192,MAX(0,K1192+P1192)))</f>
        <v>1.119744</v>
      </c>
      <c r="R1192" s="16" t="n">
        <f aca="false">IF(D1192="","",Q1192/$B$15)</f>
        <v>0.432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159.089817783422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98.2035912243343</v>
      </c>
      <c r="Z1192" s="18" t="n">
        <f aca="false">IF(D1192="","",MAX(0,IF(P1192&gt;=0,P1192,IF(K1192+P1192&gt;=0,0,P1192+K1192))))</f>
        <v>159.089817783422</v>
      </c>
      <c r="AA1192" s="18" t="n">
        <f aca="false">IF(D1192="","",IF(H1192&lt;=$B$16,1,IF(H1192&gt;=$B$17,$B$21,MATCH(H1192,Aux_CAV!$A$2:$A$121,1))))</f>
        <v>22</v>
      </c>
      <c r="AB1192" s="18" t="n">
        <f aca="false">IF(D1192="","",IF(L1192&lt;=$B$16,1,IF(L1192&gt;=$B$17,$B$21,MATCH(L1192,Aux_CAV!$A$2:$A$121,1))))</f>
        <v>22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2.55894814131401</v>
      </c>
      <c r="E1193" s="16" t="n">
        <f aca="false">IF(D1193="","",D1193*$B$15)</f>
        <v>6.63279358228591</v>
      </c>
      <c r="F1193" s="16" t="n">
        <f aca="false" t="array" ref="F1193:F1193">IF(D1193="","",IFERROR(INDEX(Dados_Evap!$C$2:$N$15,MATCH($B$9,Dados_Evap!$A$2:$A$15,0),C1193),0))</f>
        <v>108.2</v>
      </c>
      <c r="G1193" s="16" t="n">
        <f aca="false">IF(F1193="","",F1193/1000)</f>
        <v>0.1082</v>
      </c>
      <c r="H1193" s="16" t="n">
        <f aca="false">IF(D1193="","",MAX(0,MIN($B$8,IFERROR(LOOKUP(2,1/($U$24:U1192&lt;&gt;""),$U$24:U1192),$B$11))))</f>
        <v>159.089817783422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15.5711190459382</v>
      </c>
      <c r="J1193" s="16" t="n">
        <f aca="false">IF(D1193="","",$B$12)</f>
        <v>0.432</v>
      </c>
      <c r="K1193" s="16" t="n">
        <f aca="false">IF(J1193="","",J1193*$B$15)</f>
        <v>1.119744</v>
      </c>
      <c r="L1193" s="16" t="n">
        <f aca="false">IF(D1193="","",H1193+E1193-K1193-G1193*I1193)</f>
        <v>162.918072284937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15.8379094661848</v>
      </c>
      <c r="N1193" s="16" t="n">
        <f aca="false">IF(D1193="","",(I1193+M1193)/2)</f>
        <v>15.7045142560615</v>
      </c>
      <c r="O1193" s="16" t="n">
        <f aca="false">IF(D1193="","",G1193*N1193)</f>
        <v>1.69922844250585</v>
      </c>
      <c r="P1193" s="16" t="n">
        <f aca="false">IF(D1193="","",H1193+E1193-K1193-O1193)</f>
        <v>162.903638923202</v>
      </c>
      <c r="Q1193" s="16" t="n">
        <f aca="false">IF(D1193="","",IF(P1193&gt;=0,K1193,MAX(0,K1193+P1193)))</f>
        <v>1.119744</v>
      </c>
      <c r="R1193" s="16" t="n">
        <f aca="false">IF(D1193="","",Q1193/$B$15)</f>
        <v>0.432</v>
      </c>
      <c r="S1193" s="16" t="n">
        <f aca="false">IF(D1193="","",MAX(0,J1193-R1193))</f>
        <v>0</v>
      </c>
      <c r="T1193" s="16" t="n">
        <f aca="false">IF(D1193="","",MAX(0,Z1193-$B$8))</f>
        <v>0.903638923201669</v>
      </c>
      <c r="U1193" s="16" t="n">
        <f aca="false">IF(D1193="","",MAX(0,MIN($B$8,Z1193)))</f>
        <v>162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100</v>
      </c>
      <c r="Z1193" s="18" t="n">
        <f aca="false">IF(D1193="","",MAX(0,IF(P1193&gt;=0,P1193,IF(K1193+P1193&gt;=0,0,P1193+K1193))))</f>
        <v>162.903638923202</v>
      </c>
      <c r="AA1193" s="18" t="n">
        <f aca="false">IF(D1193="","",IF(H1193&lt;=$B$16,1,IF(H1193&gt;=$B$17,$B$21,MATCH(H1193,Aux_CAV!$A$2:$A$121,1))))</f>
        <v>22</v>
      </c>
      <c r="AB1193" s="18" t="n">
        <f aca="false">IF(D1193="","",IF(L1193&lt;=$B$16,1,IF(L1193&gt;=$B$17,$B$21,MATCH(L1193,Aux_CAV!$A$2:$A$121,1))))</f>
        <v>23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0.5553606930182</v>
      </c>
      <c r="E1194" s="16" t="n">
        <f aca="false">IF(D1194="","",D1194*$B$15)</f>
        <v>1.43949491630317</v>
      </c>
      <c r="F1194" s="16" t="n">
        <f aca="false" t="array" ref="F1194:F1194">IF(D1194="","",IFERROR(INDEX(Dados_Evap!$C$2:$N$15,MATCH($B$9,Dados_Evap!$A$2:$A$15,0),C1194),0))</f>
        <v>149</v>
      </c>
      <c r="G1194" s="16" t="n">
        <f aca="false">IF(F1194="","",F1194/1000)</f>
        <v>0.149</v>
      </c>
      <c r="H1194" s="16" t="n">
        <f aca="false">IF(D1194="","",MAX(0,MIN($B$8,IFERROR(LOOKUP(2,1/($U$24:U1193&lt;&gt;""),$U$24:U1193),$B$11))))</f>
        <v>162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15.783</v>
      </c>
      <c r="J1194" s="16" t="n">
        <f aca="false">IF(D1194="","",$B$12)</f>
        <v>0.432</v>
      </c>
      <c r="K1194" s="16" t="n">
        <f aca="false">IF(J1194="","",J1194*$B$15)</f>
        <v>1.119744</v>
      </c>
      <c r="L1194" s="16" t="n">
        <f aca="false">IF(D1194="","",H1194+E1194-K1194-G1194*I1194)</f>
        <v>159.968083916303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15.6350627622784</v>
      </c>
      <c r="N1194" s="16" t="n">
        <f aca="false">IF(D1194="","",(I1194+M1194)/2)</f>
        <v>15.7090313811392</v>
      </c>
      <c r="O1194" s="16" t="n">
        <f aca="false">IF(D1194="","",G1194*N1194)</f>
        <v>2.34064567578974</v>
      </c>
      <c r="P1194" s="16" t="n">
        <f aca="false">IF(D1194="","",H1194+E1194-K1194-O1194)</f>
        <v>159.979105240513</v>
      </c>
      <c r="Q1194" s="16" t="n">
        <f aca="false">IF(D1194="","",IF(P1194&gt;=0,K1194,MAX(0,K1194+P1194)))</f>
        <v>1.119744</v>
      </c>
      <c r="R1194" s="16" t="n">
        <f aca="false">IF(D1194="","",Q1194/$B$15)</f>
        <v>0.432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159.979105240513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98.7525340990824</v>
      </c>
      <c r="Z1194" s="18" t="n">
        <f aca="false">IF(D1194="","",MAX(0,IF(P1194&gt;=0,P1194,IF(K1194+P1194&gt;=0,0,P1194+K1194))))</f>
        <v>159.979105240513</v>
      </c>
      <c r="AA1194" s="18" t="n">
        <f aca="false">IF(D1194="","",IF(H1194&lt;=$B$16,1,IF(H1194&gt;=$B$17,$B$21,MATCH(H1194,Aux_CAV!$A$2:$A$121,1))))</f>
        <v>23</v>
      </c>
      <c r="AB1194" s="18" t="n">
        <f aca="false">IF(D1194="","",IF(L1194&lt;=$B$16,1,IF(L1194&gt;=$B$17,$B$21,MATCH(L1194,Aux_CAV!$A$2:$A$121,1))))</f>
        <v>22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0.314039336395068</v>
      </c>
      <c r="E1195" s="16" t="n">
        <f aca="false">IF(D1195="","",D1195*$B$15)</f>
        <v>0.813989959936016</v>
      </c>
      <c r="F1195" s="16" t="n">
        <f aca="false" t="array" ref="F1195:F1195">IF(D1195="","",IFERROR(INDEX(Dados_Evap!$C$2:$N$15,MATCH($B$9,Dados_Evap!$A$2:$A$15,0),C1195),0))</f>
        <v>206.8</v>
      </c>
      <c r="G1195" s="16" t="n">
        <f aca="false">IF(F1195="","",F1195/1000)</f>
        <v>0.2068</v>
      </c>
      <c r="H1195" s="16" t="n">
        <f aca="false">IF(D1195="","",MAX(0,MIN($B$8,IFERROR(LOOKUP(2,1/($U$24:U1194&lt;&gt;""),$U$24:U1194),$B$11))))</f>
        <v>159.979105240513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15.6358651892451</v>
      </c>
      <c r="J1195" s="16" t="n">
        <f aca="false">IF(D1195="","",$B$12)</f>
        <v>0.432</v>
      </c>
      <c r="K1195" s="16" t="n">
        <f aca="false">IF(J1195="","",J1195*$B$15)</f>
        <v>1.119744</v>
      </c>
      <c r="L1195" s="16" t="n">
        <f aca="false">IF(D1195="","",H1195+E1195-K1195-G1195*I1195)</f>
        <v>156.439854279314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15.3781837746411</v>
      </c>
      <c r="N1195" s="16" t="n">
        <f aca="false">IF(D1195="","",(I1195+M1195)/2)</f>
        <v>15.5070244819431</v>
      </c>
      <c r="O1195" s="16" t="n">
        <f aca="false">IF(D1195="","",G1195*N1195)</f>
        <v>3.20685266286584</v>
      </c>
      <c r="P1195" s="16" t="n">
        <f aca="false">IF(D1195="","",H1195+E1195-K1195-O1195)</f>
        <v>156.466498537584</v>
      </c>
      <c r="Q1195" s="16" t="n">
        <f aca="false">IF(D1195="","",IF(P1195&gt;=0,K1195,MAX(0,K1195+P1195)))</f>
        <v>1.119744</v>
      </c>
      <c r="R1195" s="16" t="n">
        <f aca="false">IF(D1195="","",Q1195/$B$15)</f>
        <v>0.432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156.466498537584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96.5842583565331</v>
      </c>
      <c r="Z1195" s="18" t="n">
        <f aca="false">IF(D1195="","",MAX(0,IF(P1195&gt;=0,P1195,IF(K1195+P1195&gt;=0,0,P1195+K1195))))</f>
        <v>156.466498537584</v>
      </c>
      <c r="AA1195" s="18" t="n">
        <f aca="false">IF(D1195="","",IF(H1195&lt;=$B$16,1,IF(H1195&gt;=$B$17,$B$21,MATCH(H1195,Aux_CAV!$A$2:$A$121,1))))</f>
        <v>22</v>
      </c>
      <c r="AB1195" s="18" t="n">
        <f aca="false">IF(D1195="","",IF(L1195&lt;=$B$16,1,IF(L1195&gt;=$B$17,$B$21,MATCH(L1195,Aux_CAV!$A$2:$A$121,1))))</f>
        <v>22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0.268732249878259</v>
      </c>
      <c r="E1196" s="16" t="n">
        <f aca="false">IF(D1196="","",D1196*$B$15)</f>
        <v>0.696553991684447</v>
      </c>
      <c r="F1196" s="16" t="n">
        <f aca="false" t="array" ref="F1196:F1196">IF(D1196="","",IFERROR(INDEX(Dados_Evap!$C$2:$N$15,MATCH($B$9,Dados_Evap!$A$2:$A$15,0),C1196),0))</f>
        <v>245.9</v>
      </c>
      <c r="G1196" s="16" t="n">
        <f aca="false">IF(F1196="","",F1196/1000)</f>
        <v>0.2459</v>
      </c>
      <c r="H1196" s="16" t="n">
        <f aca="false">IF(D1196="","",MAX(0,MIN($B$8,IFERROR(LOOKUP(2,1/($U$24:U1195&lt;&gt;""),$U$24:U1195),$B$11))))</f>
        <v>156.466498537584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15.3801236569036</v>
      </c>
      <c r="J1196" s="16" t="n">
        <f aca="false">IF(D1196="","",$B$12)</f>
        <v>0.432</v>
      </c>
      <c r="K1196" s="16" t="n">
        <f aca="false">IF(J1196="","",J1196*$B$15)</f>
        <v>1.119744</v>
      </c>
      <c r="L1196" s="16" t="n">
        <f aca="false">IF(D1196="","",H1196+E1196-K1196-G1196*I1196)</f>
        <v>152.261336122036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15.0739593832318</v>
      </c>
      <c r="N1196" s="16" t="n">
        <f aca="false">IF(D1196="","",(I1196+M1196)/2)</f>
        <v>15.2270415200677</v>
      </c>
      <c r="O1196" s="16" t="n">
        <f aca="false">IF(D1196="","",G1196*N1196)</f>
        <v>3.74432950978466</v>
      </c>
      <c r="P1196" s="16" t="n">
        <f aca="false">IF(D1196="","",H1196+E1196-K1196-O1196)</f>
        <v>152.298979019483</v>
      </c>
      <c r="Q1196" s="16" t="n">
        <f aca="false">IF(D1196="","",IF(P1196&gt;=0,K1196,MAX(0,K1196+P1196)))</f>
        <v>1.119744</v>
      </c>
      <c r="R1196" s="16" t="n">
        <f aca="false">IF(D1196="","",Q1196/$B$15)</f>
        <v>0.432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152.298979019483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94.0117154441256</v>
      </c>
      <c r="Z1196" s="18" t="n">
        <f aca="false">IF(D1196="","",MAX(0,IF(P1196&gt;=0,P1196,IF(K1196+P1196&gt;=0,0,P1196+K1196))))</f>
        <v>152.298979019483</v>
      </c>
      <c r="AA1196" s="18" t="n">
        <f aca="false">IF(D1196="","",IF(H1196&lt;=$B$16,1,IF(H1196&gt;=$B$17,$B$21,MATCH(H1196,Aux_CAV!$A$2:$A$121,1))))</f>
        <v>22</v>
      </c>
      <c r="AB1196" s="18" t="n">
        <f aca="false">IF(D1196="","",IF(L1196&lt;=$B$16,1,IF(L1196&gt;=$B$17,$B$21,MATCH(L1196,Aux_CAV!$A$2:$A$121,1))))</f>
        <v>22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0.244356445507649</v>
      </c>
      <c r="E1197" s="16" t="n">
        <f aca="false">IF(D1197="","",D1197*$B$15)</f>
        <v>0.633371906755826</v>
      </c>
      <c r="F1197" s="16" t="n">
        <f aca="false" t="array" ref="F1197:F1197">IF(D1197="","",IFERROR(INDEX(Dados_Evap!$C$2:$N$15,MATCH($B$9,Dados_Evap!$A$2:$A$15,0),C1197),0))</f>
        <v>282.3</v>
      </c>
      <c r="G1197" s="16" t="n">
        <f aca="false">IF(F1197="","",F1197/1000)</f>
        <v>0.2823</v>
      </c>
      <c r="H1197" s="16" t="n">
        <f aca="false">IF(D1197="","",MAX(0,MIN($B$8,IFERROR(LOOKUP(2,1/($U$24:U1196&lt;&gt;""),$U$24:U1196),$B$11))))</f>
        <v>152.298979019483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15.0767000408372</v>
      </c>
      <c r="J1197" s="16" t="n">
        <f aca="false">IF(D1197="","",$B$12)</f>
        <v>0.432</v>
      </c>
      <c r="K1197" s="16" t="n">
        <f aca="false">IF(J1197="","",J1197*$B$15)</f>
        <v>1.119744</v>
      </c>
      <c r="L1197" s="16" t="n">
        <f aca="false">IF(D1197="","",H1197+E1197-K1197-G1197*I1197)</f>
        <v>147.556454504711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14.731412170845</v>
      </c>
      <c r="N1197" s="16" t="n">
        <f aca="false">IF(D1197="","",(I1197+M1197)/2)</f>
        <v>14.9040561058411</v>
      </c>
      <c r="O1197" s="16" t="n">
        <f aca="false">IF(D1197="","",G1197*N1197)</f>
        <v>4.20741503867895</v>
      </c>
      <c r="P1197" s="16" t="n">
        <f aca="false">IF(D1197="","",H1197+E1197-K1197-O1197)</f>
        <v>147.60519188756</v>
      </c>
      <c r="Q1197" s="16" t="n">
        <f aca="false">IF(D1197="","",IF(P1197&gt;=0,K1197,MAX(0,K1197+P1197)))</f>
        <v>1.119744</v>
      </c>
      <c r="R1197" s="16" t="n">
        <f aca="false">IF(D1197="","",Q1197/$B$15)</f>
        <v>0.432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147.60519188756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91.1143159799755</v>
      </c>
      <c r="Z1197" s="18" t="n">
        <f aca="false">IF(D1197="","",MAX(0,IF(P1197&gt;=0,P1197,IF(K1197+P1197&gt;=0,0,P1197+K1197))))</f>
        <v>147.60519188756</v>
      </c>
      <c r="AA1197" s="18" t="n">
        <f aca="false">IF(D1197="","",IF(H1197&lt;=$B$16,1,IF(H1197&gt;=$B$17,$B$21,MATCH(H1197,Aux_CAV!$A$2:$A$121,1))))</f>
        <v>22</v>
      </c>
      <c r="AB1197" s="18" t="n">
        <f aca="false">IF(D1197="","",IF(L1197&lt;=$B$16,1,IF(L1197&gt;=$B$17,$B$21,MATCH(L1197,Aux_CAV!$A$2:$A$121,1))))</f>
        <v>22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0.226321267695956</v>
      </c>
      <c r="E1198" s="16" t="n">
        <f aca="false">IF(D1198="","",D1198*$B$15)</f>
        <v>0.586624725867918</v>
      </c>
      <c r="F1198" s="16" t="n">
        <f aca="false" t="array" ref="F1198:F1198">IF(D1198="","",IFERROR(INDEX(Dados_Evap!$C$2:$N$15,MATCH($B$9,Dados_Evap!$A$2:$A$15,0),C1198),0))</f>
        <v>241.3</v>
      </c>
      <c r="G1198" s="16" t="n">
        <f aca="false">IF(F1198="","",F1198/1000)</f>
        <v>0.2413</v>
      </c>
      <c r="H1198" s="16" t="n">
        <f aca="false">IF(D1198="","",MAX(0,MIN($B$8,IFERROR(LOOKUP(2,1/($U$24:U1197&lt;&gt;""),$U$24:U1197),$B$11))))</f>
        <v>147.60519188756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14.7349605820468</v>
      </c>
      <c r="J1198" s="16" t="n">
        <f aca="false">IF(D1198="","",$B$12)</f>
        <v>0.432</v>
      </c>
      <c r="K1198" s="16" t="n">
        <f aca="false">IF(J1198="","",J1198*$B$15)</f>
        <v>1.119744</v>
      </c>
      <c r="L1198" s="16" t="n">
        <f aca="false">IF(D1198="","",H1198+E1198-K1198-G1198*I1198)</f>
        <v>143.51652662498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14.4372780892669</v>
      </c>
      <c r="N1198" s="16" t="n">
        <f aca="false">IF(D1198="","",(I1198+M1198)/2)</f>
        <v>14.5861193356569</v>
      </c>
      <c r="O1198" s="16" t="n">
        <f aca="false">IF(D1198="","",G1198*N1198)</f>
        <v>3.519630595694</v>
      </c>
      <c r="P1198" s="16" t="n">
        <f aca="false">IF(D1198="","",H1198+E1198-K1198-O1198)</f>
        <v>143.552442017734</v>
      </c>
      <c r="Q1198" s="16" t="n">
        <f aca="false">IF(D1198="","",IF(P1198&gt;=0,K1198,MAX(0,K1198+P1198)))</f>
        <v>1.119744</v>
      </c>
      <c r="R1198" s="16" t="n">
        <f aca="false">IF(D1198="","",Q1198/$B$15)</f>
        <v>0.432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143.552442017734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88.6126185294656</v>
      </c>
      <c r="Z1198" s="18" t="n">
        <f aca="false">IF(D1198="","",MAX(0,IF(P1198&gt;=0,P1198,IF(K1198+P1198&gt;=0,0,P1198+K1198))))</f>
        <v>143.552442017734</v>
      </c>
      <c r="AA1198" s="18" t="n">
        <f aca="false">IF(D1198="","",IF(H1198&lt;=$B$16,1,IF(H1198&gt;=$B$17,$B$21,MATCH(H1198,Aux_CAV!$A$2:$A$121,1))))</f>
        <v>22</v>
      </c>
      <c r="AB1198" s="18" t="n">
        <f aca="false">IF(D1198="","",IF(L1198&lt;=$B$16,1,IF(L1198&gt;=$B$17,$B$21,MATCH(L1198,Aux_CAV!$A$2:$A$121,1))))</f>
        <v>22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0.296277741623473</v>
      </c>
      <c r="E1199" s="16" t="n">
        <f aca="false">IF(D1199="","",D1199*$B$15)</f>
        <v>0.767951906288042</v>
      </c>
      <c r="F1199" s="16" t="n">
        <f aca="false" t="array" ref="F1199:F1199">IF(D1199="","",IFERROR(INDEX(Dados_Evap!$C$2:$N$15,MATCH($B$9,Dados_Evap!$A$2:$A$15,0),C1199),0))</f>
        <v>241.8</v>
      </c>
      <c r="G1199" s="16" t="n">
        <f aca="false">IF(F1199="","",F1199/1000)</f>
        <v>0.2418</v>
      </c>
      <c r="H1199" s="16" t="n">
        <f aca="false">IF(D1199="","",MAX(0,MIN($B$8,IFERROR(LOOKUP(2,1/($U$24:U1198&lt;&gt;""),$U$24:U1198),$B$11))))</f>
        <v>143.552442017734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14.4398929728432</v>
      </c>
      <c r="J1199" s="16" t="n">
        <f aca="false">IF(D1199="","",$B$12)</f>
        <v>0.432</v>
      </c>
      <c r="K1199" s="16" t="n">
        <f aca="false">IF(J1199="","",J1199*$B$15)</f>
        <v>1.119744</v>
      </c>
      <c r="L1199" s="16" t="n">
        <f aca="false">IF(D1199="","",H1199+E1199-K1199-G1199*I1199)</f>
        <v>139.709083803189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14.160070492773</v>
      </c>
      <c r="N1199" s="16" t="n">
        <f aca="false">IF(D1199="","",(I1199+M1199)/2)</f>
        <v>14.2999817328081</v>
      </c>
      <c r="O1199" s="16" t="n">
        <f aca="false">IF(D1199="","",G1199*N1199)</f>
        <v>3.457735582993</v>
      </c>
      <c r="P1199" s="16" t="n">
        <f aca="false">IF(D1199="","",H1199+E1199-K1199-O1199)</f>
        <v>139.742914341029</v>
      </c>
      <c r="Q1199" s="16" t="n">
        <f aca="false">IF(D1199="","",IF(P1199&gt;=0,K1199,MAX(0,K1199+P1199)))</f>
        <v>1.119744</v>
      </c>
      <c r="R1199" s="16" t="n">
        <f aca="false">IF(D1199="","",Q1199/$B$15)</f>
        <v>0.432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139.742914341029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86.2610582352033</v>
      </c>
      <c r="Z1199" s="18" t="n">
        <f aca="false">IF(D1199="","",MAX(0,IF(P1199&gt;=0,P1199,IF(K1199+P1199&gt;=0,0,P1199+K1199))))</f>
        <v>139.742914341029</v>
      </c>
      <c r="AA1199" s="18" t="n">
        <f aca="false">IF(D1199="","",IF(H1199&lt;=$B$16,1,IF(H1199&gt;=$B$17,$B$21,MATCH(H1199,Aux_CAV!$A$2:$A$121,1))))</f>
        <v>22</v>
      </c>
      <c r="AB1199" s="18" t="n">
        <f aca="false">IF(D1199="","",IF(L1199&lt;=$B$16,1,IF(L1199&gt;=$B$17,$B$21,MATCH(L1199,Aux_CAV!$A$2:$A$121,1))))</f>
        <v>22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0.602194031297185</v>
      </c>
      <c r="E1200" s="16" t="n">
        <f aca="false">IF(D1200="","",D1200*$B$15)</f>
        <v>1.5608869291223</v>
      </c>
      <c r="F1200" s="16" t="n">
        <f aca="false" t="array" ref="F1200:F1200">IF(D1200="","",IFERROR(INDEX(Dados_Evap!$C$2:$N$15,MATCH($B$9,Dados_Evap!$A$2:$A$15,0),C1200),0))</f>
        <v>189</v>
      </c>
      <c r="G1200" s="16" t="n">
        <f aca="false">IF(F1200="","",F1200/1000)</f>
        <v>0.189</v>
      </c>
      <c r="H1200" s="16" t="n">
        <f aca="false">IF(D1200="","",MAX(0,MIN($B$8,IFERROR(LOOKUP(2,1/($U$24:U1199&lt;&gt;""),$U$24:U1199),$B$11))))</f>
        <v>139.742914341029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14.1625335848066</v>
      </c>
      <c r="J1200" s="16" t="n">
        <f aca="false">IF(D1200="","",$B$12)</f>
        <v>0.432</v>
      </c>
      <c r="K1200" s="16" t="n">
        <f aca="false">IF(J1200="","",J1200*$B$15)</f>
        <v>1.119744</v>
      </c>
      <c r="L1200" s="16" t="n">
        <f aca="false">IF(D1200="","",H1200+E1200-K1200-G1200*I1200)</f>
        <v>137.507338422623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13.9997685332676</v>
      </c>
      <c r="N1200" s="16" t="n">
        <f aca="false">IF(D1200="","",(I1200+M1200)/2)</f>
        <v>14.0811510590371</v>
      </c>
      <c r="O1200" s="16" t="n">
        <f aca="false">IF(D1200="","",G1200*N1200)</f>
        <v>2.66133755015801</v>
      </c>
      <c r="P1200" s="16" t="n">
        <f aca="false">IF(D1200="","",H1200+E1200-K1200-O1200)</f>
        <v>137.522719719994</v>
      </c>
      <c r="Q1200" s="16" t="n">
        <f aca="false">IF(D1200="","",IF(P1200&gt;=0,K1200,MAX(0,K1200+P1200)))</f>
        <v>1.119744</v>
      </c>
      <c r="R1200" s="16" t="n">
        <f aca="false">IF(D1200="","",Q1200/$B$15)</f>
        <v>0.432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137.522719719994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84.8905677283911</v>
      </c>
      <c r="Z1200" s="18" t="n">
        <f aca="false">IF(D1200="","",MAX(0,IF(P1200&gt;=0,P1200,IF(K1200+P1200&gt;=0,0,P1200+K1200))))</f>
        <v>137.522719719994</v>
      </c>
      <c r="AA1200" s="18" t="n">
        <f aca="false">IF(D1200="","",IF(H1200&lt;=$B$16,1,IF(H1200&gt;=$B$17,$B$21,MATCH(H1200,Aux_CAV!$A$2:$A$121,1))))</f>
        <v>22</v>
      </c>
      <c r="AB1200" s="18" t="n">
        <f aca="false">IF(D1200="","",IF(L1200&lt;=$B$16,1,IF(L1200&gt;=$B$17,$B$21,MATCH(L1200,Aux_CAV!$A$2:$A$121,1))))</f>
        <v>22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0.298206364465402</v>
      </c>
      <c r="E1201" s="16" t="n">
        <f aca="false">IF(D1201="","",D1201*$B$15)</f>
        <v>0.772950896694322</v>
      </c>
      <c r="F1201" s="16" t="n">
        <f aca="false" t="array" ref="F1201:F1201">IF(D1201="","",IFERROR(INDEX(Dados_Evap!$C$2:$N$15,MATCH($B$9,Dados_Evap!$A$2:$A$15,0),C1201),0))</f>
        <v>136.9</v>
      </c>
      <c r="G1201" s="16" t="n">
        <f aca="false">IF(F1201="","",F1201/1000)</f>
        <v>0.1369</v>
      </c>
      <c r="H1201" s="16" t="n">
        <f aca="false">IF(D1201="","",MAX(0,MIN($B$8,IFERROR(LOOKUP(2,1/($U$24:U1200&lt;&gt;""),$U$24:U1200),$B$11))))</f>
        <v>137.522719719994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14.0008883957775</v>
      </c>
      <c r="J1201" s="16" t="n">
        <f aca="false">IF(D1201="","",$B$12)</f>
        <v>0.432</v>
      </c>
      <c r="K1201" s="16" t="n">
        <f aca="false">IF(J1201="","",J1201*$B$15)</f>
        <v>1.119744</v>
      </c>
      <c r="L1201" s="16" t="n">
        <f aca="false">IF(D1201="","",H1201+E1201-K1201-G1201*I1201)</f>
        <v>135.259204995306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13.8360892101225</v>
      </c>
      <c r="N1201" s="16" t="n">
        <f aca="false">IF(D1201="","",(I1201+M1201)/2)</f>
        <v>13.91848880295</v>
      </c>
      <c r="O1201" s="16" t="n">
        <f aca="false">IF(D1201="","",G1201*N1201)</f>
        <v>1.90544111712386</v>
      </c>
      <c r="P1201" s="16" t="n">
        <f aca="false">IF(D1201="","",H1201+E1201-K1201-O1201)</f>
        <v>135.270485499564</v>
      </c>
      <c r="Q1201" s="16" t="n">
        <f aca="false">IF(D1201="","",IF(P1201&gt;=0,K1201,MAX(0,K1201+P1201)))</f>
        <v>1.119744</v>
      </c>
      <c r="R1201" s="16" t="n">
        <f aca="false">IF(D1201="","",Q1201/$B$15)</f>
        <v>0.432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135.270485499564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83.5002996910889</v>
      </c>
      <c r="Z1201" s="18" t="n">
        <f aca="false">IF(D1201="","",MAX(0,IF(P1201&gt;=0,P1201,IF(K1201+P1201&gt;=0,0,P1201+K1201))))</f>
        <v>135.270485499564</v>
      </c>
      <c r="AA1201" s="18" t="n">
        <f aca="false">IF(D1201="","",IF(H1201&lt;=$B$16,1,IF(H1201&gt;=$B$17,$B$21,MATCH(H1201,Aux_CAV!$A$2:$A$121,1))))</f>
        <v>22</v>
      </c>
      <c r="AB1201" s="18" t="n">
        <f aca="false">IF(D1201="","",IF(L1201&lt;=$B$16,1,IF(L1201&gt;=$B$17,$B$21,MATCH(L1201,Aux_CAV!$A$2:$A$121,1))))</f>
        <v>22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1.89278575128206</v>
      </c>
      <c r="E1202" s="16" t="n">
        <f aca="false">IF(D1202="","",D1202*$B$15)</f>
        <v>4.9061006673231</v>
      </c>
      <c r="F1202" s="16" t="n">
        <f aca="false" t="array" ref="F1202:F1202">IF(D1202="","",IFERROR(INDEX(Dados_Evap!$C$2:$N$15,MATCH($B$9,Dados_Evap!$A$2:$A$15,0),C1202),0))</f>
        <v>102.9</v>
      </c>
      <c r="G1202" s="16" t="n">
        <f aca="false">IF(F1202="","",F1202/1000)</f>
        <v>0.1029</v>
      </c>
      <c r="H1202" s="16" t="n">
        <f aca="false">IF(D1202="","",MAX(0,MIN($B$8,IFERROR(LOOKUP(2,1/($U$24:U1201&lt;&gt;""),$U$24:U1201),$B$11))))</f>
        <v>135.270485499564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13.8369105071502</v>
      </c>
      <c r="J1202" s="16" t="n">
        <f aca="false">IF(D1202="","",$B$12)</f>
        <v>0.432</v>
      </c>
      <c r="K1202" s="16" t="n">
        <f aca="false">IF(J1202="","",J1202*$B$15)</f>
        <v>1.119744</v>
      </c>
      <c r="L1202" s="16" t="n">
        <f aca="false">IF(D1202="","",H1202+E1202-K1202-G1202*I1202)</f>
        <v>137.633024075701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14.0089192991318</v>
      </c>
      <c r="N1202" s="16" t="n">
        <f aca="false">IF(D1202="","",(I1202+M1202)/2)</f>
        <v>13.922914903141</v>
      </c>
      <c r="O1202" s="16" t="n">
        <f aca="false">IF(D1202="","",G1202*N1202)</f>
        <v>1.43266794353321</v>
      </c>
      <c r="P1202" s="16" t="n">
        <f aca="false">IF(D1202="","",H1202+E1202-K1202-O1202)</f>
        <v>137.624174223354</v>
      </c>
      <c r="Q1202" s="16" t="n">
        <f aca="false">IF(D1202="","",IF(P1202&gt;=0,K1202,MAX(0,K1202+P1202)))</f>
        <v>1.119744</v>
      </c>
      <c r="R1202" s="16" t="n">
        <f aca="false">IF(D1202="","",Q1202/$B$15)</f>
        <v>0.432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137.624174223354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84.9531939650333</v>
      </c>
      <c r="Z1202" s="18" t="n">
        <f aca="false">IF(D1202="","",MAX(0,IF(P1202&gt;=0,P1202,IF(K1202+P1202&gt;=0,0,P1202+K1202))))</f>
        <v>137.624174223354</v>
      </c>
      <c r="AA1202" s="18" t="n">
        <f aca="false">IF(D1202="","",IF(H1202&lt;=$B$16,1,IF(H1202&gt;=$B$17,$B$21,MATCH(H1202,Aux_CAV!$A$2:$A$121,1))))</f>
        <v>22</v>
      </c>
      <c r="AB1202" s="18" t="n">
        <f aca="false">IF(D1202="","",IF(L1202&lt;=$B$16,1,IF(L1202&gt;=$B$17,$B$21,MATCH(L1202,Aux_CAV!$A$2:$A$121,1))))</f>
        <v>22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6.61814413122316</v>
      </c>
      <c r="E1203" s="16" t="n">
        <f aca="false">IF(D1203="","",D1203*$B$15)</f>
        <v>17.1542295881304</v>
      </c>
      <c r="F1203" s="16" t="n">
        <f aca="false" t="array" ref="F1203:F1203">IF(D1203="","",IFERROR(INDEX(Dados_Evap!$C$2:$N$15,MATCH($B$9,Dados_Evap!$A$2:$A$15,0),C1203),0))</f>
        <v>81.8</v>
      </c>
      <c r="G1203" s="16" t="n">
        <f aca="false">IF(F1203="","",F1203/1000)</f>
        <v>0.0818</v>
      </c>
      <c r="H1203" s="16" t="n">
        <f aca="false">IF(D1203="","",MAX(0,MIN($B$8,IFERROR(LOOKUP(2,1/($U$24:U1202&lt;&gt;""),$U$24:U1202),$B$11))))</f>
        <v>137.624174223354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14.0082749700076</v>
      </c>
      <c r="J1203" s="16" t="n">
        <f aca="false">IF(D1203="","",$B$12)</f>
        <v>0.432</v>
      </c>
      <c r="K1203" s="16" t="n">
        <f aca="false">IF(J1203="","",J1203*$B$15)</f>
        <v>1.119744</v>
      </c>
      <c r="L1203" s="16" t="n">
        <f aca="false">IF(D1203="","",H1203+E1203-K1203-G1203*I1203)</f>
        <v>152.512782918938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15.0922664111973</v>
      </c>
      <c r="N1203" s="16" t="n">
        <f aca="false">IF(D1203="","",(I1203+M1203)/2)</f>
        <v>14.5502706906025</v>
      </c>
      <c r="O1203" s="16" t="n">
        <f aca="false">IF(D1203="","",G1203*N1203)</f>
        <v>1.19021214249128</v>
      </c>
      <c r="P1203" s="16" t="n">
        <f aca="false">IF(D1203="","",H1203+E1203-K1203-O1203)</f>
        <v>152.468447668993</v>
      </c>
      <c r="Q1203" s="16" t="n">
        <f aca="false">IF(D1203="","",IF(P1203&gt;=0,K1203,MAX(0,K1203+P1203)))</f>
        <v>1.119744</v>
      </c>
      <c r="R1203" s="16" t="n">
        <f aca="false">IF(D1203="","",Q1203/$B$15)</f>
        <v>0.432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152.468447668993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94.1163257216006</v>
      </c>
      <c r="Z1203" s="18" t="n">
        <f aca="false">IF(D1203="","",MAX(0,IF(P1203&gt;=0,P1203,IF(K1203+P1203&gt;=0,0,P1203+K1203))))</f>
        <v>152.468447668993</v>
      </c>
      <c r="AA1203" s="18" t="n">
        <f aca="false">IF(D1203="","",IF(H1203&lt;=$B$16,1,IF(H1203&gt;=$B$17,$B$21,MATCH(H1203,Aux_CAV!$A$2:$A$121,1))))</f>
        <v>22</v>
      </c>
      <c r="AB1203" s="18" t="n">
        <f aca="false">IF(D1203="","",IF(L1203&lt;=$B$16,1,IF(L1203&gt;=$B$17,$B$21,MATCH(L1203,Aux_CAV!$A$2:$A$121,1))))</f>
        <v>22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5.75899577706899</v>
      </c>
      <c r="E1204" s="16" t="n">
        <f aca="false">IF(D1204="","",D1204*$B$15)</f>
        <v>14.9273170541628</v>
      </c>
      <c r="F1204" s="16" t="n">
        <f aca="false" t="array" ref="F1204:F1204">IF(D1204="","",IFERROR(INDEX(Dados_Evap!$C$2:$N$15,MATCH($B$9,Dados_Evap!$A$2:$A$15,0),C1204),0))</f>
        <v>83.6</v>
      </c>
      <c r="G1204" s="16" t="n">
        <f aca="false">IF(F1204="","",F1204/1000)</f>
        <v>0.0836</v>
      </c>
      <c r="H1204" s="16" t="n">
        <f aca="false">IF(D1204="","",MAX(0,MIN($B$8,IFERROR(LOOKUP(2,1/($U$24:U1203&lt;&gt;""),$U$24:U1203),$B$11))))</f>
        <v>152.468447668993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15.0890385050534</v>
      </c>
      <c r="J1204" s="16" t="n">
        <f aca="false">IF(D1204="","",$B$12)</f>
        <v>0.432</v>
      </c>
      <c r="K1204" s="16" t="n">
        <f aca="false">IF(J1204="","",J1204*$B$15)</f>
        <v>1.119744</v>
      </c>
      <c r="L1204" s="16" t="n">
        <f aca="false">IF(D1204="","",H1204+E1204-K1204-G1204*I1204)</f>
        <v>165.014577104133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15.9633004210853</v>
      </c>
      <c r="N1204" s="16" t="n">
        <f aca="false">IF(D1204="","",(I1204+M1204)/2)</f>
        <v>15.5261694630693</v>
      </c>
      <c r="O1204" s="16" t="n">
        <f aca="false">IF(D1204="","",G1204*N1204)</f>
        <v>1.2979877671126</v>
      </c>
      <c r="P1204" s="16" t="n">
        <f aca="false">IF(D1204="","",H1204+E1204-K1204-O1204)</f>
        <v>164.978032956043</v>
      </c>
      <c r="Q1204" s="16" t="n">
        <f aca="false">IF(D1204="","",IF(P1204&gt;=0,K1204,MAX(0,K1204+P1204)))</f>
        <v>1.119744</v>
      </c>
      <c r="R1204" s="16" t="n">
        <f aca="false">IF(D1204="","",Q1204/$B$15)</f>
        <v>0.432</v>
      </c>
      <c r="S1204" s="16" t="n">
        <f aca="false">IF(D1204="","",MAX(0,J1204-R1204))</f>
        <v>0</v>
      </c>
      <c r="T1204" s="16" t="n">
        <f aca="false">IF(D1204="","",MAX(0,Z1204-$B$8))</f>
        <v>2.97803295604325</v>
      </c>
      <c r="U1204" s="16" t="n">
        <f aca="false">IF(D1204="","",MAX(0,MIN($B$8,Z1204)))</f>
        <v>162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164.978032956043</v>
      </c>
      <c r="AA1204" s="18" t="n">
        <f aca="false">IF(D1204="","",IF(H1204&lt;=$B$16,1,IF(H1204&gt;=$B$17,$B$21,MATCH(H1204,Aux_CAV!$A$2:$A$121,1))))</f>
        <v>22</v>
      </c>
      <c r="AB1204" s="18" t="n">
        <f aca="false">IF(D1204="","",IF(L1204&lt;=$B$16,1,IF(L1204&gt;=$B$17,$B$21,MATCH(L1204,Aux_CAV!$A$2:$A$121,1))))</f>
        <v>23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2.13744464783795</v>
      </c>
      <c r="E1205" s="16" t="n">
        <f aca="false">IF(D1205="","",D1205*$B$15)</f>
        <v>5.54025652719597</v>
      </c>
      <c r="F1205" s="16" t="n">
        <f aca="false" t="array" ref="F1205:F1205">IF(D1205="","",IFERROR(INDEX(Dados_Evap!$C$2:$N$15,MATCH($B$9,Dados_Evap!$A$2:$A$15,0),C1205),0))</f>
        <v>108.2</v>
      </c>
      <c r="G1205" s="16" t="n">
        <f aca="false">IF(F1205="","",F1205/1000)</f>
        <v>0.1082</v>
      </c>
      <c r="H1205" s="16" t="n">
        <f aca="false">IF(D1205="","",MAX(0,MIN($B$8,IFERROR(LOOKUP(2,1/($U$24:U1204&lt;&gt;""),$U$24:U1204),$B$11))))</f>
        <v>162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15.783</v>
      </c>
      <c r="J1205" s="16" t="n">
        <f aca="false">IF(D1205="","",$B$12)</f>
        <v>0.432</v>
      </c>
      <c r="K1205" s="16" t="n">
        <f aca="false">IF(J1205="","",J1205*$B$15)</f>
        <v>1.119744</v>
      </c>
      <c r="L1205" s="16" t="n">
        <f aca="false">IF(D1205="","",H1205+E1205-K1205-G1205*I1205)</f>
        <v>164.712791927196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15.9452507933599</v>
      </c>
      <c r="N1205" s="16" t="n">
        <f aca="false">IF(D1205="","",(I1205+M1205)/2)</f>
        <v>15.86412539668</v>
      </c>
      <c r="O1205" s="16" t="n">
        <f aca="false">IF(D1205="","",G1205*N1205)</f>
        <v>1.71649836792077</v>
      </c>
      <c r="P1205" s="16" t="n">
        <f aca="false">IF(D1205="","",H1205+E1205-K1205-O1205)</f>
        <v>164.704014159275</v>
      </c>
      <c r="Q1205" s="16" t="n">
        <f aca="false">IF(D1205="","",IF(P1205&gt;=0,K1205,MAX(0,K1205+P1205)))</f>
        <v>1.119744</v>
      </c>
      <c r="R1205" s="16" t="n">
        <f aca="false">IF(D1205="","",Q1205/$B$15)</f>
        <v>0.432</v>
      </c>
      <c r="S1205" s="16" t="n">
        <f aca="false">IF(D1205="","",MAX(0,J1205-R1205))</f>
        <v>0</v>
      </c>
      <c r="T1205" s="16" t="n">
        <f aca="false">IF(D1205="","",MAX(0,Z1205-$B$8))</f>
        <v>2.7040141592752</v>
      </c>
      <c r="U1205" s="16" t="n">
        <f aca="false">IF(D1205="","",MAX(0,MIN($B$8,Z1205)))</f>
        <v>162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100</v>
      </c>
      <c r="Z1205" s="18" t="n">
        <f aca="false">IF(D1205="","",MAX(0,IF(P1205&gt;=0,P1205,IF(K1205+P1205&gt;=0,0,P1205+K1205))))</f>
        <v>164.704014159275</v>
      </c>
      <c r="AA1205" s="18" t="n">
        <f aca="false">IF(D1205="","",IF(H1205&lt;=$B$16,1,IF(H1205&gt;=$B$17,$B$21,MATCH(H1205,Aux_CAV!$A$2:$A$121,1))))</f>
        <v>23</v>
      </c>
      <c r="AB1205" s="18" t="n">
        <f aca="false">IF(D1205="","",IF(L1205&lt;=$B$16,1,IF(L1205&gt;=$B$17,$B$21,MATCH(L1205,Aux_CAV!$A$2:$A$121,1))))</f>
        <v>23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1.60491800790383</v>
      </c>
      <c r="E1206" s="16" t="n">
        <f aca="false">IF(D1206="","",D1206*$B$15)</f>
        <v>4.15994747648673</v>
      </c>
      <c r="F1206" s="16" t="n">
        <f aca="false" t="array" ref="F1206:F1206">IF(D1206="","",IFERROR(INDEX(Dados_Evap!$C$2:$N$15,MATCH($B$9,Dados_Evap!$A$2:$A$15,0),C1206),0))</f>
        <v>149</v>
      </c>
      <c r="G1206" s="16" t="n">
        <f aca="false">IF(F1206="","",F1206/1000)</f>
        <v>0.149</v>
      </c>
      <c r="H1206" s="16" t="n">
        <f aca="false">IF(D1206="","",MAX(0,MIN($B$8,IFERROR(LOOKUP(2,1/($U$24:U1205&lt;&gt;""),$U$24:U1205),$B$11))))</f>
        <v>162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15.783</v>
      </c>
      <c r="J1206" s="16" t="n">
        <f aca="false">IF(D1206="","",$B$12)</f>
        <v>0.432</v>
      </c>
      <c r="K1206" s="16" t="n">
        <f aca="false">IF(J1206="","",J1206*$B$15)</f>
        <v>1.119744</v>
      </c>
      <c r="L1206" s="16" t="n">
        <f aca="false">IF(D1206="","",H1206+E1206-K1206-G1206*I1206)</f>
        <v>162.688536476487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15.8241810387842</v>
      </c>
      <c r="N1206" s="16" t="n">
        <f aca="false">IF(D1206="","",(I1206+M1206)/2)</f>
        <v>15.8035905193921</v>
      </c>
      <c r="O1206" s="16" t="n">
        <f aca="false">IF(D1206="","",G1206*N1206)</f>
        <v>2.35473498738942</v>
      </c>
      <c r="P1206" s="16" t="n">
        <f aca="false">IF(D1206="","",H1206+E1206-K1206-O1206)</f>
        <v>162.685468489097</v>
      </c>
      <c r="Q1206" s="16" t="n">
        <f aca="false">IF(D1206="","",IF(P1206&gt;=0,K1206,MAX(0,K1206+P1206)))</f>
        <v>1.119744</v>
      </c>
      <c r="R1206" s="16" t="n">
        <f aca="false">IF(D1206="","",Q1206/$B$15)</f>
        <v>0.432</v>
      </c>
      <c r="S1206" s="16" t="n">
        <f aca="false">IF(D1206="","",MAX(0,J1206-R1206))</f>
        <v>0</v>
      </c>
      <c r="T1206" s="16" t="n">
        <f aca="false">IF(D1206="","",MAX(0,Z1206-$B$8))</f>
        <v>0.685468489097332</v>
      </c>
      <c r="U1206" s="16" t="n">
        <f aca="false">IF(D1206="","",MAX(0,MIN($B$8,Z1206)))</f>
        <v>162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100</v>
      </c>
      <c r="Z1206" s="18" t="n">
        <f aca="false">IF(D1206="","",MAX(0,IF(P1206&gt;=0,P1206,IF(K1206+P1206&gt;=0,0,P1206+K1206))))</f>
        <v>162.685468489097</v>
      </c>
      <c r="AA1206" s="18" t="n">
        <f aca="false">IF(D1206="","",IF(H1206&lt;=$B$16,1,IF(H1206&gt;=$B$17,$B$21,MATCH(H1206,Aux_CAV!$A$2:$A$121,1))))</f>
        <v>23</v>
      </c>
      <c r="AB1206" s="18" t="n">
        <f aca="false">IF(D1206="","",IF(L1206&lt;=$B$16,1,IF(L1206&gt;=$B$17,$B$21,MATCH(L1206,Aux_CAV!$A$2:$A$121,1))))</f>
        <v>23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1.21182917501312</v>
      </c>
      <c r="E1207" s="16" t="n">
        <f aca="false">IF(D1207="","",D1207*$B$15)</f>
        <v>3.14106122163401</v>
      </c>
      <c r="F1207" s="16" t="n">
        <f aca="false" t="array" ref="F1207:F1207">IF(D1207="","",IFERROR(INDEX(Dados_Evap!$C$2:$N$15,MATCH($B$9,Dados_Evap!$A$2:$A$15,0),C1207),0))</f>
        <v>206.8</v>
      </c>
      <c r="G1207" s="16" t="n">
        <f aca="false">IF(F1207="","",F1207/1000)</f>
        <v>0.2068</v>
      </c>
      <c r="H1207" s="16" t="n">
        <f aca="false">IF(D1207="","",MAX(0,MIN($B$8,IFERROR(LOOKUP(2,1/($U$24:U1206&lt;&gt;""),$U$24:U1206),$B$11))))</f>
        <v>162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15.783</v>
      </c>
      <c r="J1207" s="16" t="n">
        <f aca="false">IF(D1207="","",$B$12)</f>
        <v>0.432</v>
      </c>
      <c r="K1207" s="16" t="n">
        <f aca="false">IF(J1207="","",J1207*$B$15)</f>
        <v>1.119744</v>
      </c>
      <c r="L1207" s="16" t="n">
        <f aca="false">IF(D1207="","",H1207+E1207-K1207-G1207*I1207)</f>
        <v>160.757392821634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15.6925297906171</v>
      </c>
      <c r="N1207" s="16" t="n">
        <f aca="false">IF(D1207="","",(I1207+M1207)/2)</f>
        <v>15.7377648953085</v>
      </c>
      <c r="O1207" s="16" t="n">
        <f aca="false">IF(D1207="","",G1207*N1207)</f>
        <v>3.25456978034981</v>
      </c>
      <c r="P1207" s="16" t="n">
        <f aca="false">IF(D1207="","",H1207+E1207-K1207-O1207)</f>
        <v>160.766747441284</v>
      </c>
      <c r="Q1207" s="16" t="n">
        <f aca="false">IF(D1207="","",IF(P1207&gt;=0,K1207,MAX(0,K1207+P1207)))</f>
        <v>1.119744</v>
      </c>
      <c r="R1207" s="16" t="n">
        <f aca="false">IF(D1207="","",Q1207/$B$15)</f>
        <v>0.432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160.766747441284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99.238732988447</v>
      </c>
      <c r="Z1207" s="18" t="n">
        <f aca="false">IF(D1207="","",MAX(0,IF(P1207&gt;=0,P1207,IF(K1207+P1207&gt;=0,0,P1207+K1207))))</f>
        <v>160.766747441284</v>
      </c>
      <c r="AA1207" s="18" t="n">
        <f aca="false">IF(D1207="","",IF(H1207&lt;=$B$16,1,IF(H1207&gt;=$B$17,$B$21,MATCH(H1207,Aux_CAV!$A$2:$A$121,1))))</f>
        <v>23</v>
      </c>
      <c r="AB1207" s="18" t="n">
        <f aca="false">IF(D1207="","",IF(L1207&lt;=$B$16,1,IF(L1207&gt;=$B$17,$B$21,MATCH(L1207,Aux_CAV!$A$2:$A$121,1))))</f>
        <v>22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0.296646360305529</v>
      </c>
      <c r="E1208" s="16" t="n">
        <f aca="false">IF(D1208="","",D1208*$B$15)</f>
        <v>0.768907365911931</v>
      </c>
      <c r="F1208" s="16" t="n">
        <f aca="false" t="array" ref="F1208:F1208">IF(D1208="","",IFERROR(INDEX(Dados_Evap!$C$2:$N$15,MATCH($B$9,Dados_Evap!$A$2:$A$15,0),C1208),0))</f>
        <v>245.9</v>
      </c>
      <c r="G1208" s="16" t="n">
        <f aca="false">IF(F1208="","",F1208/1000)</f>
        <v>0.2459</v>
      </c>
      <c r="H1208" s="16" t="n">
        <f aca="false">IF(D1208="","",MAX(0,MIN($B$8,IFERROR(LOOKUP(2,1/($U$24:U1207&lt;&gt;""),$U$24:U1207),$B$11))))</f>
        <v>160.766747441284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15.6932108702159</v>
      </c>
      <c r="J1208" s="16" t="n">
        <f aca="false">IF(D1208="","",$B$12)</f>
        <v>0.432</v>
      </c>
      <c r="K1208" s="16" t="n">
        <f aca="false">IF(J1208="","",J1208*$B$15)</f>
        <v>1.119744</v>
      </c>
      <c r="L1208" s="16" t="n">
        <f aca="false">IF(D1208="","",H1208+E1208-K1208-G1208*I1208)</f>
        <v>156.55695025421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15.3867091538207</v>
      </c>
      <c r="N1208" s="16" t="n">
        <f aca="false">IF(D1208="","",(I1208+M1208)/2)</f>
        <v>15.5399600120183</v>
      </c>
      <c r="O1208" s="16" t="n">
        <f aca="false">IF(D1208="","",G1208*N1208)</f>
        <v>3.82127616695529</v>
      </c>
      <c r="P1208" s="16" t="n">
        <f aca="false">IF(D1208="","",H1208+E1208-K1208-O1208)</f>
        <v>156.594634640241</v>
      </c>
      <c r="Q1208" s="16" t="n">
        <f aca="false">IF(D1208="","",IF(P1208&gt;=0,K1208,MAX(0,K1208+P1208)))</f>
        <v>1.119744</v>
      </c>
      <c r="R1208" s="16" t="n">
        <f aca="false">IF(D1208="","",Q1208/$B$15)</f>
        <v>0.432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156.594634640241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96.663354716198</v>
      </c>
      <c r="Z1208" s="18" t="n">
        <f aca="false">IF(D1208="","",MAX(0,IF(P1208&gt;=0,P1208,IF(K1208+P1208&gt;=0,0,P1208+K1208))))</f>
        <v>156.594634640241</v>
      </c>
      <c r="AA1208" s="18" t="n">
        <f aca="false">IF(D1208="","",IF(H1208&lt;=$B$16,1,IF(H1208&gt;=$B$17,$B$21,MATCH(H1208,Aux_CAV!$A$2:$A$121,1))))</f>
        <v>22</v>
      </c>
      <c r="AB1208" s="18" t="n">
        <f aca="false">IF(D1208="","",IF(L1208&lt;=$B$16,1,IF(L1208&gt;=$B$17,$B$21,MATCH(L1208,Aux_CAV!$A$2:$A$121,1))))</f>
        <v>22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0.31055301711395</v>
      </c>
      <c r="E1209" s="16" t="n">
        <f aca="false">IF(D1209="","",D1209*$B$15)</f>
        <v>0.804953420359359</v>
      </c>
      <c r="F1209" s="16" t="n">
        <f aca="false" t="array" ref="F1209:F1209">IF(D1209="","",IFERROR(INDEX(Dados_Evap!$C$2:$N$15,MATCH($B$9,Dados_Evap!$A$2:$A$15,0),C1209),0))</f>
        <v>282.3</v>
      </c>
      <c r="G1209" s="16" t="n">
        <f aca="false">IF(F1209="","",F1209/1000)</f>
        <v>0.2823</v>
      </c>
      <c r="H1209" s="16" t="n">
        <f aca="false">IF(D1209="","",MAX(0,MIN($B$8,IFERROR(LOOKUP(2,1/($U$24:U1208&lt;&gt;""),$U$24:U1208),$B$11))))</f>
        <v>156.594634640241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15.3894528320756</v>
      </c>
      <c r="J1209" s="16" t="n">
        <f aca="false">IF(D1209="","",$B$12)</f>
        <v>0.432</v>
      </c>
      <c r="K1209" s="16" t="n">
        <f aca="false">IF(J1209="","",J1209*$B$15)</f>
        <v>1.119744</v>
      </c>
      <c r="L1209" s="16" t="n">
        <f aca="false">IF(D1209="","",H1209+E1209-K1209-G1209*I1209)</f>
        <v>151.935401526105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15.0502291395536</v>
      </c>
      <c r="N1209" s="16" t="n">
        <f aca="false">IF(D1209="","",(I1209+M1209)/2)</f>
        <v>15.2198409858146</v>
      </c>
      <c r="O1209" s="16" t="n">
        <f aca="false">IF(D1209="","",G1209*N1209)</f>
        <v>4.29656111029546</v>
      </c>
      <c r="P1209" s="16" t="n">
        <f aca="false">IF(D1209="","",H1209+E1209-K1209-O1209)</f>
        <v>151.983282950305</v>
      </c>
      <c r="Q1209" s="16" t="n">
        <f aca="false">IF(D1209="","",IF(P1209&gt;=0,K1209,MAX(0,K1209+P1209)))</f>
        <v>1.119744</v>
      </c>
      <c r="R1209" s="16" t="n">
        <f aca="false">IF(D1209="","",Q1209/$B$15)</f>
        <v>0.432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151.983282950305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93.8168413273486</v>
      </c>
      <c r="Z1209" s="18" t="n">
        <f aca="false">IF(D1209="","",MAX(0,IF(P1209&gt;=0,P1209,IF(K1209+P1209&gt;=0,0,P1209+K1209))))</f>
        <v>151.983282950305</v>
      </c>
      <c r="AA1209" s="18" t="n">
        <f aca="false">IF(D1209="","",IF(H1209&lt;=$B$16,1,IF(H1209&gt;=$B$17,$B$21,MATCH(H1209,Aux_CAV!$A$2:$A$121,1))))</f>
        <v>22</v>
      </c>
      <c r="AB1209" s="18" t="n">
        <f aca="false">IF(D1209="","",IF(L1209&lt;=$B$16,1,IF(L1209&gt;=$B$17,$B$21,MATCH(L1209,Aux_CAV!$A$2:$A$121,1))))</f>
        <v>22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0.284417414932371</v>
      </c>
      <c r="E1210" s="16" t="n">
        <f aca="false">IF(D1210="","",D1210*$B$15)</f>
        <v>0.737209939504706</v>
      </c>
      <c r="F1210" s="16" t="n">
        <f aca="false" t="array" ref="F1210:F1210">IF(D1210="","",IFERROR(INDEX(Dados_Evap!$C$2:$N$15,MATCH($B$9,Dados_Evap!$A$2:$A$15,0),C1210),0))</f>
        <v>241.3</v>
      </c>
      <c r="G1210" s="16" t="n">
        <f aca="false">IF(F1210="","",F1210/1000)</f>
        <v>0.2413</v>
      </c>
      <c r="H1210" s="16" t="n">
        <f aca="false">IF(D1210="","",MAX(0,MIN($B$8,IFERROR(LOOKUP(2,1/($U$24:U1209&lt;&gt;""),$U$24:U1209),$B$11))))</f>
        <v>151.983282950305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15.0537152311748</v>
      </c>
      <c r="J1210" s="16" t="n">
        <f aca="false">IF(D1210="","",$B$12)</f>
        <v>0.432</v>
      </c>
      <c r="K1210" s="16" t="n">
        <f aca="false">IF(J1210="","",J1210*$B$15)</f>
        <v>1.119744</v>
      </c>
      <c r="L1210" s="16" t="n">
        <f aca="false">IF(D1210="","",H1210+E1210-K1210-G1210*I1210)</f>
        <v>147.968287404527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14.7613963921869</v>
      </c>
      <c r="N1210" s="16" t="n">
        <f aca="false">IF(D1210="","",(I1210+M1210)/2)</f>
        <v>14.9075558116808</v>
      </c>
      <c r="O1210" s="16" t="n">
        <f aca="false">IF(D1210="","",G1210*N1210)</f>
        <v>3.59719321735859</v>
      </c>
      <c r="P1210" s="16" t="n">
        <f aca="false">IF(D1210="","",H1210+E1210-K1210-O1210)</f>
        <v>148.003555672451</v>
      </c>
      <c r="Q1210" s="16" t="n">
        <f aca="false">IF(D1210="","",IF(P1210&gt;=0,K1210,MAX(0,K1210+P1210)))</f>
        <v>1.119744</v>
      </c>
      <c r="R1210" s="16" t="n">
        <f aca="false">IF(D1210="","",Q1210/$B$15)</f>
        <v>0.432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148.003555672451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91.3602195508956</v>
      </c>
      <c r="Z1210" s="18" t="n">
        <f aca="false">IF(D1210="","",MAX(0,IF(P1210&gt;=0,P1210,IF(K1210+P1210&gt;=0,0,P1210+K1210))))</f>
        <v>148.003555672451</v>
      </c>
      <c r="AA1210" s="18" t="n">
        <f aca="false">IF(D1210="","",IF(H1210&lt;=$B$16,1,IF(H1210&gt;=$B$17,$B$21,MATCH(H1210,Aux_CAV!$A$2:$A$121,1))))</f>
        <v>22</v>
      </c>
      <c r="AB1210" s="18" t="n">
        <f aca="false">IF(D1210="","",IF(L1210&lt;=$B$16,1,IF(L1210&gt;=$B$17,$B$21,MATCH(L1210,Aux_CAV!$A$2:$A$121,1))))</f>
        <v>22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0.281560417261627</v>
      </c>
      <c r="E1211" s="16" t="n">
        <f aca="false">IF(D1211="","",D1211*$B$15)</f>
        <v>0.729804601542137</v>
      </c>
      <c r="F1211" s="16" t="n">
        <f aca="false" t="array" ref="F1211:F1211">IF(D1211="","",IFERROR(INDEX(Dados_Evap!$C$2:$N$15,MATCH($B$9,Dados_Evap!$A$2:$A$15,0),C1211),0))</f>
        <v>241.8</v>
      </c>
      <c r="G1211" s="16" t="n">
        <f aca="false">IF(F1211="","",F1211/1000)</f>
        <v>0.2418</v>
      </c>
      <c r="H1211" s="16" t="n">
        <f aca="false">IF(D1211="","",MAX(0,MIN($B$8,IFERROR(LOOKUP(2,1/($U$24:U1210&lt;&gt;""),$U$24:U1210),$B$11))))</f>
        <v>148.003555672451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14.7639641606975</v>
      </c>
      <c r="J1211" s="16" t="n">
        <f aca="false">IF(D1211="","",$B$12)</f>
        <v>0.432</v>
      </c>
      <c r="K1211" s="16" t="n">
        <f aca="false">IF(J1211="","",J1211*$B$15)</f>
        <v>1.119744</v>
      </c>
      <c r="L1211" s="16" t="n">
        <f aca="false">IF(D1211="","",H1211+E1211-K1211-G1211*I1211)</f>
        <v>144.043689739936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14.4756591305319</v>
      </c>
      <c r="N1211" s="16" t="n">
        <f aca="false">IF(D1211="","",(I1211+M1211)/2)</f>
        <v>14.6198116456147</v>
      </c>
      <c r="O1211" s="16" t="n">
        <f aca="false">IF(D1211="","",G1211*N1211)</f>
        <v>3.53507045590963</v>
      </c>
      <c r="P1211" s="16" t="n">
        <f aca="false">IF(D1211="","",H1211+E1211-K1211-O1211)</f>
        <v>144.078545818083</v>
      </c>
      <c r="Q1211" s="16" t="n">
        <f aca="false">IF(D1211="","",IF(P1211&gt;=0,K1211,MAX(0,K1211+P1211)))</f>
        <v>1.119744</v>
      </c>
      <c r="R1211" s="16" t="n">
        <f aca="false">IF(D1211="","",Q1211/$B$15)</f>
        <v>0.432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144.078545818083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88.9373739617799</v>
      </c>
      <c r="Z1211" s="18" t="n">
        <f aca="false">IF(D1211="","",MAX(0,IF(P1211&gt;=0,P1211,IF(K1211+P1211&gt;=0,0,P1211+K1211))))</f>
        <v>144.078545818083</v>
      </c>
      <c r="AA1211" s="18" t="n">
        <f aca="false">IF(D1211="","",IF(H1211&lt;=$B$16,1,IF(H1211&gt;=$B$17,$B$21,MATCH(H1211,Aux_CAV!$A$2:$A$121,1))))</f>
        <v>22</v>
      </c>
      <c r="AB1211" s="18" t="n">
        <f aca="false">IF(D1211="","",IF(L1211&lt;=$B$16,1,IF(L1211&gt;=$B$17,$B$21,MATCH(L1211,Aux_CAV!$A$2:$A$121,1))))</f>
        <v>22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0.616289171197878</v>
      </c>
      <c r="E1212" s="16" t="n">
        <f aca="false">IF(D1212="","",D1212*$B$15)</f>
        <v>1.5974215317449</v>
      </c>
      <c r="F1212" s="16" t="n">
        <f aca="false" t="array" ref="F1212:F1212">IF(D1212="","",IFERROR(INDEX(Dados_Evap!$C$2:$N$15,MATCH($B$9,Dados_Evap!$A$2:$A$15,0),C1212),0))</f>
        <v>189</v>
      </c>
      <c r="G1212" s="16" t="n">
        <f aca="false">IF(F1212="","",F1212/1000)</f>
        <v>0.189</v>
      </c>
      <c r="H1212" s="16" t="n">
        <f aca="false">IF(D1212="","",MAX(0,MIN($B$8,IFERROR(LOOKUP(2,1/($U$24:U1211&lt;&gt;""),$U$24:U1211),$B$11))))</f>
        <v>144.078545818083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14.4781968888381</v>
      </c>
      <c r="J1212" s="16" t="n">
        <f aca="false">IF(D1212="","",$B$12)</f>
        <v>0.432</v>
      </c>
      <c r="K1212" s="16" t="n">
        <f aca="false">IF(J1212="","",J1212*$B$15)</f>
        <v>1.119744</v>
      </c>
      <c r="L1212" s="16" t="n">
        <f aca="false">IF(D1212="","",H1212+E1212-K1212-G1212*I1212)</f>
        <v>141.819844137838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14.3137481253809</v>
      </c>
      <c r="N1212" s="16" t="n">
        <f aca="false">IF(D1212="","",(I1212+M1212)/2)</f>
        <v>14.3959725071095</v>
      </c>
      <c r="O1212" s="16" t="n">
        <f aca="false">IF(D1212="","",G1212*N1212)</f>
        <v>2.72083880384369</v>
      </c>
      <c r="P1212" s="16" t="n">
        <f aca="false">IF(D1212="","",H1212+E1212-K1212-O1212)</f>
        <v>141.835384545985</v>
      </c>
      <c r="Q1212" s="16" t="n">
        <f aca="false">IF(D1212="","",IF(P1212&gt;=0,K1212,MAX(0,K1212+P1212)))</f>
        <v>1.119744</v>
      </c>
      <c r="R1212" s="16" t="n">
        <f aca="false">IF(D1212="","",Q1212/$B$15)</f>
        <v>0.432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141.835384545985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87.552706509867</v>
      </c>
      <c r="Z1212" s="18" t="n">
        <f aca="false">IF(D1212="","",MAX(0,IF(P1212&gt;=0,P1212,IF(K1212+P1212&gt;=0,0,P1212+K1212))))</f>
        <v>141.835384545985</v>
      </c>
      <c r="AA1212" s="18" t="n">
        <f aca="false">IF(D1212="","",IF(H1212&lt;=$B$16,1,IF(H1212&gt;=$B$17,$B$21,MATCH(H1212,Aux_CAV!$A$2:$A$121,1))))</f>
        <v>22</v>
      </c>
      <c r="AB1212" s="18" t="n">
        <f aca="false">IF(D1212="","",IF(L1212&lt;=$B$16,1,IF(L1212&gt;=$B$17,$B$21,MATCH(L1212,Aux_CAV!$A$2:$A$121,1))))</f>
        <v>22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1.44216939708087</v>
      </c>
      <c r="E1213" s="16" t="n">
        <f aca="false">IF(D1213="","",D1213*$B$15)</f>
        <v>3.73810307723362</v>
      </c>
      <c r="F1213" s="16" t="n">
        <f aca="false" t="array" ref="F1213:F1213">IF(D1213="","",IFERROR(INDEX(Dados_Evap!$C$2:$N$15,MATCH($B$9,Dados_Evap!$A$2:$A$15,0),C1213),0))</f>
        <v>136.9</v>
      </c>
      <c r="G1213" s="16" t="n">
        <f aca="false">IF(F1213="","",F1213/1000)</f>
        <v>0.1369</v>
      </c>
      <c r="H1213" s="16" t="n">
        <f aca="false">IF(D1213="","",MAX(0,MIN($B$8,IFERROR(LOOKUP(2,1/($U$24:U1212&lt;&gt;""),$U$24:U1212),$B$11))))</f>
        <v>141.835384545985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14.3148795722318</v>
      </c>
      <c r="J1213" s="16" t="n">
        <f aca="false">IF(D1213="","",$B$12)</f>
        <v>0.432</v>
      </c>
      <c r="K1213" s="16" t="n">
        <f aca="false">IF(J1213="","",J1213*$B$15)</f>
        <v>1.119744</v>
      </c>
      <c r="L1213" s="16" t="n">
        <f aca="false">IF(D1213="","",H1213+E1213-K1213-G1213*I1213)</f>
        <v>142.49403660978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14.3628338985543</v>
      </c>
      <c r="N1213" s="16" t="n">
        <f aca="false">IF(D1213="","",(I1213+M1213)/2)</f>
        <v>14.3388567353931</v>
      </c>
      <c r="O1213" s="16" t="n">
        <f aca="false">IF(D1213="","",G1213*N1213)</f>
        <v>1.96298948707531</v>
      </c>
      <c r="P1213" s="16" t="n">
        <f aca="false">IF(D1213="","",H1213+E1213-K1213-O1213)</f>
        <v>142.490754136143</v>
      </c>
      <c r="Q1213" s="16" t="n">
        <f aca="false">IF(D1213="","",IF(P1213&gt;=0,K1213,MAX(0,K1213+P1213)))</f>
        <v>1.119744</v>
      </c>
      <c r="R1213" s="16" t="n">
        <f aca="false">IF(D1213="","",Q1213/$B$15)</f>
        <v>0.432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142.490754136143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87.9572556395944</v>
      </c>
      <c r="Z1213" s="18" t="n">
        <f aca="false">IF(D1213="","",MAX(0,IF(P1213&gt;=0,P1213,IF(K1213+P1213&gt;=0,0,P1213+K1213))))</f>
        <v>142.490754136143</v>
      </c>
      <c r="AA1213" s="18" t="n">
        <f aca="false">IF(D1213="","",IF(H1213&lt;=$B$16,1,IF(H1213&gt;=$B$17,$B$21,MATCH(H1213,Aux_CAV!$A$2:$A$121,1))))</f>
        <v>22</v>
      </c>
      <c r="AB1213" s="18" t="n">
        <f aca="false">IF(D1213="","",IF(L1213&lt;=$B$16,1,IF(L1213&gt;=$B$17,$B$21,MATCH(L1213,Aux_CAV!$A$2:$A$121,1))))</f>
        <v>22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5.26435381905195</v>
      </c>
      <c r="E1214" s="16" t="n">
        <f aca="false">IF(D1214="","",D1214*$B$15)</f>
        <v>13.6452050989827</v>
      </c>
      <c r="F1214" s="16" t="n">
        <f aca="false" t="array" ref="F1214:F1214">IF(D1214="","",IFERROR(INDEX(Dados_Evap!$C$2:$N$15,MATCH($B$9,Dados_Evap!$A$2:$A$15,0),C1214),0))</f>
        <v>102.9</v>
      </c>
      <c r="G1214" s="16" t="n">
        <f aca="false">IF(F1214="","",F1214/1000)</f>
        <v>0.1029</v>
      </c>
      <c r="H1214" s="16" t="n">
        <f aca="false">IF(D1214="","",MAX(0,MIN($B$8,IFERROR(LOOKUP(2,1/($U$24:U1213&lt;&gt;""),$U$24:U1213),$B$11))))</f>
        <v>142.490754136143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14.3625949122661</v>
      </c>
      <c r="J1214" s="16" t="n">
        <f aca="false">IF(D1214="","",$B$12)</f>
        <v>0.432</v>
      </c>
      <c r="K1214" s="16" t="n">
        <f aca="false">IF(J1214="","",J1214*$B$15)</f>
        <v>1.119744</v>
      </c>
      <c r="L1214" s="16" t="n">
        <f aca="false">IF(D1214="","",H1214+E1214-K1214-G1214*I1214)</f>
        <v>153.538304218653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15.1669312999306</v>
      </c>
      <c r="N1214" s="16" t="n">
        <f aca="false">IF(D1214="","",(I1214+M1214)/2)</f>
        <v>14.7647631060984</v>
      </c>
      <c r="O1214" s="16" t="n">
        <f aca="false">IF(D1214="","",G1214*N1214)</f>
        <v>1.51929412361752</v>
      </c>
      <c r="P1214" s="16" t="n">
        <f aca="false">IF(D1214="","",H1214+E1214-K1214-O1214)</f>
        <v>153.496921111508</v>
      </c>
      <c r="Q1214" s="16" t="n">
        <f aca="false">IF(D1214="","",IF(P1214&gt;=0,K1214,MAX(0,K1214+P1214)))</f>
        <v>1.119744</v>
      </c>
      <c r="R1214" s="16" t="n">
        <f aca="false">IF(D1214="","",Q1214/$B$15)</f>
        <v>0.432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153.496921111508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94.7511858713013</v>
      </c>
      <c r="Z1214" s="18" t="n">
        <f aca="false">IF(D1214="","",MAX(0,IF(P1214&gt;=0,P1214,IF(K1214+P1214&gt;=0,0,P1214+K1214))))</f>
        <v>153.496921111508</v>
      </c>
      <c r="AA1214" s="18" t="n">
        <f aca="false">IF(D1214="","",IF(H1214&lt;=$B$16,1,IF(H1214&gt;=$B$17,$B$21,MATCH(H1214,Aux_CAV!$A$2:$A$121,1))))</f>
        <v>22</v>
      </c>
      <c r="AB1214" s="18" t="n">
        <f aca="false">IF(D1214="","",IF(L1214&lt;=$B$16,1,IF(L1214&gt;=$B$17,$B$21,MATCH(L1214,Aux_CAV!$A$2:$A$121,1))))</f>
        <v>22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14.072098020925</v>
      </c>
      <c r="E1215" s="16" t="n">
        <f aca="false">IF(D1215="","",D1215*$B$15)</f>
        <v>36.4748780702376</v>
      </c>
      <c r="F1215" s="16" t="n">
        <f aca="false" t="array" ref="F1215:F1215">IF(D1215="","",IFERROR(INDEX(Dados_Evap!$C$2:$N$15,MATCH($B$9,Dados_Evap!$A$2:$A$15,0),C1215),0))</f>
        <v>81.8</v>
      </c>
      <c r="G1215" s="16" t="n">
        <f aca="false">IF(F1215="","",F1215/1000)</f>
        <v>0.0818</v>
      </c>
      <c r="H1215" s="16" t="n">
        <f aca="false">IF(D1215="","",MAX(0,MIN($B$8,IFERROR(LOOKUP(2,1/($U$24:U1214&lt;&gt;""),$U$24:U1214),$B$11))))</f>
        <v>153.496921111508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15.163918329755</v>
      </c>
      <c r="J1215" s="16" t="n">
        <f aca="false">IF(D1215="","",$B$12)</f>
        <v>0.432</v>
      </c>
      <c r="K1215" s="16" t="n">
        <f aca="false">IF(J1215="","",J1215*$B$15)</f>
        <v>1.119744</v>
      </c>
      <c r="L1215" s="16" t="n">
        <f aca="false">IF(D1215="","",H1215+E1215-K1215-G1215*I1215)</f>
        <v>187.611646662372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17.3148203908542</v>
      </c>
      <c r="N1215" s="16" t="n">
        <f aca="false">IF(D1215="","",(I1215+M1215)/2)</f>
        <v>16.2393693603046</v>
      </c>
      <c r="O1215" s="16" t="n">
        <f aca="false">IF(D1215="","",G1215*N1215)</f>
        <v>1.32838041367292</v>
      </c>
      <c r="P1215" s="16" t="n">
        <f aca="false">IF(D1215="","",H1215+E1215-K1215-O1215)</f>
        <v>187.523674768073</v>
      </c>
      <c r="Q1215" s="16" t="n">
        <f aca="false">IF(D1215="","",IF(P1215&gt;=0,K1215,MAX(0,K1215+P1215)))</f>
        <v>1.119744</v>
      </c>
      <c r="R1215" s="16" t="n">
        <f aca="false">IF(D1215="","",Q1215/$B$15)</f>
        <v>0.432</v>
      </c>
      <c r="S1215" s="16" t="n">
        <f aca="false">IF(D1215="","",MAX(0,J1215-R1215))</f>
        <v>0</v>
      </c>
      <c r="T1215" s="16" t="n">
        <f aca="false">IF(D1215="","",MAX(0,Z1215-$B$8))</f>
        <v>25.5236747680727</v>
      </c>
      <c r="U1215" s="16" t="n">
        <f aca="false">IF(D1215="","",MAX(0,MIN($B$8,Z1215)))</f>
        <v>162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187.523674768073</v>
      </c>
      <c r="AA1215" s="18" t="n">
        <f aca="false">IF(D1215="","",IF(H1215&lt;=$B$16,1,IF(H1215&gt;=$B$17,$B$21,MATCH(H1215,Aux_CAV!$A$2:$A$121,1))))</f>
        <v>22</v>
      </c>
      <c r="AB1215" s="18" t="n">
        <f aca="false">IF(D1215="","",IF(L1215&lt;=$B$16,1,IF(L1215&gt;=$B$17,$B$21,MATCH(L1215,Aux_CAV!$A$2:$A$121,1))))</f>
        <v>23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21.9877904884099</v>
      </c>
      <c r="E1216" s="16" t="n">
        <f aca="false">IF(D1216="","",D1216*$B$15)</f>
        <v>56.9923529459585</v>
      </c>
      <c r="F1216" s="16" t="n">
        <f aca="false" t="array" ref="F1216:F1216">IF(D1216="","",IFERROR(INDEX(Dados_Evap!$C$2:$N$15,MATCH($B$9,Dados_Evap!$A$2:$A$15,0),C1216),0))</f>
        <v>83.6</v>
      </c>
      <c r="G1216" s="16" t="n">
        <f aca="false">IF(F1216="","",F1216/1000)</f>
        <v>0.0836</v>
      </c>
      <c r="H1216" s="16" t="n">
        <f aca="false">IF(D1216="","",MAX(0,MIN($B$8,IFERROR(LOOKUP(2,1/($U$24:U1215&lt;&gt;""),$U$24:U1215),$B$11))))</f>
        <v>162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15.783</v>
      </c>
      <c r="J1216" s="16" t="n">
        <f aca="false">IF(D1216="","",$B$12)</f>
        <v>0.432</v>
      </c>
      <c r="K1216" s="16" t="n">
        <f aca="false">IF(J1216="","",J1216*$B$15)</f>
        <v>1.119744</v>
      </c>
      <c r="L1216" s="16" t="n">
        <f aca="false">IF(D1216="","",H1216+E1216-K1216-G1216*I1216)</f>
        <v>216.553150145958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19.0457979325392</v>
      </c>
      <c r="N1216" s="16" t="n">
        <f aca="false">IF(D1216="","",(I1216+M1216)/2)</f>
        <v>17.4143989662696</v>
      </c>
      <c r="O1216" s="16" t="n">
        <f aca="false">IF(D1216="","",G1216*N1216)</f>
        <v>1.45584375358014</v>
      </c>
      <c r="P1216" s="16" t="n">
        <f aca="false">IF(D1216="","",H1216+E1216-K1216-O1216)</f>
        <v>216.416765192378</v>
      </c>
      <c r="Q1216" s="16" t="n">
        <f aca="false">IF(D1216="","",IF(P1216&gt;=0,K1216,MAX(0,K1216+P1216)))</f>
        <v>1.119744</v>
      </c>
      <c r="R1216" s="16" t="n">
        <f aca="false">IF(D1216="","",Q1216/$B$15)</f>
        <v>0.432</v>
      </c>
      <c r="S1216" s="16" t="n">
        <f aca="false">IF(D1216="","",MAX(0,J1216-R1216))</f>
        <v>0</v>
      </c>
      <c r="T1216" s="16" t="n">
        <f aca="false">IF(D1216="","",MAX(0,Z1216-$B$8))</f>
        <v>54.4167651923783</v>
      </c>
      <c r="U1216" s="16" t="n">
        <f aca="false">IF(D1216="","",MAX(0,MIN($B$8,Z1216)))</f>
        <v>162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216.416765192378</v>
      </c>
      <c r="AA1216" s="18" t="n">
        <f aca="false">IF(D1216="","",IF(H1216&lt;=$B$16,1,IF(H1216&gt;=$B$17,$B$21,MATCH(H1216,Aux_CAV!$A$2:$A$121,1))))</f>
        <v>23</v>
      </c>
      <c r="AB1216" s="18" t="n">
        <f aca="false">IF(D1216="","",IF(L1216&lt;=$B$16,1,IF(L1216&gt;=$B$17,$B$21,MATCH(L1216,Aux_CAV!$A$2:$A$121,1))))</f>
        <v>23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11.7797176116156</v>
      </c>
      <c r="E1217" s="16" t="n">
        <f aca="false">IF(D1217="","",D1217*$B$15)</f>
        <v>30.5330280493076</v>
      </c>
      <c r="F1217" s="16" t="n">
        <f aca="false" t="array" ref="F1217:F1217">IF(D1217="","",IFERROR(INDEX(Dados_Evap!$C$2:$N$15,MATCH($B$9,Dados_Evap!$A$2:$A$15,0),C1217),0))</f>
        <v>108.2</v>
      </c>
      <c r="G1217" s="16" t="n">
        <f aca="false">IF(F1217="","",F1217/1000)</f>
        <v>0.1082</v>
      </c>
      <c r="H1217" s="16" t="n">
        <f aca="false">IF(D1217="","",MAX(0,MIN($B$8,IFERROR(LOOKUP(2,1/($U$24:U1216&lt;&gt;""),$U$24:U1216),$B$11))))</f>
        <v>162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15.783</v>
      </c>
      <c r="J1217" s="16" t="n">
        <f aca="false">IF(D1217="","",$B$12)</f>
        <v>0.432</v>
      </c>
      <c r="K1217" s="16" t="n">
        <f aca="false">IF(J1217="","",J1217*$B$15)</f>
        <v>1.119744</v>
      </c>
      <c r="L1217" s="16" t="n">
        <f aca="false">IF(D1217="","",H1217+E1217-K1217-G1217*I1217)</f>
        <v>189.705563449308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17.4400565567776</v>
      </c>
      <c r="N1217" s="16" t="n">
        <f aca="false">IF(D1217="","",(I1217+M1217)/2)</f>
        <v>16.6115282783888</v>
      </c>
      <c r="O1217" s="16" t="n">
        <f aca="false">IF(D1217="","",G1217*N1217)</f>
        <v>1.79736735972167</v>
      </c>
      <c r="P1217" s="16" t="n">
        <f aca="false">IF(D1217="","",H1217+E1217-K1217-O1217)</f>
        <v>189.615916689586</v>
      </c>
      <c r="Q1217" s="16" t="n">
        <f aca="false">IF(D1217="","",IF(P1217&gt;=0,K1217,MAX(0,K1217+P1217)))</f>
        <v>1.119744</v>
      </c>
      <c r="R1217" s="16" t="n">
        <f aca="false">IF(D1217="","",Q1217/$B$15)</f>
        <v>0.432</v>
      </c>
      <c r="S1217" s="16" t="n">
        <f aca="false">IF(D1217="","",MAX(0,J1217-R1217))</f>
        <v>0</v>
      </c>
      <c r="T1217" s="16" t="n">
        <f aca="false">IF(D1217="","",MAX(0,Z1217-$B$8))</f>
        <v>27.615916689586</v>
      </c>
      <c r="U1217" s="16" t="n">
        <f aca="false">IF(D1217="","",MAX(0,MIN($B$8,Z1217)))</f>
        <v>162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189.615916689586</v>
      </c>
      <c r="AA1217" s="18" t="n">
        <f aca="false">IF(D1217="","",IF(H1217&lt;=$B$16,1,IF(H1217&gt;=$B$17,$B$21,MATCH(H1217,Aux_CAV!$A$2:$A$121,1))))</f>
        <v>23</v>
      </c>
      <c r="AB1217" s="18" t="n">
        <f aca="false">IF(D1217="","",IF(L1217&lt;=$B$16,1,IF(L1217&gt;=$B$17,$B$21,MATCH(L1217,Aux_CAV!$A$2:$A$121,1))))</f>
        <v>23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9.1012758970441</v>
      </c>
      <c r="E1218" s="16" t="n">
        <f aca="false">IF(D1218="","",D1218*$B$15)</f>
        <v>23.5905071251383</v>
      </c>
      <c r="F1218" s="16" t="n">
        <f aca="false" t="array" ref="F1218:F1218">IF(D1218="","",IFERROR(INDEX(Dados_Evap!$C$2:$N$15,MATCH($B$9,Dados_Evap!$A$2:$A$15,0),C1218),0))</f>
        <v>149</v>
      </c>
      <c r="G1218" s="16" t="n">
        <f aca="false">IF(F1218="","",F1218/1000)</f>
        <v>0.149</v>
      </c>
      <c r="H1218" s="16" t="n">
        <f aca="false">IF(D1218="","",MAX(0,MIN($B$8,IFERROR(LOOKUP(2,1/($U$24:U1217&lt;&gt;""),$U$24:U1217),$B$11))))</f>
        <v>162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15.783</v>
      </c>
      <c r="J1218" s="16" t="n">
        <f aca="false">IF(D1218="","",$B$12)</f>
        <v>0.432</v>
      </c>
      <c r="K1218" s="16" t="n">
        <f aca="false">IF(J1218="","",J1218*$B$15)</f>
        <v>1.119744</v>
      </c>
      <c r="L1218" s="16" t="n">
        <f aca="false">IF(D1218="","",H1218+E1218-K1218-G1218*I1218)</f>
        <v>182.119096125138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16.9863135587226</v>
      </c>
      <c r="N1218" s="16" t="n">
        <f aca="false">IF(D1218="","",(I1218+M1218)/2)</f>
        <v>16.3846567793613</v>
      </c>
      <c r="O1218" s="16" t="n">
        <f aca="false">IF(D1218="","",G1218*N1218)</f>
        <v>2.44131386012483</v>
      </c>
      <c r="P1218" s="16" t="n">
        <f aca="false">IF(D1218="","",H1218+E1218-K1218-O1218)</f>
        <v>182.029449265013</v>
      </c>
      <c r="Q1218" s="16" t="n">
        <f aca="false">IF(D1218="","",IF(P1218&gt;=0,K1218,MAX(0,K1218+P1218)))</f>
        <v>1.119744</v>
      </c>
      <c r="R1218" s="16" t="n">
        <f aca="false">IF(D1218="","",Q1218/$B$15)</f>
        <v>0.432</v>
      </c>
      <c r="S1218" s="16" t="n">
        <f aca="false">IF(D1218="","",MAX(0,J1218-R1218))</f>
        <v>0</v>
      </c>
      <c r="T1218" s="16" t="n">
        <f aca="false">IF(D1218="","",MAX(0,Z1218-$B$8))</f>
        <v>20.0294492650135</v>
      </c>
      <c r="U1218" s="16" t="n">
        <f aca="false">IF(D1218="","",MAX(0,MIN($B$8,Z1218)))</f>
        <v>162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182.029449265013</v>
      </c>
      <c r="AA1218" s="18" t="n">
        <f aca="false">IF(D1218="","",IF(H1218&lt;=$B$16,1,IF(H1218&gt;=$B$17,$B$21,MATCH(H1218,Aux_CAV!$A$2:$A$121,1))))</f>
        <v>23</v>
      </c>
      <c r="AB1218" s="18" t="n">
        <f aca="false">IF(D1218="","",IF(L1218&lt;=$B$16,1,IF(L1218&gt;=$B$17,$B$21,MATCH(L1218,Aux_CAV!$A$2:$A$121,1))))</f>
        <v>23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2.88050569501158</v>
      </c>
      <c r="E1219" s="16" t="n">
        <f aca="false">IF(D1219="","",D1219*$B$15)</f>
        <v>7.46627076147002</v>
      </c>
      <c r="F1219" s="16" t="n">
        <f aca="false" t="array" ref="F1219:F1219">IF(D1219="","",IFERROR(INDEX(Dados_Evap!$C$2:$N$15,MATCH($B$9,Dados_Evap!$A$2:$A$15,0),C1219),0))</f>
        <v>206.8</v>
      </c>
      <c r="G1219" s="16" t="n">
        <f aca="false">IF(F1219="","",F1219/1000)</f>
        <v>0.2068</v>
      </c>
      <c r="H1219" s="16" t="n">
        <f aca="false">IF(D1219="","",MAX(0,MIN($B$8,IFERROR(LOOKUP(2,1/($U$24:U1218&lt;&gt;""),$U$24:U1218),$B$11))))</f>
        <v>162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15.783</v>
      </c>
      <c r="J1219" s="16" t="n">
        <f aca="false">IF(D1219="","",$B$12)</f>
        <v>0.432</v>
      </c>
      <c r="K1219" s="16" t="n">
        <f aca="false">IF(J1219="","",J1219*$B$15)</f>
        <v>1.119744</v>
      </c>
      <c r="L1219" s="16" t="n">
        <f aca="false">IF(D1219="","",H1219+E1219-K1219-G1219*I1219)</f>
        <v>165.08260236147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15.9673689793336</v>
      </c>
      <c r="N1219" s="16" t="n">
        <f aca="false">IF(D1219="","",(I1219+M1219)/2)</f>
        <v>15.8751844896668</v>
      </c>
      <c r="O1219" s="16" t="n">
        <f aca="false">IF(D1219="","",G1219*N1219)</f>
        <v>3.2829881524631</v>
      </c>
      <c r="P1219" s="16" t="n">
        <f aca="false">IF(D1219="","",H1219+E1219-K1219-O1219)</f>
        <v>165.063538609007</v>
      </c>
      <c r="Q1219" s="16" t="n">
        <f aca="false">IF(D1219="","",IF(P1219&gt;=0,K1219,MAX(0,K1219+P1219)))</f>
        <v>1.119744</v>
      </c>
      <c r="R1219" s="16" t="n">
        <f aca="false">IF(D1219="","",Q1219/$B$15)</f>
        <v>0.432</v>
      </c>
      <c r="S1219" s="16" t="n">
        <f aca="false">IF(D1219="","",MAX(0,J1219-R1219))</f>
        <v>0</v>
      </c>
      <c r="T1219" s="16" t="n">
        <f aca="false">IF(D1219="","",MAX(0,Z1219-$B$8))</f>
        <v>3.06353860900691</v>
      </c>
      <c r="U1219" s="16" t="n">
        <f aca="false">IF(D1219="","",MAX(0,MIN($B$8,Z1219)))</f>
        <v>162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100</v>
      </c>
      <c r="Z1219" s="18" t="n">
        <f aca="false">IF(D1219="","",MAX(0,IF(P1219&gt;=0,P1219,IF(K1219+P1219&gt;=0,0,P1219+K1219))))</f>
        <v>165.063538609007</v>
      </c>
      <c r="AA1219" s="18" t="n">
        <f aca="false">IF(D1219="","",IF(H1219&lt;=$B$16,1,IF(H1219&gt;=$B$17,$B$21,MATCH(H1219,Aux_CAV!$A$2:$A$121,1))))</f>
        <v>23</v>
      </c>
      <c r="AB1219" s="18" t="n">
        <f aca="false">IF(D1219="","",IF(L1219&lt;=$B$16,1,IF(L1219&gt;=$B$17,$B$21,MATCH(L1219,Aux_CAV!$A$2:$A$121,1))))</f>
        <v>23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0.707380415026287</v>
      </c>
      <c r="E1220" s="16" t="n">
        <f aca="false">IF(D1220="","",D1220*$B$15)</f>
        <v>1.83353003574814</v>
      </c>
      <c r="F1220" s="16" t="n">
        <f aca="false" t="array" ref="F1220:F1220">IF(D1220="","",IFERROR(INDEX(Dados_Evap!$C$2:$N$15,MATCH($B$9,Dados_Evap!$A$2:$A$15,0),C1220),0))</f>
        <v>245.9</v>
      </c>
      <c r="G1220" s="16" t="n">
        <f aca="false">IF(F1220="","",F1220/1000)</f>
        <v>0.2459</v>
      </c>
      <c r="H1220" s="16" t="n">
        <f aca="false">IF(D1220="","",MAX(0,MIN($B$8,IFERROR(LOOKUP(2,1/($U$24:U1219&lt;&gt;""),$U$24:U1219),$B$11))))</f>
        <v>162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15.783</v>
      </c>
      <c r="J1220" s="16" t="n">
        <f aca="false">IF(D1220="","",$B$12)</f>
        <v>0.432</v>
      </c>
      <c r="K1220" s="16" t="n">
        <f aca="false">IF(J1220="","",J1220*$B$15)</f>
        <v>1.119744</v>
      </c>
      <c r="L1220" s="16" t="n">
        <f aca="false">IF(D1220="","",H1220+E1220-K1220-G1220*I1220)</f>
        <v>158.832746335748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15.5524025053433</v>
      </c>
      <c r="N1220" s="16" t="n">
        <f aca="false">IF(D1220="","",(I1220+M1220)/2)</f>
        <v>15.6677012526716</v>
      </c>
      <c r="O1220" s="16" t="n">
        <f aca="false">IF(D1220="","",G1220*N1220)</f>
        <v>3.85268773803196</v>
      </c>
      <c r="P1220" s="16" t="n">
        <f aca="false">IF(D1220="","",H1220+E1220-K1220-O1220)</f>
        <v>158.861098297716</v>
      </c>
      <c r="Q1220" s="16" t="n">
        <f aca="false">IF(D1220="","",IF(P1220&gt;=0,K1220,MAX(0,K1220+P1220)))</f>
        <v>1.119744</v>
      </c>
      <c r="R1220" s="16" t="n">
        <f aca="false">IF(D1220="","",Q1220/$B$15)</f>
        <v>0.432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158.861098297716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98.0624063566149</v>
      </c>
      <c r="Z1220" s="18" t="n">
        <f aca="false">IF(D1220="","",MAX(0,IF(P1220&gt;=0,P1220,IF(K1220+P1220&gt;=0,0,P1220+K1220))))</f>
        <v>158.861098297716</v>
      </c>
      <c r="AA1220" s="18" t="n">
        <f aca="false">IF(D1220="","",IF(H1220&lt;=$B$16,1,IF(H1220&gt;=$B$17,$B$21,MATCH(H1220,Aux_CAV!$A$2:$A$121,1))))</f>
        <v>23</v>
      </c>
      <c r="AB1220" s="18" t="n">
        <f aca="false">IF(D1220="","",IF(L1220&lt;=$B$16,1,IF(L1220&gt;=$B$17,$B$21,MATCH(L1220,Aux_CAV!$A$2:$A$121,1))))</f>
        <v>22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0.731874100191323</v>
      </c>
      <c r="E1221" s="16" t="n">
        <f aca="false">IF(D1221="","",D1221*$B$15)</f>
        <v>1.89701766769591</v>
      </c>
      <c r="F1221" s="16" t="n">
        <f aca="false" t="array" ref="F1221:F1221">IF(D1221="","",IFERROR(INDEX(Dados_Evap!$C$2:$N$15,MATCH($B$9,Dados_Evap!$A$2:$A$15,0),C1221),0))</f>
        <v>282.3</v>
      </c>
      <c r="G1221" s="16" t="n">
        <f aca="false">IF(F1221="","",F1221/1000)</f>
        <v>0.2823</v>
      </c>
      <c r="H1221" s="16" t="n">
        <f aca="false">IF(D1221="","",MAX(0,MIN($B$8,IFERROR(LOOKUP(2,1/($U$24:U1220&lt;&gt;""),$U$24:U1220),$B$11))))</f>
        <v>158.861098297716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15.5544667199884</v>
      </c>
      <c r="J1221" s="16" t="n">
        <f aca="false">IF(D1221="","",$B$12)</f>
        <v>0.432</v>
      </c>
      <c r="K1221" s="16" t="n">
        <f aca="false">IF(J1221="","",J1221*$B$15)</f>
        <v>1.119744</v>
      </c>
      <c r="L1221" s="16" t="n">
        <f aca="false">IF(D1221="","",H1221+E1221-K1221-G1221*I1221)</f>
        <v>155.247346010359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15.2913611048051</v>
      </c>
      <c r="N1221" s="16" t="n">
        <f aca="false">IF(D1221="","",(I1221+M1221)/2)</f>
        <v>15.4229139123968</v>
      </c>
      <c r="O1221" s="16" t="n">
        <f aca="false">IF(D1221="","",G1221*N1221)</f>
        <v>4.3538885974696</v>
      </c>
      <c r="P1221" s="16" t="n">
        <f aca="false">IF(D1221="","",H1221+E1221-K1221-O1221)</f>
        <v>155.284483367943</v>
      </c>
      <c r="Q1221" s="16" t="n">
        <f aca="false">IF(D1221="","",IF(P1221&gt;=0,K1221,MAX(0,K1221+P1221)))</f>
        <v>1.119744</v>
      </c>
      <c r="R1221" s="16" t="n">
        <f aca="false">IF(D1221="","",Q1221/$B$15)</f>
        <v>0.432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155.284483367943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95.8546193629275</v>
      </c>
      <c r="Z1221" s="18" t="n">
        <f aca="false">IF(D1221="","",MAX(0,IF(P1221&gt;=0,P1221,IF(K1221+P1221&gt;=0,0,P1221+K1221))))</f>
        <v>155.284483367943</v>
      </c>
      <c r="AA1221" s="18" t="n">
        <f aca="false">IF(D1221="","",IF(H1221&lt;=$B$16,1,IF(H1221&gt;=$B$17,$B$21,MATCH(H1221,Aux_CAV!$A$2:$A$121,1))))</f>
        <v>22</v>
      </c>
      <c r="AB1221" s="18" t="n">
        <f aca="false">IF(D1221="","",IF(L1221&lt;=$B$16,1,IF(L1221&gt;=$B$17,$B$21,MATCH(L1221,Aux_CAV!$A$2:$A$121,1))))</f>
        <v>22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0.793789423920025</v>
      </c>
      <c r="E1222" s="16" t="n">
        <f aca="false">IF(D1222="","",D1222*$B$15)</f>
        <v>2.05750218680071</v>
      </c>
      <c r="F1222" s="16" t="n">
        <f aca="false" t="array" ref="F1222:F1222">IF(D1222="","",IFERROR(INDEX(Dados_Evap!$C$2:$N$15,MATCH($B$9,Dados_Evap!$A$2:$A$15,0),C1222),0))</f>
        <v>241.3</v>
      </c>
      <c r="G1222" s="16" t="n">
        <f aca="false">IF(F1222="","",F1222/1000)</f>
        <v>0.2413</v>
      </c>
      <c r="H1222" s="16" t="n">
        <f aca="false">IF(D1222="","",MAX(0,MIN($B$8,IFERROR(LOOKUP(2,1/($U$24:U1221&lt;&gt;""),$U$24:U1221),$B$11))))</f>
        <v>155.284483367943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15.2940649556881</v>
      </c>
      <c r="J1222" s="16" t="n">
        <f aca="false">IF(D1222="","",$B$12)</f>
        <v>0.432</v>
      </c>
      <c r="K1222" s="16" t="n">
        <f aca="false">IF(J1222="","",J1222*$B$15)</f>
        <v>1.119744</v>
      </c>
      <c r="L1222" s="16" t="n">
        <f aca="false">IF(D1222="","",H1222+E1222-K1222-G1222*I1222)</f>
        <v>152.531783680936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15.0936497952195</v>
      </c>
      <c r="N1222" s="16" t="n">
        <f aca="false">IF(D1222="","",(I1222+M1222)/2)</f>
        <v>15.1938573754538</v>
      </c>
      <c r="O1222" s="16" t="n">
        <f aca="false">IF(D1222="","",G1222*N1222)</f>
        <v>3.666277784697</v>
      </c>
      <c r="P1222" s="16" t="n">
        <f aca="false">IF(D1222="","",H1222+E1222-K1222-O1222)</f>
        <v>152.555963770046</v>
      </c>
      <c r="Q1222" s="16" t="n">
        <f aca="false">IF(D1222="","",IF(P1222&gt;=0,K1222,MAX(0,K1222+P1222)))</f>
        <v>1.119744</v>
      </c>
      <c r="R1222" s="16" t="n">
        <f aca="false">IF(D1222="","",Q1222/$B$15)</f>
        <v>0.432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152.555963770046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94.1703480062014</v>
      </c>
      <c r="Z1222" s="18" t="n">
        <f aca="false">IF(D1222="","",MAX(0,IF(P1222&gt;=0,P1222,IF(K1222+P1222&gt;=0,0,P1222+K1222))))</f>
        <v>152.555963770046</v>
      </c>
      <c r="AA1222" s="18" t="n">
        <f aca="false">IF(D1222="","",IF(H1222&lt;=$B$16,1,IF(H1222&gt;=$B$17,$B$21,MATCH(H1222,Aux_CAV!$A$2:$A$121,1))))</f>
        <v>22</v>
      </c>
      <c r="AB1222" s="18" t="n">
        <f aca="false">IF(D1222="","",IF(L1222&lt;=$B$16,1,IF(L1222&gt;=$B$17,$B$21,MATCH(L1222,Aux_CAV!$A$2:$A$121,1))))</f>
        <v>22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0.655644888154644</v>
      </c>
      <c r="E1223" s="16" t="n">
        <f aca="false">IF(D1223="","",D1223*$B$15)</f>
        <v>1.69943155009684</v>
      </c>
      <c r="F1223" s="16" t="n">
        <f aca="false" t="array" ref="F1223:F1223">IF(D1223="","",IFERROR(INDEX(Dados_Evap!$C$2:$N$15,MATCH($B$9,Dados_Evap!$A$2:$A$15,0),C1223),0))</f>
        <v>241.8</v>
      </c>
      <c r="G1223" s="16" t="n">
        <f aca="false">IF(F1223="","",F1223/1000)</f>
        <v>0.2418</v>
      </c>
      <c r="H1223" s="16" t="n">
        <f aca="false">IF(D1223="","",MAX(0,MIN($B$8,IFERROR(LOOKUP(2,1/($U$24:U1222&lt;&gt;""),$U$24:U1222),$B$11))))</f>
        <v>152.555963770046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15.0954102692959</v>
      </c>
      <c r="J1223" s="16" t="n">
        <f aca="false">IF(D1223="","",$B$12)</f>
        <v>0.432</v>
      </c>
      <c r="K1223" s="16" t="n">
        <f aca="false">IF(J1223="","",J1223*$B$15)</f>
        <v>1.119744</v>
      </c>
      <c r="L1223" s="16" t="n">
        <f aca="false">IF(D1223="","",H1223+E1223-K1223-G1223*I1223)</f>
        <v>149.485581117027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14.871865639633</v>
      </c>
      <c r="N1223" s="16" t="n">
        <f aca="false">IF(D1223="","",(I1223+M1223)/2)</f>
        <v>14.9836379544645</v>
      </c>
      <c r="O1223" s="16" t="n">
        <f aca="false">IF(D1223="","",G1223*N1223)</f>
        <v>3.62304365738951</v>
      </c>
      <c r="P1223" s="16" t="n">
        <f aca="false">IF(D1223="","",H1223+E1223-K1223-O1223)</f>
        <v>149.512607662754</v>
      </c>
      <c r="Q1223" s="16" t="n">
        <f aca="false">IF(D1223="","",IF(P1223&gt;=0,K1223,MAX(0,K1223+P1223)))</f>
        <v>1.119744</v>
      </c>
      <c r="R1223" s="16" t="n">
        <f aca="false">IF(D1223="","",Q1223/$B$15)</f>
        <v>0.432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149.512607662754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92.2917331251565</v>
      </c>
      <c r="Z1223" s="18" t="n">
        <f aca="false">IF(D1223="","",MAX(0,IF(P1223&gt;=0,P1223,IF(K1223+P1223&gt;=0,0,P1223+K1223))))</f>
        <v>149.512607662754</v>
      </c>
      <c r="AA1223" s="18" t="n">
        <f aca="false">IF(D1223="","",IF(H1223&lt;=$B$16,1,IF(H1223&gt;=$B$17,$B$21,MATCH(H1223,Aux_CAV!$A$2:$A$121,1))))</f>
        <v>22</v>
      </c>
      <c r="AB1223" s="18" t="n">
        <f aca="false">IF(D1223="","",IF(L1223&lt;=$B$16,1,IF(L1223&gt;=$B$17,$B$21,MATCH(L1223,Aux_CAV!$A$2:$A$121,1))))</f>
        <v>22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1.5889897106396</v>
      </c>
      <c r="E1224" s="16" t="n">
        <f aca="false">IF(D1224="","",D1224*$B$15)</f>
        <v>4.11866132997784</v>
      </c>
      <c r="F1224" s="16" t="n">
        <f aca="false" t="array" ref="F1224:F1224">IF(D1224="","",IFERROR(INDEX(Dados_Evap!$C$2:$N$15,MATCH($B$9,Dados_Evap!$A$2:$A$15,0),C1224),0))</f>
        <v>189</v>
      </c>
      <c r="G1224" s="16" t="n">
        <f aca="false">IF(F1224="","",F1224/1000)</f>
        <v>0.189</v>
      </c>
      <c r="H1224" s="16" t="n">
        <f aca="false">IF(D1224="","",MAX(0,MIN($B$8,IFERROR(LOOKUP(2,1/($U$24:U1223&lt;&gt;""),$U$24:U1223),$B$11))))</f>
        <v>149.512607662754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14.8738333550087</v>
      </c>
      <c r="J1224" s="16" t="n">
        <f aca="false">IF(D1224="","",$B$12)</f>
        <v>0.432</v>
      </c>
      <c r="K1224" s="16" t="n">
        <f aca="false">IF(J1224="","",J1224*$B$15)</f>
        <v>1.119744</v>
      </c>
      <c r="L1224" s="16" t="n">
        <f aca="false">IF(D1224="","",H1224+E1224-K1224-G1224*I1224)</f>
        <v>149.700370488635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14.887503759033</v>
      </c>
      <c r="N1224" s="16" t="n">
        <f aca="false">IF(D1224="","",(I1224+M1224)/2)</f>
        <v>14.8806685570209</v>
      </c>
      <c r="O1224" s="16" t="n">
        <f aca="false">IF(D1224="","",G1224*N1224)</f>
        <v>2.81244635727694</v>
      </c>
      <c r="P1224" s="16" t="n">
        <f aca="false">IF(D1224="","",H1224+E1224-K1224-O1224)</f>
        <v>149.699078635454</v>
      </c>
      <c r="Q1224" s="16" t="n">
        <f aca="false">IF(D1224="","",IF(P1224&gt;=0,K1224,MAX(0,K1224+P1224)))</f>
        <v>1.119744</v>
      </c>
      <c r="R1224" s="16" t="n">
        <f aca="false">IF(D1224="","",Q1224/$B$15)</f>
        <v>0.432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149.699078635454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92.4068386638608</v>
      </c>
      <c r="Z1224" s="18" t="n">
        <f aca="false">IF(D1224="","",MAX(0,IF(P1224&gt;=0,P1224,IF(K1224+P1224&gt;=0,0,P1224+K1224))))</f>
        <v>149.699078635454</v>
      </c>
      <c r="AA1224" s="18" t="n">
        <f aca="false">IF(D1224="","",IF(H1224&lt;=$B$16,1,IF(H1224&gt;=$B$17,$B$21,MATCH(H1224,Aux_CAV!$A$2:$A$121,1))))</f>
        <v>22</v>
      </c>
      <c r="AB1224" s="18" t="n">
        <f aca="false">IF(D1224="","",IF(L1224&lt;=$B$16,1,IF(L1224&gt;=$B$17,$B$21,MATCH(L1224,Aux_CAV!$A$2:$A$121,1))))</f>
        <v>22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0.759443128775217</v>
      </c>
      <c r="E1225" s="16" t="n">
        <f aca="false">IF(D1225="","",D1225*$B$15)</f>
        <v>1.96847658978536</v>
      </c>
      <c r="F1225" s="16" t="n">
        <f aca="false" t="array" ref="F1225:F1225">IF(D1225="","",IFERROR(INDEX(Dados_Evap!$C$2:$N$15,MATCH($B$9,Dados_Evap!$A$2:$A$15,0),C1225),0))</f>
        <v>136.9</v>
      </c>
      <c r="G1225" s="16" t="n">
        <f aca="false">IF(F1225="","",F1225/1000)</f>
        <v>0.1369</v>
      </c>
      <c r="H1225" s="16" t="n">
        <f aca="false">IF(D1225="","",MAX(0,MIN($B$8,IFERROR(LOOKUP(2,1/($U$24:U1224&lt;&gt;""),$U$24:U1224),$B$11))))</f>
        <v>149.699078635454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14.8874097033815</v>
      </c>
      <c r="J1225" s="16" t="n">
        <f aca="false">IF(D1225="","",$B$12)</f>
        <v>0.432</v>
      </c>
      <c r="K1225" s="16" t="n">
        <f aca="false">IF(J1225="","",J1225*$B$15)</f>
        <v>1.119744</v>
      </c>
      <c r="L1225" s="16" t="n">
        <f aca="false">IF(D1225="","",H1225+E1225-K1225-G1225*I1225)</f>
        <v>148.509724836847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14.8008167003282</v>
      </c>
      <c r="N1225" s="16" t="n">
        <f aca="false">IF(D1225="","",(I1225+M1225)/2)</f>
        <v>14.8441132018548</v>
      </c>
      <c r="O1225" s="16" t="n">
        <f aca="false">IF(D1225="","",G1225*N1225)</f>
        <v>2.03215909733393</v>
      </c>
      <c r="P1225" s="16" t="n">
        <f aca="false">IF(D1225="","",H1225+E1225-K1225-O1225)</f>
        <v>148.515652127906</v>
      </c>
      <c r="Q1225" s="16" t="n">
        <f aca="false">IF(D1225="","",IF(P1225&gt;=0,K1225,MAX(0,K1225+P1225)))</f>
        <v>1.119744</v>
      </c>
      <c r="R1225" s="16" t="n">
        <f aca="false">IF(D1225="","",Q1225/$B$15)</f>
        <v>0.432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148.515652127906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91.676328474016</v>
      </c>
      <c r="Z1225" s="18" t="n">
        <f aca="false">IF(D1225="","",MAX(0,IF(P1225&gt;=0,P1225,IF(K1225+P1225&gt;=0,0,P1225+K1225))))</f>
        <v>148.515652127906</v>
      </c>
      <c r="AA1225" s="18" t="n">
        <f aca="false">IF(D1225="","",IF(H1225&lt;=$B$16,1,IF(H1225&gt;=$B$17,$B$21,MATCH(H1225,Aux_CAV!$A$2:$A$121,1))))</f>
        <v>22</v>
      </c>
      <c r="AB1225" s="18" t="n">
        <f aca="false">IF(D1225="","",IF(L1225&lt;=$B$16,1,IF(L1225&gt;=$B$17,$B$21,MATCH(L1225,Aux_CAV!$A$2:$A$121,1))))</f>
        <v>22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1.1839420357688</v>
      </c>
      <c r="E1226" s="16" t="n">
        <f aca="false">IF(D1226="","",D1226*$B$15)</f>
        <v>3.06877775671273</v>
      </c>
      <c r="F1226" s="16" t="n">
        <f aca="false" t="array" ref="F1226:F1226">IF(D1226="","",IFERROR(INDEX(Dados_Evap!$C$2:$N$15,MATCH($B$9,Dados_Evap!$A$2:$A$15,0),C1226),0))</f>
        <v>102.9</v>
      </c>
      <c r="G1226" s="16" t="n">
        <f aca="false">IF(F1226="","",F1226/1000)</f>
        <v>0.1029</v>
      </c>
      <c r="H1226" s="16" t="n">
        <f aca="false">IF(D1226="","",MAX(0,MIN($B$8,IFERROR(LOOKUP(2,1/($U$24:U1225&lt;&gt;""),$U$24:U1225),$B$11))))</f>
        <v>148.515652127906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14.8012482472181</v>
      </c>
      <c r="J1226" s="16" t="n">
        <f aca="false">IF(D1226="","",$B$12)</f>
        <v>0.432</v>
      </c>
      <c r="K1226" s="16" t="n">
        <f aca="false">IF(J1226="","",J1226*$B$15)</f>
        <v>1.119744</v>
      </c>
      <c r="L1226" s="16" t="n">
        <f aca="false">IF(D1226="","",H1226+E1226-K1226-G1226*I1226)</f>
        <v>148.94163743998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14.8322628599198</v>
      </c>
      <c r="N1226" s="16" t="n">
        <f aca="false">IF(D1226="","",(I1226+M1226)/2)</f>
        <v>14.8167555535689</v>
      </c>
      <c r="O1226" s="16" t="n">
        <f aca="false">IF(D1226="","",G1226*N1226)</f>
        <v>1.52464414646224</v>
      </c>
      <c r="P1226" s="16" t="n">
        <f aca="false">IF(D1226="","",H1226+E1226-K1226-O1226)</f>
        <v>148.940041738156</v>
      </c>
      <c r="Q1226" s="16" t="n">
        <f aca="false">IF(D1226="","",IF(P1226&gt;=0,K1226,MAX(0,K1226+P1226)))</f>
        <v>1.119744</v>
      </c>
      <c r="R1226" s="16" t="n">
        <f aca="false">IF(D1226="","",Q1226/$B$15)</f>
        <v>0.432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148.940041738156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91.9382973692323</v>
      </c>
      <c r="Z1226" s="18" t="n">
        <f aca="false">IF(D1226="","",MAX(0,IF(P1226&gt;=0,P1226,IF(K1226+P1226&gt;=0,0,P1226+K1226))))</f>
        <v>148.940041738156</v>
      </c>
      <c r="AA1226" s="18" t="n">
        <f aca="false">IF(D1226="","",IF(H1226&lt;=$B$16,1,IF(H1226&gt;=$B$17,$B$21,MATCH(H1226,Aux_CAV!$A$2:$A$121,1))))</f>
        <v>22</v>
      </c>
      <c r="AB1226" s="18" t="n">
        <f aca="false">IF(D1226="","",IF(L1226&lt;=$B$16,1,IF(L1226&gt;=$B$17,$B$21,MATCH(L1226,Aux_CAV!$A$2:$A$121,1))))</f>
        <v>22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3.76293469759255</v>
      </c>
      <c r="E1227" s="16" t="n">
        <f aca="false">IF(D1227="","",D1227*$B$15)</f>
        <v>9.75352673615989</v>
      </c>
      <c r="F1227" s="16" t="n">
        <f aca="false" t="array" ref="F1227:F1227">IF(D1227="","",IFERROR(INDEX(Dados_Evap!$C$2:$N$15,MATCH($B$9,Dados_Evap!$A$2:$A$15,0),C1227),0))</f>
        <v>81.8</v>
      </c>
      <c r="G1227" s="16" t="n">
        <f aca="false">IF(F1227="","",F1227/1000)</f>
        <v>0.0818</v>
      </c>
      <c r="H1227" s="16" t="n">
        <f aca="false">IF(D1227="","",MAX(0,MIN($B$8,IFERROR(LOOKUP(2,1/($U$24:U1226&lt;&gt;""),$U$24:U1226),$B$11))))</f>
        <v>148.940041738156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14.8321466820314</v>
      </c>
      <c r="J1227" s="16" t="n">
        <f aca="false">IF(D1227="","",$B$12)</f>
        <v>0.432</v>
      </c>
      <c r="K1227" s="16" t="n">
        <f aca="false">IF(J1227="","",J1227*$B$15)</f>
        <v>1.119744</v>
      </c>
      <c r="L1227" s="16" t="n">
        <f aca="false">IF(D1227="","",H1227+E1227-K1227-G1227*I1227)</f>
        <v>156.360554875726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15.3724102415637</v>
      </c>
      <c r="N1227" s="16" t="n">
        <f aca="false">IF(D1227="","",(I1227+M1227)/2)</f>
        <v>15.1022784617976</v>
      </c>
      <c r="O1227" s="16" t="n">
        <f aca="false">IF(D1227="","",G1227*N1227)</f>
        <v>1.23536637817504</v>
      </c>
      <c r="P1227" s="16" t="n">
        <f aca="false">IF(D1227="","",H1227+E1227-K1227-O1227)</f>
        <v>156.338458096141</v>
      </c>
      <c r="Q1227" s="16" t="n">
        <f aca="false">IF(D1227="","",IF(P1227&gt;=0,K1227,MAX(0,K1227+P1227)))</f>
        <v>1.119744</v>
      </c>
      <c r="R1227" s="16" t="n">
        <f aca="false">IF(D1227="","",Q1227/$B$15)</f>
        <v>0.432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156.338458096141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96.5052210470008</v>
      </c>
      <c r="Z1227" s="18" t="n">
        <f aca="false">IF(D1227="","",MAX(0,IF(P1227&gt;=0,P1227,IF(K1227+P1227&gt;=0,0,P1227+K1227))))</f>
        <v>156.338458096141</v>
      </c>
      <c r="AA1227" s="18" t="n">
        <f aca="false">IF(D1227="","",IF(H1227&lt;=$B$16,1,IF(H1227&gt;=$B$17,$B$21,MATCH(H1227,Aux_CAV!$A$2:$A$121,1))))</f>
        <v>22</v>
      </c>
      <c r="AB1227" s="18" t="n">
        <f aca="false">IF(D1227="","",IF(L1227&lt;=$B$16,1,IF(L1227&gt;=$B$17,$B$21,MATCH(L1227,Aux_CAV!$A$2:$A$121,1))))</f>
        <v>22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1.13356187059406</v>
      </c>
      <c r="E1228" s="16" t="n">
        <f aca="false">IF(D1228="","",D1228*$B$15)</f>
        <v>2.9381923685798</v>
      </c>
      <c r="F1228" s="16" t="n">
        <f aca="false" t="array" ref="F1228:F1228">IF(D1228="","",IFERROR(INDEX(Dados_Evap!$C$2:$N$15,MATCH($B$9,Dados_Evap!$A$2:$A$15,0),C1228),0))</f>
        <v>83.6</v>
      </c>
      <c r="G1228" s="16" t="n">
        <f aca="false">IF(F1228="","",F1228/1000)</f>
        <v>0.0836</v>
      </c>
      <c r="H1228" s="16" t="n">
        <f aca="false">IF(D1228="","",MAX(0,MIN($B$8,IFERROR(LOOKUP(2,1/($U$24:U1227&lt;&gt;""),$U$24:U1227),$B$11))))</f>
        <v>156.338458096141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15.3708014465153</v>
      </c>
      <c r="J1228" s="16" t="n">
        <f aca="false">IF(D1228="","",$B$12)</f>
        <v>0.432</v>
      </c>
      <c r="K1228" s="16" t="n">
        <f aca="false">IF(J1228="","",J1228*$B$15)</f>
        <v>1.119744</v>
      </c>
      <c r="L1228" s="16" t="n">
        <f aca="false">IF(D1228="","",H1228+E1228-K1228-G1228*I1228)</f>
        <v>156.871907463792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15.4096401695058</v>
      </c>
      <c r="N1228" s="16" t="n">
        <f aca="false">IF(D1228="","",(I1228+M1228)/2)</f>
        <v>15.3902208080105</v>
      </c>
      <c r="O1228" s="16" t="n">
        <f aca="false">IF(D1228="","",G1228*N1228)</f>
        <v>1.28662245954968</v>
      </c>
      <c r="P1228" s="16" t="n">
        <f aca="false">IF(D1228="","",H1228+E1228-K1228-O1228)</f>
        <v>156.870284005171</v>
      </c>
      <c r="Q1228" s="16" t="n">
        <f aca="false">IF(D1228="","",IF(P1228&gt;=0,K1228,MAX(0,K1228+P1228)))</f>
        <v>1.119744</v>
      </c>
      <c r="R1228" s="16" t="n">
        <f aca="false">IF(D1228="","",Q1228/$B$15)</f>
        <v>0.432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156.870284005171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96.8335086451675</v>
      </c>
      <c r="Z1228" s="18" t="n">
        <f aca="false">IF(D1228="","",MAX(0,IF(P1228&gt;=0,P1228,IF(K1228+P1228&gt;=0,0,P1228+K1228))))</f>
        <v>156.870284005171</v>
      </c>
      <c r="AA1228" s="18" t="n">
        <f aca="false">IF(D1228="","",IF(H1228&lt;=$B$16,1,IF(H1228&gt;=$B$17,$B$21,MATCH(H1228,Aux_CAV!$A$2:$A$121,1))))</f>
        <v>22</v>
      </c>
      <c r="AB1228" s="18" t="n">
        <f aca="false">IF(D1228="","",IF(L1228&lt;=$B$16,1,IF(L1228&gt;=$B$17,$B$21,MATCH(L1228,Aux_CAV!$A$2:$A$121,1))))</f>
        <v>22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0.955748352143555</v>
      </c>
      <c r="E1229" s="16" t="n">
        <f aca="false">IF(D1229="","",D1229*$B$15)</f>
        <v>2.47729972875609</v>
      </c>
      <c r="F1229" s="16" t="n">
        <f aca="false" t="array" ref="F1229:F1229">IF(D1229="","",IFERROR(INDEX(Dados_Evap!$C$2:$N$15,MATCH($B$9,Dados_Evap!$A$2:$A$15,0),C1229),0))</f>
        <v>108.2</v>
      </c>
      <c r="G1229" s="16" t="n">
        <f aca="false">IF(F1229="","",F1229/1000)</f>
        <v>0.1082</v>
      </c>
      <c r="H1229" s="16" t="n">
        <f aca="false">IF(D1229="","",MAX(0,MIN($B$8,IFERROR(LOOKUP(2,1/($U$24:U1228&lt;&gt;""),$U$24:U1228),$B$11))))</f>
        <v>156.870284005171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15.4095219707348</v>
      </c>
      <c r="J1229" s="16" t="n">
        <f aca="false">IF(D1229="","",$B$12)</f>
        <v>0.432</v>
      </c>
      <c r="K1229" s="16" t="n">
        <f aca="false">IF(J1229="","",J1229*$B$15)</f>
        <v>1.119744</v>
      </c>
      <c r="L1229" s="16" t="n">
        <f aca="false">IF(D1229="","",H1229+E1229-K1229-G1229*I1229)</f>
        <v>156.560529456694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15.3869697439764</v>
      </c>
      <c r="N1229" s="16" t="n">
        <f aca="false">IF(D1229="","",(I1229+M1229)/2)</f>
        <v>15.3982458573556</v>
      </c>
      <c r="O1229" s="16" t="n">
        <f aca="false">IF(D1229="","",G1229*N1229)</f>
        <v>1.66609020176588</v>
      </c>
      <c r="P1229" s="16" t="n">
        <f aca="false">IF(D1229="","",H1229+E1229-K1229-O1229)</f>
        <v>156.561749532162</v>
      </c>
      <c r="Q1229" s="16" t="n">
        <f aca="false">IF(D1229="","",IF(P1229&gt;=0,K1229,MAX(0,K1229+P1229)))</f>
        <v>1.119744</v>
      </c>
      <c r="R1229" s="16" t="n">
        <f aca="false">IF(D1229="","",Q1229/$B$15)</f>
        <v>0.432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156.561749532162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96.6430552667664</v>
      </c>
      <c r="Z1229" s="18" t="n">
        <f aca="false">IF(D1229="","",MAX(0,IF(P1229&gt;=0,P1229,IF(K1229+P1229&gt;=0,0,P1229+K1229))))</f>
        <v>156.561749532162</v>
      </c>
      <c r="AA1229" s="18" t="n">
        <f aca="false">IF(D1229="","",IF(H1229&lt;=$B$16,1,IF(H1229&gt;=$B$17,$B$21,MATCH(H1229,Aux_CAV!$A$2:$A$121,1))))</f>
        <v>22</v>
      </c>
      <c r="AB1229" s="18" t="n">
        <f aca="false">IF(D1229="","",IF(L1229&lt;=$B$16,1,IF(L1229&gt;=$B$17,$B$21,MATCH(L1229,Aux_CAV!$A$2:$A$121,1))))</f>
        <v>22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0.397907558323991</v>
      </c>
      <c r="E1230" s="16" t="n">
        <f aca="false">IF(D1230="","",D1230*$B$15)</f>
        <v>1.03137639117578</v>
      </c>
      <c r="F1230" s="16" t="n">
        <f aca="false" t="array" ref="F1230:F1230">IF(D1230="","",IFERROR(INDEX(Dados_Evap!$C$2:$N$15,MATCH($B$9,Dados_Evap!$A$2:$A$15,0),C1230),0))</f>
        <v>149</v>
      </c>
      <c r="G1230" s="16" t="n">
        <f aca="false">IF(F1230="","",F1230/1000)</f>
        <v>0.149</v>
      </c>
      <c r="H1230" s="16" t="n">
        <f aca="false">IF(D1230="","",MAX(0,MIN($B$8,IFERROR(LOOKUP(2,1/($U$24:U1229&lt;&gt;""),$U$24:U1229),$B$11))))</f>
        <v>156.561749532162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15.3870585737248</v>
      </c>
      <c r="J1230" s="16" t="n">
        <f aca="false">IF(D1230="","",$B$12)</f>
        <v>0.432</v>
      </c>
      <c r="K1230" s="16" t="n">
        <f aca="false">IF(J1230="","",J1230*$B$15)</f>
        <v>1.119744</v>
      </c>
      <c r="L1230" s="16" t="n">
        <f aca="false">IF(D1230="","",H1230+E1230-K1230-G1230*I1230)</f>
        <v>154.180710195852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15.2137028012368</v>
      </c>
      <c r="N1230" s="16" t="n">
        <f aca="false">IF(D1230="","",(I1230+M1230)/2)</f>
        <v>15.3003806874808</v>
      </c>
      <c r="O1230" s="16" t="n">
        <f aca="false">IF(D1230="","",G1230*N1230)</f>
        <v>2.27975672243464</v>
      </c>
      <c r="P1230" s="16" t="n">
        <f aca="false">IF(D1230="","",H1230+E1230-K1230-O1230)</f>
        <v>154.193625200903</v>
      </c>
      <c r="Q1230" s="16" t="n">
        <f aca="false">IF(D1230="","",IF(P1230&gt;=0,K1230,MAX(0,K1230+P1230)))</f>
        <v>1.119744</v>
      </c>
      <c r="R1230" s="16" t="n">
        <f aca="false">IF(D1230="","",Q1230/$B$15)</f>
        <v>0.432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154.193625200903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95.1812501240141</v>
      </c>
      <c r="Z1230" s="18" t="n">
        <f aca="false">IF(D1230="","",MAX(0,IF(P1230&gt;=0,P1230,IF(K1230+P1230&gt;=0,0,P1230+K1230))))</f>
        <v>154.193625200903</v>
      </c>
      <c r="AA1230" s="18" t="n">
        <f aca="false">IF(D1230="","",IF(H1230&lt;=$B$16,1,IF(H1230&gt;=$B$17,$B$21,MATCH(H1230,Aux_CAV!$A$2:$A$121,1))))</f>
        <v>22</v>
      </c>
      <c r="AB1230" s="18" t="n">
        <f aca="false">IF(D1230="","",IF(L1230&lt;=$B$16,1,IF(L1230&gt;=$B$17,$B$21,MATCH(L1230,Aux_CAV!$A$2:$A$121,1))))</f>
        <v>22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0.282563600985878</v>
      </c>
      <c r="E1231" s="16" t="n">
        <f aca="false">IF(D1231="","",D1231*$B$15)</f>
        <v>0.732404853755396</v>
      </c>
      <c r="F1231" s="16" t="n">
        <f aca="false" t="array" ref="F1231:F1231">IF(D1231="","",IFERROR(INDEX(Dados_Evap!$C$2:$N$15,MATCH($B$9,Dados_Evap!$A$2:$A$15,0),C1231),0))</f>
        <v>206.8</v>
      </c>
      <c r="G1231" s="16" t="n">
        <f aca="false">IF(F1231="","",F1231/1000)</f>
        <v>0.2068</v>
      </c>
      <c r="H1231" s="16" t="n">
        <f aca="false">IF(D1231="","",MAX(0,MIN($B$8,IFERROR(LOOKUP(2,1/($U$24:U1230&lt;&gt;""),$U$24:U1230),$B$11))))</f>
        <v>154.193625200903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15.2146431009803</v>
      </c>
      <c r="J1231" s="16" t="n">
        <f aca="false">IF(D1231="","",$B$12)</f>
        <v>0.432</v>
      </c>
      <c r="K1231" s="16" t="n">
        <f aca="false">IF(J1231="","",J1231*$B$15)</f>
        <v>1.119744</v>
      </c>
      <c r="L1231" s="16" t="n">
        <f aca="false">IF(D1231="","",H1231+E1231-K1231-G1231*I1231)</f>
        <v>150.659897861375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14.9573638434039</v>
      </c>
      <c r="N1231" s="16" t="n">
        <f aca="false">IF(D1231="","",(I1231+M1231)/2)</f>
        <v>15.0860034721921</v>
      </c>
      <c r="O1231" s="16" t="n">
        <f aca="false">IF(D1231="","",G1231*N1231)</f>
        <v>3.11978551804932</v>
      </c>
      <c r="P1231" s="16" t="n">
        <f aca="false">IF(D1231="","",H1231+E1231-K1231-O1231)</f>
        <v>150.686500536609</v>
      </c>
      <c r="Q1231" s="16" t="n">
        <f aca="false">IF(D1231="","",IF(P1231&gt;=0,K1231,MAX(0,K1231+P1231)))</f>
        <v>1.119744</v>
      </c>
      <c r="R1231" s="16" t="n">
        <f aca="false">IF(D1231="","",Q1231/$B$15)</f>
        <v>0.432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150.686500536609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93.0163583559314</v>
      </c>
      <c r="Z1231" s="18" t="n">
        <f aca="false">IF(D1231="","",MAX(0,IF(P1231&gt;=0,P1231,IF(K1231+P1231&gt;=0,0,P1231+K1231))))</f>
        <v>150.686500536609</v>
      </c>
      <c r="AA1231" s="18" t="n">
        <f aca="false">IF(D1231="","",IF(H1231&lt;=$B$16,1,IF(H1231&gt;=$B$17,$B$21,MATCH(H1231,Aux_CAV!$A$2:$A$121,1))))</f>
        <v>22</v>
      </c>
      <c r="AB1231" s="18" t="n">
        <f aca="false">IF(D1231="","",IF(L1231&lt;=$B$16,1,IF(L1231&gt;=$B$17,$B$21,MATCH(L1231,Aux_CAV!$A$2:$A$121,1))))</f>
        <v>22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0.256567816239574</v>
      </c>
      <c r="E1232" s="16" t="n">
        <f aca="false">IF(D1232="","",D1232*$B$15)</f>
        <v>0.665023779692976</v>
      </c>
      <c r="F1232" s="16" t="n">
        <f aca="false" t="array" ref="F1232:F1232">IF(D1232="","",IFERROR(INDEX(Dados_Evap!$C$2:$N$15,MATCH($B$9,Dados_Evap!$A$2:$A$15,0),C1232),0))</f>
        <v>245.9</v>
      </c>
      <c r="G1232" s="16" t="n">
        <f aca="false">IF(F1232="","",F1232/1000)</f>
        <v>0.2459</v>
      </c>
      <c r="H1232" s="16" t="n">
        <f aca="false">IF(D1232="","",MAX(0,MIN($B$8,IFERROR(LOOKUP(2,1/($U$24:U1231&lt;&gt;""),$U$24:U1231),$B$11))))</f>
        <v>150.686500536609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14.95930069814</v>
      </c>
      <c r="J1232" s="16" t="n">
        <f aca="false">IF(D1232="","",$B$12)</f>
        <v>0.432</v>
      </c>
      <c r="K1232" s="16" t="n">
        <f aca="false">IF(J1232="","",J1232*$B$15)</f>
        <v>1.119744</v>
      </c>
      <c r="L1232" s="16" t="n">
        <f aca="false">IF(D1232="","",H1232+E1232-K1232-G1232*I1232)</f>
        <v>146.553288274629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14.6583748824232</v>
      </c>
      <c r="N1232" s="16" t="n">
        <f aca="false">IF(D1232="","",(I1232+M1232)/2)</f>
        <v>14.8088377902816</v>
      </c>
      <c r="O1232" s="16" t="n">
        <f aca="false">IF(D1232="","",G1232*N1232)</f>
        <v>3.64149321263024</v>
      </c>
      <c r="P1232" s="16" t="n">
        <f aca="false">IF(D1232="","",H1232+E1232-K1232-O1232)</f>
        <v>146.590287103672</v>
      </c>
      <c r="Q1232" s="16" t="n">
        <f aca="false">IF(D1232="","",IF(P1232&gt;=0,K1232,MAX(0,K1232+P1232)))</f>
        <v>1.119744</v>
      </c>
      <c r="R1232" s="16" t="n">
        <f aca="false">IF(D1232="","",Q1232/$B$15)</f>
        <v>0.432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146.590287103672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90.4878315454763</v>
      </c>
      <c r="Z1232" s="18" t="n">
        <f aca="false">IF(D1232="","",MAX(0,IF(P1232&gt;=0,P1232,IF(K1232+P1232&gt;=0,0,P1232+K1232))))</f>
        <v>146.590287103672</v>
      </c>
      <c r="AA1232" s="18" t="n">
        <f aca="false">IF(D1232="","",IF(H1232&lt;=$B$16,1,IF(H1232&gt;=$B$17,$B$21,MATCH(H1232,Aux_CAV!$A$2:$A$121,1))))</f>
        <v>22</v>
      </c>
      <c r="AB1232" s="18" t="n">
        <f aca="false">IF(D1232="","",IF(L1232&lt;=$B$16,1,IF(L1232&gt;=$B$17,$B$21,MATCH(L1232,Aux_CAV!$A$2:$A$121,1))))</f>
        <v>22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0.252702654874139</v>
      </c>
      <c r="E1233" s="16" t="n">
        <f aca="false">IF(D1233="","",D1233*$B$15)</f>
        <v>0.655005281433768</v>
      </c>
      <c r="F1233" s="16" t="n">
        <f aca="false" t="array" ref="F1233:F1233">IF(D1233="","",IFERROR(INDEX(Dados_Evap!$C$2:$N$15,MATCH($B$9,Dados_Evap!$A$2:$A$15,0),C1233),0))</f>
        <v>282.3</v>
      </c>
      <c r="G1233" s="16" t="n">
        <f aca="false">IF(F1233="","",F1233/1000)</f>
        <v>0.2823</v>
      </c>
      <c r="H1233" s="16" t="n">
        <f aca="false">IF(D1233="","",MAX(0,MIN($B$8,IFERROR(LOOKUP(2,1/($U$24:U1232&lt;&gt;""),$U$24:U1232),$B$11))))</f>
        <v>146.590287103672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14.6610686474912</v>
      </c>
      <c r="J1233" s="16" t="n">
        <f aca="false">IF(D1233="","",$B$12)</f>
        <v>0.432</v>
      </c>
      <c r="K1233" s="16" t="n">
        <f aca="false">IF(J1233="","",J1233*$B$15)</f>
        <v>1.119744</v>
      </c>
      <c r="L1233" s="16" t="n">
        <f aca="false">IF(D1233="","",H1233+E1233-K1233-G1233*I1233)</f>
        <v>141.986728705919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14.3258984509865</v>
      </c>
      <c r="N1233" s="16" t="n">
        <f aca="false">IF(D1233="","",(I1233+M1233)/2)</f>
        <v>14.4934835492389</v>
      </c>
      <c r="O1233" s="16" t="n">
        <f aca="false">IF(D1233="","",G1233*N1233)</f>
        <v>4.09151040595013</v>
      </c>
      <c r="P1233" s="16" t="n">
        <f aca="false">IF(D1233="","",H1233+E1233-K1233-O1233)</f>
        <v>142.034037979155</v>
      </c>
      <c r="Q1233" s="16" t="n">
        <f aca="false">IF(D1233="","",IF(P1233&gt;=0,K1233,MAX(0,K1233+P1233)))</f>
        <v>1.119744</v>
      </c>
      <c r="R1233" s="16" t="n">
        <f aca="false">IF(D1233="","",Q1233/$B$15)</f>
        <v>0.432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142.034037979155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87.6753320858983</v>
      </c>
      <c r="Z1233" s="18" t="n">
        <f aca="false">IF(D1233="","",MAX(0,IF(P1233&gt;=0,P1233,IF(K1233+P1233&gt;=0,0,P1233+K1233))))</f>
        <v>142.034037979155</v>
      </c>
      <c r="AA1233" s="18" t="n">
        <f aca="false">IF(D1233="","",IF(H1233&lt;=$B$16,1,IF(H1233&gt;=$B$17,$B$21,MATCH(H1233,Aux_CAV!$A$2:$A$121,1))))</f>
        <v>22</v>
      </c>
      <c r="AB1233" s="18" t="n">
        <f aca="false">IF(D1233="","",IF(L1233&lt;=$B$16,1,IF(L1233&gt;=$B$17,$B$21,MATCH(L1233,Aux_CAV!$A$2:$A$121,1))))</f>
        <v>22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0.20317591413228</v>
      </c>
      <c r="E1234" s="16" t="n">
        <f aca="false">IF(D1234="","",D1234*$B$15)</f>
        <v>0.52663196943087</v>
      </c>
      <c r="F1234" s="16" t="n">
        <f aca="false" t="array" ref="F1234:F1234">IF(D1234="","",IFERROR(INDEX(Dados_Evap!$C$2:$N$15,MATCH($B$9,Dados_Evap!$A$2:$A$15,0),C1234),0))</f>
        <v>241.3</v>
      </c>
      <c r="G1234" s="16" t="n">
        <f aca="false">IF(F1234="","",F1234/1000)</f>
        <v>0.2413</v>
      </c>
      <c r="H1234" s="16" t="n">
        <f aca="false">IF(D1234="","",MAX(0,MIN($B$8,IFERROR(LOOKUP(2,1/($U$24:U1233&lt;&gt;""),$U$24:U1233),$B$11))))</f>
        <v>142.034037979155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14.3293428861467</v>
      </c>
      <c r="J1234" s="16" t="n">
        <f aca="false">IF(D1234="","",$B$12)</f>
        <v>0.432</v>
      </c>
      <c r="K1234" s="16" t="n">
        <f aca="false">IF(J1234="","",J1234*$B$15)</f>
        <v>1.119744</v>
      </c>
      <c r="L1234" s="16" t="n">
        <f aca="false">IF(D1234="","",H1234+E1234-K1234-G1234*I1234)</f>
        <v>137.983255510159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14.0344185170339</v>
      </c>
      <c r="N1234" s="16" t="n">
        <f aca="false">IF(D1234="","",(I1234+M1234)/2)</f>
        <v>14.1818807015903</v>
      </c>
      <c r="O1234" s="16" t="n">
        <f aca="false">IF(D1234="","",G1234*N1234)</f>
        <v>3.42208781329373</v>
      </c>
      <c r="P1234" s="16" t="n">
        <f aca="false">IF(D1234="","",H1234+E1234-K1234-O1234)</f>
        <v>138.018838135292</v>
      </c>
      <c r="Q1234" s="16" t="n">
        <f aca="false">IF(D1234="","",IF(P1234&gt;=0,K1234,MAX(0,K1234+P1234)))</f>
        <v>1.119744</v>
      </c>
      <c r="R1234" s="16" t="n">
        <f aca="false">IF(D1234="","",Q1234/$B$15)</f>
        <v>0.432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138.018838135292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85.1968136637607</v>
      </c>
      <c r="Z1234" s="18" t="n">
        <f aca="false">IF(D1234="","",MAX(0,IF(P1234&gt;=0,P1234,IF(K1234+P1234&gt;=0,0,P1234+K1234))))</f>
        <v>138.018838135292</v>
      </c>
      <c r="AA1234" s="18" t="n">
        <f aca="false">IF(D1234="","",IF(H1234&lt;=$B$16,1,IF(H1234&gt;=$B$17,$B$21,MATCH(H1234,Aux_CAV!$A$2:$A$121,1))))</f>
        <v>22</v>
      </c>
      <c r="AB1234" s="18" t="n">
        <f aca="false">IF(D1234="","",IF(L1234&lt;=$B$16,1,IF(L1234&gt;=$B$17,$B$21,MATCH(L1234,Aux_CAV!$A$2:$A$121,1))))</f>
        <v>22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0.362337079509915</v>
      </c>
      <c r="E1235" s="16" t="n">
        <f aca="false">IF(D1235="","",D1235*$B$15)</f>
        <v>0.9391777100897</v>
      </c>
      <c r="F1235" s="16" t="n">
        <f aca="false" t="array" ref="F1235:F1235">IF(D1235="","",IFERROR(INDEX(Dados_Evap!$C$2:$N$15,MATCH($B$9,Dados_Evap!$A$2:$A$15,0),C1235),0))</f>
        <v>241.8</v>
      </c>
      <c r="G1235" s="16" t="n">
        <f aca="false">IF(F1235="","",F1235/1000)</f>
        <v>0.2418</v>
      </c>
      <c r="H1235" s="16" t="n">
        <f aca="false">IF(D1235="","",MAX(0,MIN($B$8,IFERROR(LOOKUP(2,1/($U$24:U1234&lt;&gt;""),$U$24:U1234),$B$11))))</f>
        <v>138.018838135292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14.0370091728761</v>
      </c>
      <c r="J1235" s="16" t="n">
        <f aca="false">IF(D1235="","",$B$12)</f>
        <v>0.432</v>
      </c>
      <c r="K1235" s="16" t="n">
        <f aca="false">IF(J1235="","",J1235*$B$15)</f>
        <v>1.119744</v>
      </c>
      <c r="L1235" s="16" t="n">
        <f aca="false">IF(D1235="","",H1235+E1235-K1235-G1235*I1235)</f>
        <v>134.444123027381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13.7767457284605</v>
      </c>
      <c r="N1235" s="16" t="n">
        <f aca="false">IF(D1235="","",(I1235+M1235)/2)</f>
        <v>13.9068774506683</v>
      </c>
      <c r="O1235" s="16" t="n">
        <f aca="false">IF(D1235="","",G1235*N1235)</f>
        <v>3.3626829675716</v>
      </c>
      <c r="P1235" s="16" t="n">
        <f aca="false">IF(D1235="","",H1235+E1235-K1235-O1235)</f>
        <v>134.47558887781</v>
      </c>
      <c r="Q1235" s="16" t="n">
        <f aca="false">IF(D1235="","",IF(P1235&gt;=0,K1235,MAX(0,K1235+P1235)))</f>
        <v>1.119744</v>
      </c>
      <c r="R1235" s="16" t="n">
        <f aca="false">IF(D1235="","",Q1235/$B$15)</f>
        <v>0.432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134.47558887781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83.0096227640805</v>
      </c>
      <c r="Z1235" s="18" t="n">
        <f aca="false">IF(D1235="","",MAX(0,IF(P1235&gt;=0,P1235,IF(K1235+P1235&gt;=0,0,P1235+K1235))))</f>
        <v>134.47558887781</v>
      </c>
      <c r="AA1235" s="18" t="n">
        <f aca="false">IF(D1235="","",IF(H1235&lt;=$B$16,1,IF(H1235&gt;=$B$17,$B$21,MATCH(H1235,Aux_CAV!$A$2:$A$121,1))))</f>
        <v>22</v>
      </c>
      <c r="AB1235" s="18" t="n">
        <f aca="false">IF(D1235="","",IF(L1235&lt;=$B$16,1,IF(L1235&gt;=$B$17,$B$21,MATCH(L1235,Aux_CAV!$A$2:$A$121,1))))</f>
        <v>22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1.54481604290818</v>
      </c>
      <c r="E1236" s="16" t="n">
        <f aca="false">IF(D1236="","",D1236*$B$15)</f>
        <v>4.004163183218</v>
      </c>
      <c r="F1236" s="16" t="n">
        <f aca="false" t="array" ref="F1236:F1236">IF(D1236="","",IFERROR(INDEX(Dados_Evap!$C$2:$N$15,MATCH($B$9,Dados_Evap!$A$2:$A$15,0),C1236),0))</f>
        <v>189</v>
      </c>
      <c r="G1236" s="16" t="n">
        <f aca="false">IF(F1236="","",F1236/1000)</f>
        <v>0.189</v>
      </c>
      <c r="H1236" s="16" t="n">
        <f aca="false">IF(D1236="","",MAX(0,MIN($B$8,IFERROR(LOOKUP(2,1/($U$24:U1235&lt;&gt;""),$U$24:U1235),$B$11))))</f>
        <v>134.47558887781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13.7790366552525</v>
      </c>
      <c r="J1236" s="16" t="n">
        <f aca="false">IF(D1236="","",$B$12)</f>
        <v>0.432</v>
      </c>
      <c r="K1236" s="16" t="n">
        <f aca="false">IF(J1236="","",J1236*$B$15)</f>
        <v>1.119744</v>
      </c>
      <c r="L1236" s="16" t="n">
        <f aca="false">IF(D1236="","",H1236+E1236-K1236-G1236*I1236)</f>
        <v>134.755770133186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13.7994357461963</v>
      </c>
      <c r="N1236" s="16" t="n">
        <f aca="false">IF(D1236="","",(I1236+M1236)/2)</f>
        <v>13.7892362007244</v>
      </c>
      <c r="O1236" s="16" t="n">
        <f aca="false">IF(D1236="","",G1236*N1236)</f>
        <v>2.60616564193692</v>
      </c>
      <c r="P1236" s="16" t="n">
        <f aca="false">IF(D1236="","",H1236+E1236-K1236-O1236)</f>
        <v>134.753842419092</v>
      </c>
      <c r="Q1236" s="16" t="n">
        <f aca="false">IF(D1236="","",IF(P1236&gt;=0,K1236,MAX(0,K1236+P1236)))</f>
        <v>1.119744</v>
      </c>
      <c r="R1236" s="16" t="n">
        <f aca="false">IF(D1236="","",Q1236/$B$15)</f>
        <v>0.432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134.753842419092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83.1813842093158</v>
      </c>
      <c r="Z1236" s="18" t="n">
        <f aca="false">IF(D1236="","",MAX(0,IF(P1236&gt;=0,P1236,IF(K1236+P1236&gt;=0,0,P1236+K1236))))</f>
        <v>134.753842419092</v>
      </c>
      <c r="AA1236" s="18" t="n">
        <f aca="false">IF(D1236="","",IF(H1236&lt;=$B$16,1,IF(H1236&gt;=$B$17,$B$21,MATCH(H1236,Aux_CAV!$A$2:$A$121,1))))</f>
        <v>22</v>
      </c>
      <c r="AB1236" s="18" t="n">
        <f aca="false">IF(D1236="","",IF(L1236&lt;=$B$16,1,IF(L1236&gt;=$B$17,$B$21,MATCH(L1236,Aux_CAV!$A$2:$A$121,1))))</f>
        <v>22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1.68748889450879</v>
      </c>
      <c r="E1237" s="16" t="n">
        <f aca="false">IF(D1237="","",D1237*$B$15)</f>
        <v>4.37397121456678</v>
      </c>
      <c r="F1237" s="16" t="n">
        <f aca="false" t="array" ref="F1237:F1237">IF(D1237="","",IFERROR(INDEX(Dados_Evap!$C$2:$N$15,MATCH($B$9,Dados_Evap!$A$2:$A$15,0),C1237),0))</f>
        <v>136.9</v>
      </c>
      <c r="G1237" s="16" t="n">
        <f aca="false">IF(F1237="","",F1237/1000)</f>
        <v>0.1369</v>
      </c>
      <c r="H1237" s="16" t="n">
        <f aca="false">IF(D1237="","",MAX(0,MIN($B$8,IFERROR(LOOKUP(2,1/($U$24:U1236&lt;&gt;""),$U$24:U1236),$B$11))))</f>
        <v>134.753842419092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13.7992953955684</v>
      </c>
      <c r="J1237" s="16" t="n">
        <f aca="false">IF(D1237="","",$B$12)</f>
        <v>0.432</v>
      </c>
      <c r="K1237" s="16" t="n">
        <f aca="false">IF(J1237="","",J1237*$B$15)</f>
        <v>1.119744</v>
      </c>
      <c r="L1237" s="16" t="n">
        <f aca="false">IF(D1237="","",H1237+E1237-K1237-G1237*I1237)</f>
        <v>136.118946094005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13.898684178644</v>
      </c>
      <c r="N1237" s="16" t="n">
        <f aca="false">IF(D1237="","",(I1237+M1237)/2)</f>
        <v>13.8489897871062</v>
      </c>
      <c r="O1237" s="16" t="n">
        <f aca="false">IF(D1237="","",G1237*N1237)</f>
        <v>1.89592670185484</v>
      </c>
      <c r="P1237" s="16" t="n">
        <f aca="false">IF(D1237="","",H1237+E1237-K1237-O1237)</f>
        <v>136.112142931803</v>
      </c>
      <c r="Q1237" s="16" t="n">
        <f aca="false">IF(D1237="","",IF(P1237&gt;=0,K1237,MAX(0,K1237+P1237)))</f>
        <v>1.119744</v>
      </c>
      <c r="R1237" s="16" t="n">
        <f aca="false">IF(D1237="","",Q1237/$B$15)</f>
        <v>0.432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136.112142931803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84.0198413159281</v>
      </c>
      <c r="Z1237" s="18" t="n">
        <f aca="false">IF(D1237="","",MAX(0,IF(P1237&gt;=0,P1237,IF(K1237+P1237&gt;=0,0,P1237+K1237))))</f>
        <v>136.112142931803</v>
      </c>
      <c r="AA1237" s="18" t="n">
        <f aca="false">IF(D1237="","",IF(H1237&lt;=$B$16,1,IF(H1237&gt;=$B$17,$B$21,MATCH(H1237,Aux_CAV!$A$2:$A$121,1))))</f>
        <v>22</v>
      </c>
      <c r="AB1237" s="18" t="n">
        <f aca="false">IF(D1237="","",IF(L1237&lt;=$B$16,1,IF(L1237&gt;=$B$17,$B$21,MATCH(L1237,Aux_CAV!$A$2:$A$121,1))))</f>
        <v>22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3.98438055747609</v>
      </c>
      <c r="E1238" s="16" t="n">
        <f aca="false">IF(D1238="","",D1238*$B$15)</f>
        <v>10.327514404978</v>
      </c>
      <c r="F1238" s="16" t="n">
        <f aca="false" t="array" ref="F1238:F1238">IF(D1238="","",IFERROR(INDEX(Dados_Evap!$C$2:$N$15,MATCH($B$9,Dados_Evap!$A$2:$A$15,0),C1238),0))</f>
        <v>102.9</v>
      </c>
      <c r="G1238" s="16" t="n">
        <f aca="false">IF(F1238="","",F1238/1000)</f>
        <v>0.1029</v>
      </c>
      <c r="H1238" s="16" t="n">
        <f aca="false">IF(D1238="","",MAX(0,MIN($B$8,IFERROR(LOOKUP(2,1/($U$24:U1237&lt;&gt;""),$U$24:U1237),$B$11))))</f>
        <v>136.112142931803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13.8981888624093</v>
      </c>
      <c r="J1238" s="16" t="n">
        <f aca="false">IF(D1238="","",$B$12)</f>
        <v>0.432</v>
      </c>
      <c r="K1238" s="16" t="n">
        <f aca="false">IF(J1238="","",J1238*$B$15)</f>
        <v>1.119744</v>
      </c>
      <c r="L1238" s="16" t="n">
        <f aca="false">IF(D1238="","",H1238+E1238-K1238-G1238*I1238)</f>
        <v>143.88978970284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14.4644541666281</v>
      </c>
      <c r="N1238" s="16" t="n">
        <f aca="false">IF(D1238="","",(I1238+M1238)/2)</f>
        <v>14.1813215145187</v>
      </c>
      <c r="O1238" s="16" t="n">
        <f aca="false">IF(D1238="","",G1238*N1238)</f>
        <v>1.45925798384397</v>
      </c>
      <c r="P1238" s="16" t="n">
        <f aca="false">IF(D1238="","",H1238+E1238-K1238-O1238)</f>
        <v>143.860655352938</v>
      </c>
      <c r="Q1238" s="16" t="n">
        <f aca="false">IF(D1238="","",IF(P1238&gt;=0,K1238,MAX(0,K1238+P1238)))</f>
        <v>1.119744</v>
      </c>
      <c r="R1238" s="16" t="n">
        <f aca="false">IF(D1238="","",Q1238/$B$15)</f>
        <v>0.432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143.860655352938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88.8028736746528</v>
      </c>
      <c r="Z1238" s="18" t="n">
        <f aca="false">IF(D1238="","",MAX(0,IF(P1238&gt;=0,P1238,IF(K1238+P1238&gt;=0,0,P1238+K1238))))</f>
        <v>143.860655352938</v>
      </c>
      <c r="AA1238" s="18" t="n">
        <f aca="false">IF(D1238="","",IF(H1238&lt;=$B$16,1,IF(H1238&gt;=$B$17,$B$21,MATCH(H1238,Aux_CAV!$A$2:$A$121,1))))</f>
        <v>22</v>
      </c>
      <c r="AB1238" s="18" t="n">
        <f aca="false">IF(D1238="","",IF(L1238&lt;=$B$16,1,IF(L1238&gt;=$B$17,$B$21,MATCH(L1238,Aux_CAV!$A$2:$A$121,1))))</f>
        <v>22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6.28807486183998</v>
      </c>
      <c r="E1239" s="16" t="n">
        <f aca="false">IF(D1239="","",D1239*$B$15)</f>
        <v>16.2986900418892</v>
      </c>
      <c r="F1239" s="16" t="n">
        <f aca="false" t="array" ref="F1239:F1239">IF(D1239="","",IFERROR(INDEX(Dados_Evap!$C$2:$N$15,MATCH($B$9,Dados_Evap!$A$2:$A$15,0),C1239),0))</f>
        <v>81.8</v>
      </c>
      <c r="G1239" s="16" t="n">
        <f aca="false">IF(F1239="","",F1239/1000)</f>
        <v>0.0818</v>
      </c>
      <c r="H1239" s="16" t="n">
        <f aca="false">IF(D1239="","",MAX(0,MIN($B$8,IFERROR(LOOKUP(2,1/($U$24:U1238&lt;&gt;""),$U$24:U1238),$B$11))))</f>
        <v>143.860655352938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14.4623329888482</v>
      </c>
      <c r="J1239" s="16" t="n">
        <f aca="false">IF(D1239="","",$B$12)</f>
        <v>0.432</v>
      </c>
      <c r="K1239" s="16" t="n">
        <f aca="false">IF(J1239="","",J1239*$B$15)</f>
        <v>1.119744</v>
      </c>
      <c r="L1239" s="16" t="n">
        <f aca="false">IF(D1239="","",H1239+E1239-K1239-G1239*I1239)</f>
        <v>157.856582556339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15.4813311780142</v>
      </c>
      <c r="N1239" s="16" t="n">
        <f aca="false">IF(D1239="","",(I1239+M1239)/2)</f>
        <v>14.9718320834312</v>
      </c>
      <c r="O1239" s="16" t="n">
        <f aca="false">IF(D1239="","",G1239*N1239)</f>
        <v>1.22469586442467</v>
      </c>
      <c r="P1239" s="16" t="n">
        <f aca="false">IF(D1239="","",H1239+E1239-K1239-O1239)</f>
        <v>157.814905530402</v>
      </c>
      <c r="Q1239" s="16" t="n">
        <f aca="false">IF(D1239="","",IF(P1239&gt;=0,K1239,MAX(0,K1239+P1239)))</f>
        <v>1.119744</v>
      </c>
      <c r="R1239" s="16" t="n">
        <f aca="false">IF(D1239="","",Q1239/$B$15)</f>
        <v>0.432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157.814905530402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97.4166083521</v>
      </c>
      <c r="Z1239" s="18" t="n">
        <f aca="false">IF(D1239="","",MAX(0,IF(P1239&gt;=0,P1239,IF(K1239+P1239&gt;=0,0,P1239+K1239))))</f>
        <v>157.814905530402</v>
      </c>
      <c r="AA1239" s="18" t="n">
        <f aca="false">IF(D1239="","",IF(H1239&lt;=$B$16,1,IF(H1239&gt;=$B$17,$B$21,MATCH(H1239,Aux_CAV!$A$2:$A$121,1))))</f>
        <v>22</v>
      </c>
      <c r="AB1239" s="18" t="n">
        <f aca="false">IF(D1239="","",IF(L1239&lt;=$B$16,1,IF(L1239&gt;=$B$17,$B$21,MATCH(L1239,Aux_CAV!$A$2:$A$121,1))))</f>
        <v>22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6.39996274361582</v>
      </c>
      <c r="E1240" s="16" t="n">
        <f aca="false">IF(D1240="","",D1240*$B$15)</f>
        <v>16.5887034314522</v>
      </c>
      <c r="F1240" s="16" t="n">
        <f aca="false" t="array" ref="F1240:F1240">IF(D1240="","",IFERROR(INDEX(Dados_Evap!$C$2:$N$15,MATCH($B$9,Dados_Evap!$A$2:$A$15,0),C1240),0))</f>
        <v>83.6</v>
      </c>
      <c r="G1240" s="16" t="n">
        <f aca="false">IF(F1240="","",F1240/1000)</f>
        <v>0.0836</v>
      </c>
      <c r="H1240" s="16" t="n">
        <f aca="false">IF(D1240="","",MAX(0,MIN($B$8,IFERROR(LOOKUP(2,1/($U$24:U1239&lt;&gt;""),$U$24:U1239),$B$11))))</f>
        <v>157.814905530402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15.4782968085621</v>
      </c>
      <c r="J1240" s="16" t="n">
        <f aca="false">IF(D1240="","",$B$12)</f>
        <v>0.432</v>
      </c>
      <c r="K1240" s="16" t="n">
        <f aca="false">IF(J1240="","",J1240*$B$15)</f>
        <v>1.119744</v>
      </c>
      <c r="L1240" s="16" t="n">
        <f aca="false">IF(D1240="","",H1240+E1240-K1240-G1240*I1240)</f>
        <v>171.989879348659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16.3804899267579</v>
      </c>
      <c r="N1240" s="16" t="n">
        <f aca="false">IF(D1240="","",(I1240+M1240)/2)</f>
        <v>15.92939336766</v>
      </c>
      <c r="O1240" s="16" t="n">
        <f aca="false">IF(D1240="","",G1240*N1240)</f>
        <v>1.33169728553637</v>
      </c>
      <c r="P1240" s="16" t="n">
        <f aca="false">IF(D1240="","",H1240+E1240-K1240-O1240)</f>
        <v>171.952167676318</v>
      </c>
      <c r="Q1240" s="16" t="n">
        <f aca="false">IF(D1240="","",IF(P1240&gt;=0,K1240,MAX(0,K1240+P1240)))</f>
        <v>1.119744</v>
      </c>
      <c r="R1240" s="16" t="n">
        <f aca="false">IF(D1240="","",Q1240/$B$15)</f>
        <v>0.432</v>
      </c>
      <c r="S1240" s="16" t="n">
        <f aca="false">IF(D1240="","",MAX(0,J1240-R1240))</f>
        <v>0</v>
      </c>
      <c r="T1240" s="16" t="n">
        <f aca="false">IF(D1240="","",MAX(0,Z1240-$B$8))</f>
        <v>9.95216767631791</v>
      </c>
      <c r="U1240" s="16" t="n">
        <f aca="false">IF(D1240="","",MAX(0,MIN($B$8,Z1240)))</f>
        <v>162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171.952167676318</v>
      </c>
      <c r="AA1240" s="18" t="n">
        <f aca="false">IF(D1240="","",IF(H1240&lt;=$B$16,1,IF(H1240&gt;=$B$17,$B$21,MATCH(H1240,Aux_CAV!$A$2:$A$121,1))))</f>
        <v>22</v>
      </c>
      <c r="AB1240" s="18" t="n">
        <f aca="false">IF(D1240="","",IF(L1240&lt;=$B$16,1,IF(L1240&gt;=$B$17,$B$21,MATCH(L1240,Aux_CAV!$A$2:$A$121,1))))</f>
        <v>23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2.35899279799732</v>
      </c>
      <c r="E1241" s="16" t="n">
        <f aca="false">IF(D1241="","",D1241*$B$15)</f>
        <v>6.11450933240905</v>
      </c>
      <c r="F1241" s="16" t="n">
        <f aca="false" t="array" ref="F1241:F1241">IF(D1241="","",IFERROR(INDEX(Dados_Evap!$C$2:$N$15,MATCH($B$9,Dados_Evap!$A$2:$A$15,0),C1241),0))</f>
        <v>108.2</v>
      </c>
      <c r="G1241" s="16" t="n">
        <f aca="false">IF(F1241="","",F1241/1000)</f>
        <v>0.1082</v>
      </c>
      <c r="H1241" s="16" t="n">
        <f aca="false">IF(D1241="","",MAX(0,MIN($B$8,IFERROR(LOOKUP(2,1/($U$24:U1240&lt;&gt;""),$U$24:U1240),$B$11))))</f>
        <v>162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15.783</v>
      </c>
      <c r="J1241" s="16" t="n">
        <f aca="false">IF(D1241="","",$B$12)</f>
        <v>0.432</v>
      </c>
      <c r="K1241" s="16" t="n">
        <f aca="false">IF(J1241="","",J1241*$B$15)</f>
        <v>1.119744</v>
      </c>
      <c r="L1241" s="16" t="n">
        <f aca="false">IF(D1241="","",H1241+E1241-K1241-G1241*I1241)</f>
        <v>165.287044732409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15.979596580186</v>
      </c>
      <c r="N1241" s="16" t="n">
        <f aca="false">IF(D1241="","",(I1241+M1241)/2)</f>
        <v>15.881298290093</v>
      </c>
      <c r="O1241" s="16" t="n">
        <f aca="false">IF(D1241="","",G1241*N1241)</f>
        <v>1.71835647498806</v>
      </c>
      <c r="P1241" s="16" t="n">
        <f aca="false">IF(D1241="","",H1241+E1241-K1241-O1241)</f>
        <v>165.276408857421</v>
      </c>
      <c r="Q1241" s="16" t="n">
        <f aca="false">IF(D1241="","",IF(P1241&gt;=0,K1241,MAX(0,K1241+P1241)))</f>
        <v>1.119744</v>
      </c>
      <c r="R1241" s="16" t="n">
        <f aca="false">IF(D1241="","",Q1241/$B$15)</f>
        <v>0.432</v>
      </c>
      <c r="S1241" s="16" t="n">
        <f aca="false">IF(D1241="","",MAX(0,J1241-R1241))</f>
        <v>0</v>
      </c>
      <c r="T1241" s="16" t="n">
        <f aca="false">IF(D1241="","",MAX(0,Z1241-$B$8))</f>
        <v>3.27640885742099</v>
      </c>
      <c r="U1241" s="16" t="n">
        <f aca="false">IF(D1241="","",MAX(0,MIN($B$8,Z1241)))</f>
        <v>162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100</v>
      </c>
      <c r="Z1241" s="18" t="n">
        <f aca="false">IF(D1241="","",MAX(0,IF(P1241&gt;=0,P1241,IF(K1241+P1241&gt;=0,0,P1241+K1241))))</f>
        <v>165.276408857421</v>
      </c>
      <c r="AA1241" s="18" t="n">
        <f aca="false">IF(D1241="","",IF(H1241&lt;=$B$16,1,IF(H1241&gt;=$B$17,$B$21,MATCH(H1241,Aux_CAV!$A$2:$A$121,1))))</f>
        <v>23</v>
      </c>
      <c r="AB1241" s="18" t="n">
        <f aca="false">IF(D1241="","",IF(L1241&lt;=$B$16,1,IF(L1241&gt;=$B$17,$B$21,MATCH(L1241,Aux_CAV!$A$2:$A$121,1))))</f>
        <v>23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3.6800153579633</v>
      </c>
      <c r="E1242" s="16" t="n">
        <f aca="false">IF(D1242="","",D1242*$B$15)</f>
        <v>9.53859980784087</v>
      </c>
      <c r="F1242" s="16" t="n">
        <f aca="false" t="array" ref="F1242:F1242">IF(D1242="","",IFERROR(INDEX(Dados_Evap!$C$2:$N$15,MATCH($B$9,Dados_Evap!$A$2:$A$15,0),C1242),0))</f>
        <v>149</v>
      </c>
      <c r="G1242" s="16" t="n">
        <f aca="false">IF(F1242="","",F1242/1000)</f>
        <v>0.149</v>
      </c>
      <c r="H1242" s="16" t="n">
        <f aca="false">IF(D1242="","",MAX(0,MIN($B$8,IFERROR(LOOKUP(2,1/($U$24:U1241&lt;&gt;""),$U$24:U1241),$B$11))))</f>
        <v>162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15.783</v>
      </c>
      <c r="J1242" s="16" t="n">
        <f aca="false">IF(D1242="","",$B$12)</f>
        <v>0.432</v>
      </c>
      <c r="K1242" s="16" t="n">
        <f aca="false">IF(J1242="","",J1242*$B$15)</f>
        <v>1.119744</v>
      </c>
      <c r="L1242" s="16" t="n">
        <f aca="false">IF(D1242="","",H1242+E1242-K1242-G1242*I1242)</f>
        <v>168.067188807841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16.1458756734594</v>
      </c>
      <c r="N1242" s="16" t="n">
        <f aca="false">IF(D1242="","",(I1242+M1242)/2)</f>
        <v>15.9644378367297</v>
      </c>
      <c r="O1242" s="16" t="n">
        <f aca="false">IF(D1242="","",G1242*N1242)</f>
        <v>2.37870123767273</v>
      </c>
      <c r="P1242" s="16" t="n">
        <f aca="false">IF(D1242="","",H1242+E1242-K1242-O1242)</f>
        <v>168.040154570168</v>
      </c>
      <c r="Q1242" s="16" t="n">
        <f aca="false">IF(D1242="","",IF(P1242&gt;=0,K1242,MAX(0,K1242+P1242)))</f>
        <v>1.119744</v>
      </c>
      <c r="R1242" s="16" t="n">
        <f aca="false">IF(D1242="","",Q1242/$B$15)</f>
        <v>0.432</v>
      </c>
      <c r="S1242" s="16" t="n">
        <f aca="false">IF(D1242="","",MAX(0,J1242-R1242))</f>
        <v>0</v>
      </c>
      <c r="T1242" s="16" t="n">
        <f aca="false">IF(D1242="","",MAX(0,Z1242-$B$8))</f>
        <v>6.04015457016817</v>
      </c>
      <c r="U1242" s="16" t="n">
        <f aca="false">IF(D1242="","",MAX(0,MIN($B$8,Z1242)))</f>
        <v>162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168.040154570168</v>
      </c>
      <c r="AA1242" s="18" t="n">
        <f aca="false">IF(D1242="","",IF(H1242&lt;=$B$16,1,IF(H1242&gt;=$B$17,$B$21,MATCH(H1242,Aux_CAV!$A$2:$A$121,1))))</f>
        <v>23</v>
      </c>
      <c r="AB1242" s="18" t="n">
        <f aca="false">IF(D1242="","",IF(L1242&lt;=$B$16,1,IF(L1242&gt;=$B$17,$B$21,MATCH(L1242,Aux_CAV!$A$2:$A$121,1))))</f>
        <v>23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0.746169844276753</v>
      </c>
      <c r="E1243" s="16" t="n">
        <f aca="false">IF(D1243="","",D1243*$B$15)</f>
        <v>1.93407223636534</v>
      </c>
      <c r="F1243" s="16" t="n">
        <f aca="false" t="array" ref="F1243:F1243">IF(D1243="","",IFERROR(INDEX(Dados_Evap!$C$2:$N$15,MATCH($B$9,Dados_Evap!$A$2:$A$15,0),C1243),0))</f>
        <v>206.8</v>
      </c>
      <c r="G1243" s="16" t="n">
        <f aca="false">IF(F1243="","",F1243/1000)</f>
        <v>0.2068</v>
      </c>
      <c r="H1243" s="16" t="n">
        <f aca="false">IF(D1243="","",MAX(0,MIN($B$8,IFERROR(LOOKUP(2,1/($U$24:U1242&lt;&gt;""),$U$24:U1242),$B$11))))</f>
        <v>162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15.783</v>
      </c>
      <c r="J1243" s="16" t="n">
        <f aca="false">IF(D1243="","",$B$12)</f>
        <v>0.432</v>
      </c>
      <c r="K1243" s="16" t="n">
        <f aca="false">IF(J1243="","",J1243*$B$15)</f>
        <v>1.119744</v>
      </c>
      <c r="L1243" s="16" t="n">
        <f aca="false">IF(D1243="","",H1243+E1243-K1243-G1243*I1243)</f>
        <v>159.550403836365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15.6046528266648</v>
      </c>
      <c r="N1243" s="16" t="n">
        <f aca="false">IF(D1243="","",(I1243+M1243)/2)</f>
        <v>15.6938264133324</v>
      </c>
      <c r="O1243" s="16" t="n">
        <f aca="false">IF(D1243="","",G1243*N1243)</f>
        <v>3.24548330227714</v>
      </c>
      <c r="P1243" s="16" t="n">
        <f aca="false">IF(D1243="","",H1243+E1243-K1243-O1243)</f>
        <v>159.568844934088</v>
      </c>
      <c r="Q1243" s="16" t="n">
        <f aca="false">IF(D1243="","",IF(P1243&gt;=0,K1243,MAX(0,K1243+P1243)))</f>
        <v>1.119744</v>
      </c>
      <c r="R1243" s="16" t="n">
        <f aca="false">IF(D1243="","",Q1243/$B$15)</f>
        <v>0.432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159.568844934088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98.4992869963508</v>
      </c>
      <c r="Z1243" s="18" t="n">
        <f aca="false">IF(D1243="","",MAX(0,IF(P1243&gt;=0,P1243,IF(K1243+P1243&gt;=0,0,P1243+K1243))))</f>
        <v>159.568844934088</v>
      </c>
      <c r="AA1243" s="18" t="n">
        <f aca="false">IF(D1243="","",IF(H1243&lt;=$B$16,1,IF(H1243&gt;=$B$17,$B$21,MATCH(H1243,Aux_CAV!$A$2:$A$121,1))))</f>
        <v>23</v>
      </c>
      <c r="AB1243" s="18" t="n">
        <f aca="false">IF(D1243="","",IF(L1243&lt;=$B$16,1,IF(L1243&gt;=$B$17,$B$21,MATCH(L1243,Aux_CAV!$A$2:$A$121,1))))</f>
        <v>22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0.395596571676222</v>
      </c>
      <c r="E1244" s="16" t="n">
        <f aca="false">IF(D1244="","",D1244*$B$15)</f>
        <v>1.02538631378477</v>
      </c>
      <c r="F1244" s="16" t="n">
        <f aca="false" t="array" ref="F1244:F1244">IF(D1244="","",IFERROR(INDEX(Dados_Evap!$C$2:$N$15,MATCH($B$9,Dados_Evap!$A$2:$A$15,0),C1244),0))</f>
        <v>245.9</v>
      </c>
      <c r="G1244" s="16" t="n">
        <f aca="false">IF(F1244="","",F1244/1000)</f>
        <v>0.2459</v>
      </c>
      <c r="H1244" s="16" t="n">
        <f aca="false">IF(D1244="","",MAX(0,MIN($B$8,IFERROR(LOOKUP(2,1/($U$24:U1243&lt;&gt;""),$U$24:U1243),$B$11))))</f>
        <v>159.568844934088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15.6059954633414</v>
      </c>
      <c r="J1244" s="16" t="n">
        <f aca="false">IF(D1244="","",$B$12)</f>
        <v>0.432</v>
      </c>
      <c r="K1244" s="16" t="n">
        <f aca="false">IF(J1244="","",J1244*$B$15)</f>
        <v>1.119744</v>
      </c>
      <c r="L1244" s="16" t="n">
        <f aca="false">IF(D1244="","",H1244+E1244-K1244-G1244*I1244)</f>
        <v>155.636972963437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15.3197285829912</v>
      </c>
      <c r="N1244" s="16" t="n">
        <f aca="false">IF(D1244="","",(I1244+M1244)/2)</f>
        <v>15.4628620231663</v>
      </c>
      <c r="O1244" s="16" t="n">
        <f aca="false">IF(D1244="","",G1244*N1244)</f>
        <v>3.80231777149659</v>
      </c>
      <c r="P1244" s="16" t="n">
        <f aca="false">IF(D1244="","",H1244+E1244-K1244-O1244)</f>
        <v>155.672169476376</v>
      </c>
      <c r="Q1244" s="16" t="n">
        <f aca="false">IF(D1244="","",IF(P1244&gt;=0,K1244,MAX(0,K1244+P1244)))</f>
        <v>1.119744</v>
      </c>
      <c r="R1244" s="16" t="n">
        <f aca="false">IF(D1244="","",Q1244/$B$15)</f>
        <v>0.432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155.672169476376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96.093931775541</v>
      </c>
      <c r="Z1244" s="18" t="n">
        <f aca="false">IF(D1244="","",MAX(0,IF(P1244&gt;=0,P1244,IF(K1244+P1244&gt;=0,0,P1244+K1244))))</f>
        <v>155.672169476376</v>
      </c>
      <c r="AA1244" s="18" t="n">
        <f aca="false">IF(D1244="","",IF(H1244&lt;=$B$16,1,IF(H1244&gt;=$B$17,$B$21,MATCH(H1244,Aux_CAV!$A$2:$A$121,1))))</f>
        <v>22</v>
      </c>
      <c r="AB1244" s="18" t="n">
        <f aca="false">IF(D1244="","",IF(L1244&lt;=$B$16,1,IF(L1244&gt;=$B$17,$B$21,MATCH(L1244,Aux_CAV!$A$2:$A$121,1))))</f>
        <v>22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0.932354778863801</v>
      </c>
      <c r="E1245" s="16" t="n">
        <f aca="false">IF(D1245="","",D1245*$B$15)</f>
        <v>2.41666358681497</v>
      </c>
      <c r="F1245" s="16" t="n">
        <f aca="false" t="array" ref="F1245:F1245">IF(D1245="","",IFERROR(INDEX(Dados_Evap!$C$2:$N$15,MATCH($B$9,Dados_Evap!$A$2:$A$15,0),C1245),0))</f>
        <v>282.3</v>
      </c>
      <c r="G1245" s="16" t="n">
        <f aca="false">IF(F1245="","",F1245/1000)</f>
        <v>0.2823</v>
      </c>
      <c r="H1245" s="16" t="n">
        <f aca="false">IF(D1245="","",MAX(0,MIN($B$8,IFERROR(LOOKUP(2,1/($U$24:U1244&lt;&gt;""),$U$24:U1244),$B$11))))</f>
        <v>155.672169476376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15.3222911272535</v>
      </c>
      <c r="J1245" s="16" t="n">
        <f aca="false">IF(D1245="","",$B$12)</f>
        <v>0.432</v>
      </c>
      <c r="K1245" s="16" t="n">
        <f aca="false">IF(J1245="","",J1245*$B$15)</f>
        <v>1.119744</v>
      </c>
      <c r="L1245" s="16" t="n">
        <f aca="false">IF(D1245="","",H1245+E1245-K1245-G1245*I1245)</f>
        <v>152.643606277968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15.1017912368137</v>
      </c>
      <c r="N1245" s="16" t="n">
        <f aca="false">IF(D1245="","",(I1245+M1245)/2)</f>
        <v>15.2120411820336</v>
      </c>
      <c r="O1245" s="16" t="n">
        <f aca="false">IF(D1245="","",G1245*N1245)</f>
        <v>4.29435922568808</v>
      </c>
      <c r="P1245" s="16" t="n">
        <f aca="false">IF(D1245="","",H1245+E1245-K1245-O1245)</f>
        <v>152.674729837503</v>
      </c>
      <c r="Q1245" s="16" t="n">
        <f aca="false">IF(D1245="","",IF(P1245&gt;=0,K1245,MAX(0,K1245+P1245)))</f>
        <v>1.119744</v>
      </c>
      <c r="R1245" s="16" t="n">
        <f aca="false">IF(D1245="","",Q1245/$B$15)</f>
        <v>0.432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152.674729837503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94.2436603935205</v>
      </c>
      <c r="Z1245" s="18" t="n">
        <f aca="false">IF(D1245="","",MAX(0,IF(P1245&gt;=0,P1245,IF(K1245+P1245&gt;=0,0,P1245+K1245))))</f>
        <v>152.674729837503</v>
      </c>
      <c r="AA1245" s="18" t="n">
        <f aca="false">IF(D1245="","",IF(H1245&lt;=$B$16,1,IF(H1245&gt;=$B$17,$B$21,MATCH(H1245,Aux_CAV!$A$2:$A$121,1))))</f>
        <v>22</v>
      </c>
      <c r="AB1245" s="18" t="n">
        <f aca="false">IF(D1245="","",IF(L1245&lt;=$B$16,1,IF(L1245&gt;=$B$17,$B$21,MATCH(L1245,Aux_CAV!$A$2:$A$121,1))))</f>
        <v>22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0.531799247143249</v>
      </c>
      <c r="E1246" s="16" t="n">
        <f aca="false">IF(D1246="","",D1246*$B$15)</f>
        <v>1.3784236485953</v>
      </c>
      <c r="F1246" s="16" t="n">
        <f aca="false" t="array" ref="F1246:F1246">IF(D1246="","",IFERROR(INDEX(Dados_Evap!$C$2:$N$15,MATCH($B$9,Dados_Evap!$A$2:$A$15,0),C1246),0))</f>
        <v>241.3</v>
      </c>
      <c r="G1246" s="16" t="n">
        <f aca="false">IF(F1246="","",F1246/1000)</f>
        <v>0.2413</v>
      </c>
      <c r="H1246" s="16" t="n">
        <f aca="false">IF(D1246="","",MAX(0,MIN($B$8,IFERROR(LOOKUP(2,1/($U$24:U1245&lt;&gt;""),$U$24:U1245),$B$11))))</f>
        <v>152.674729837503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15.1040572425128</v>
      </c>
      <c r="J1246" s="16" t="n">
        <f aca="false">IF(D1246="","",$B$12)</f>
        <v>0.432</v>
      </c>
      <c r="K1246" s="16" t="n">
        <f aca="false">IF(J1246="","",J1246*$B$15)</f>
        <v>1.119744</v>
      </c>
      <c r="L1246" s="16" t="n">
        <f aca="false">IF(D1246="","",H1246+E1246-K1246-G1246*I1246)</f>
        <v>149.28880047348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14.857538677473</v>
      </c>
      <c r="N1246" s="16" t="n">
        <f aca="false">IF(D1246="","",(I1246+M1246)/2)</f>
        <v>14.9807979599929</v>
      </c>
      <c r="O1246" s="16" t="n">
        <f aca="false">IF(D1246="","",G1246*N1246)</f>
        <v>3.61486654774629</v>
      </c>
      <c r="P1246" s="16" t="n">
        <f aca="false">IF(D1246="","",H1246+E1246-K1246-O1246)</f>
        <v>149.318542938352</v>
      </c>
      <c r="Q1246" s="16" t="n">
        <f aca="false">IF(D1246="","",IF(P1246&gt;=0,K1246,MAX(0,K1246+P1246)))</f>
        <v>1.119744</v>
      </c>
      <c r="R1246" s="16" t="n">
        <f aca="false">IF(D1246="","",Q1246/$B$15)</f>
        <v>0.432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149.318542938352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92.1719400854026</v>
      </c>
      <c r="Z1246" s="18" t="n">
        <f aca="false">IF(D1246="","",MAX(0,IF(P1246&gt;=0,P1246,IF(K1246+P1246&gt;=0,0,P1246+K1246))))</f>
        <v>149.318542938352</v>
      </c>
      <c r="AA1246" s="18" t="n">
        <f aca="false">IF(D1246="","",IF(H1246&lt;=$B$16,1,IF(H1246&gt;=$B$17,$B$21,MATCH(H1246,Aux_CAV!$A$2:$A$121,1))))</f>
        <v>22</v>
      </c>
      <c r="AB1246" s="18" t="n">
        <f aca="false">IF(D1246="","",IF(L1246&lt;=$B$16,1,IF(L1246&gt;=$B$17,$B$21,MATCH(L1246,Aux_CAV!$A$2:$A$121,1))))</f>
        <v>22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0.327311220367081</v>
      </c>
      <c r="E1247" s="16" t="n">
        <f aca="false">IF(D1247="","",D1247*$B$15)</f>
        <v>0.848390683191474</v>
      </c>
      <c r="F1247" s="16" t="n">
        <f aca="false" t="array" ref="F1247:F1247">IF(D1247="","",IFERROR(INDEX(Dados_Evap!$C$2:$N$15,MATCH($B$9,Dados_Evap!$A$2:$A$15,0),C1247),0))</f>
        <v>241.8</v>
      </c>
      <c r="G1247" s="16" t="n">
        <f aca="false">IF(F1247="","",F1247/1000)</f>
        <v>0.2418</v>
      </c>
      <c r="H1247" s="16" t="n">
        <f aca="false">IF(D1247="","",MAX(0,MIN($B$8,IFERROR(LOOKUP(2,1/($U$24:U1246&lt;&gt;""),$U$24:U1246),$B$11))))</f>
        <v>149.318542938352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14.8597041301369</v>
      </c>
      <c r="J1247" s="16" t="n">
        <f aca="false">IF(D1247="","",$B$12)</f>
        <v>0.432</v>
      </c>
      <c r="K1247" s="16" t="n">
        <f aca="false">IF(J1247="","",J1247*$B$15)</f>
        <v>1.119744</v>
      </c>
      <c r="L1247" s="16" t="n">
        <f aca="false">IF(D1247="","",H1247+E1247-K1247-G1247*I1247)</f>
        <v>145.454113162877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14.5783474978724</v>
      </c>
      <c r="N1247" s="16" t="n">
        <f aca="false">IF(D1247="","",(I1247+M1247)/2)</f>
        <v>14.7190258140046</v>
      </c>
      <c r="O1247" s="16" t="n">
        <f aca="false">IF(D1247="","",G1247*N1247)</f>
        <v>3.55906044182632</v>
      </c>
      <c r="P1247" s="16" t="n">
        <f aca="false">IF(D1247="","",H1247+E1247-K1247-O1247)</f>
        <v>145.488129179717</v>
      </c>
      <c r="Q1247" s="16" t="n">
        <f aca="false">IF(D1247="","",IF(P1247&gt;=0,K1247,MAX(0,K1247+P1247)))</f>
        <v>1.119744</v>
      </c>
      <c r="R1247" s="16" t="n">
        <f aca="false">IF(D1247="","",Q1247/$B$15)</f>
        <v>0.432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145.488129179717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89.8074871479737</v>
      </c>
      <c r="Z1247" s="18" t="n">
        <f aca="false">IF(D1247="","",MAX(0,IF(P1247&gt;=0,P1247,IF(K1247+P1247&gt;=0,0,P1247+K1247))))</f>
        <v>145.488129179717</v>
      </c>
      <c r="AA1247" s="18" t="n">
        <f aca="false">IF(D1247="","",IF(H1247&lt;=$B$16,1,IF(H1247&gt;=$B$17,$B$21,MATCH(H1247,Aux_CAV!$A$2:$A$121,1))))</f>
        <v>22</v>
      </c>
      <c r="AB1247" s="18" t="n">
        <f aca="false">IF(D1247="","",IF(L1247&lt;=$B$16,1,IF(L1247&gt;=$B$17,$B$21,MATCH(L1247,Aux_CAV!$A$2:$A$121,1))))</f>
        <v>22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0.577452150933245</v>
      </c>
      <c r="E1248" s="16" t="n">
        <f aca="false">IF(D1248="","",D1248*$B$15)</f>
        <v>1.49675597521897</v>
      </c>
      <c r="F1248" s="16" t="n">
        <f aca="false" t="array" ref="F1248:F1248">IF(D1248="","",IFERROR(INDEX(Dados_Evap!$C$2:$N$15,MATCH($B$9,Dados_Evap!$A$2:$A$15,0),C1248),0))</f>
        <v>189</v>
      </c>
      <c r="G1248" s="16" t="n">
        <f aca="false">IF(F1248="","",F1248/1000)</f>
        <v>0.189</v>
      </c>
      <c r="H1248" s="16" t="n">
        <f aca="false">IF(D1248="","",MAX(0,MIN($B$8,IFERROR(LOOKUP(2,1/($U$24:U1247&lt;&gt;""),$U$24:U1247),$B$11))))</f>
        <v>145.488129179717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14.5808240940321</v>
      </c>
      <c r="J1248" s="16" t="n">
        <f aca="false">IF(D1248="","",$B$12)</f>
        <v>0.432</v>
      </c>
      <c r="K1248" s="16" t="n">
        <f aca="false">IF(J1248="","",J1248*$B$15)</f>
        <v>1.119744</v>
      </c>
      <c r="L1248" s="16" t="n">
        <f aca="false">IF(D1248="","",H1248+E1248-K1248-G1248*I1248)</f>
        <v>143.109365401164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14.4076339975438</v>
      </c>
      <c r="N1248" s="16" t="n">
        <f aca="false">IF(D1248="","",(I1248+M1248)/2)</f>
        <v>14.494229045788</v>
      </c>
      <c r="O1248" s="16" t="n">
        <f aca="false">IF(D1248="","",G1248*N1248)</f>
        <v>2.73940928965392</v>
      </c>
      <c r="P1248" s="16" t="n">
        <f aca="false">IF(D1248="","",H1248+E1248-K1248-O1248)</f>
        <v>143.125731865282</v>
      </c>
      <c r="Q1248" s="16" t="n">
        <f aca="false">IF(D1248="","",IF(P1248&gt;=0,K1248,MAX(0,K1248+P1248)))</f>
        <v>1.119744</v>
      </c>
      <c r="R1248" s="16" t="n">
        <f aca="false">IF(D1248="","",Q1248/$B$15)</f>
        <v>0.432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143.125731865282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88.3492172007916</v>
      </c>
      <c r="Z1248" s="18" t="n">
        <f aca="false">IF(D1248="","",MAX(0,IF(P1248&gt;=0,P1248,IF(K1248+P1248&gt;=0,0,P1248+K1248))))</f>
        <v>143.125731865282</v>
      </c>
      <c r="AA1248" s="18" t="n">
        <f aca="false">IF(D1248="","",IF(H1248&lt;=$B$16,1,IF(H1248&gt;=$B$17,$B$21,MATCH(H1248,Aux_CAV!$A$2:$A$121,1))))</f>
        <v>22</v>
      </c>
      <c r="AB1248" s="18" t="n">
        <f aca="false">IF(D1248="","",IF(L1248&lt;=$B$16,1,IF(L1248&gt;=$B$17,$B$21,MATCH(L1248,Aux_CAV!$A$2:$A$121,1))))</f>
        <v>22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2.03793347658373</v>
      </c>
      <c r="E1249" s="16" t="n">
        <f aca="false">IF(D1249="","",D1249*$B$15)</f>
        <v>5.28232357130503</v>
      </c>
      <c r="F1249" s="16" t="n">
        <f aca="false" t="array" ref="F1249:F1249">IF(D1249="","",IFERROR(INDEX(Dados_Evap!$C$2:$N$15,MATCH($B$9,Dados_Evap!$A$2:$A$15,0),C1249),0))</f>
        <v>136.9</v>
      </c>
      <c r="G1249" s="16" t="n">
        <f aca="false">IF(F1249="","",F1249/1000)</f>
        <v>0.1369</v>
      </c>
      <c r="H1249" s="16" t="n">
        <f aca="false">IF(D1249="","",MAX(0,MIN($B$8,IFERROR(LOOKUP(2,1/($U$24:U1248&lt;&gt;""),$U$24:U1248),$B$11))))</f>
        <v>143.125731865282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14.4088255868582</v>
      </c>
      <c r="J1249" s="16" t="n">
        <f aca="false">IF(D1249="","",$B$12)</f>
        <v>0.432</v>
      </c>
      <c r="K1249" s="16" t="n">
        <f aca="false">IF(J1249="","",J1249*$B$15)</f>
        <v>1.119744</v>
      </c>
      <c r="L1249" s="16" t="n">
        <f aca="false">IF(D1249="","",H1249+E1249-K1249-G1249*I1249)</f>
        <v>145.315743213747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14.5682732294406</v>
      </c>
      <c r="N1249" s="16" t="n">
        <f aca="false">IF(D1249="","",(I1249+M1249)/2)</f>
        <v>14.4885494081494</v>
      </c>
      <c r="O1249" s="16" t="n">
        <f aca="false">IF(D1249="","",G1249*N1249)</f>
        <v>1.98348241397565</v>
      </c>
      <c r="P1249" s="16" t="n">
        <f aca="false">IF(D1249="","",H1249+E1249-K1249-O1249)</f>
        <v>145.304829022612</v>
      </c>
      <c r="Q1249" s="16" t="n">
        <f aca="false">IF(D1249="","",IF(P1249&gt;=0,K1249,MAX(0,K1249+P1249)))</f>
        <v>1.119744</v>
      </c>
      <c r="R1249" s="16" t="n">
        <f aca="false">IF(D1249="","",Q1249/$B$15)</f>
        <v>0.432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145.304829022612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89.6943389028468</v>
      </c>
      <c r="Z1249" s="18" t="n">
        <f aca="false">IF(D1249="","",MAX(0,IF(P1249&gt;=0,P1249,IF(K1249+P1249&gt;=0,0,P1249+K1249))))</f>
        <v>145.304829022612</v>
      </c>
      <c r="AA1249" s="18" t="n">
        <f aca="false">IF(D1249="","",IF(H1249&lt;=$B$16,1,IF(H1249&gt;=$B$17,$B$21,MATCH(H1249,Aux_CAV!$A$2:$A$121,1))))</f>
        <v>22</v>
      </c>
      <c r="AB1249" s="18" t="n">
        <f aca="false">IF(D1249="","",IF(L1249&lt;=$B$16,1,IF(L1249&gt;=$B$17,$B$21,MATCH(L1249,Aux_CAV!$A$2:$A$121,1))))</f>
        <v>22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1.47159062754342</v>
      </c>
      <c r="E1250" s="16" t="n">
        <f aca="false">IF(D1250="","",D1250*$B$15)</f>
        <v>3.81436290659255</v>
      </c>
      <c r="F1250" s="16" t="n">
        <f aca="false" t="array" ref="F1250:F1250">IF(D1250="","",IFERROR(INDEX(Dados_Evap!$C$2:$N$15,MATCH($B$9,Dados_Evap!$A$2:$A$15,0),C1250),0))</f>
        <v>102.9</v>
      </c>
      <c r="G1250" s="16" t="n">
        <f aca="false">IF(F1250="","",F1250/1000)</f>
        <v>0.1029</v>
      </c>
      <c r="H1250" s="16" t="n">
        <f aca="false">IF(D1250="","",MAX(0,MIN($B$8,IFERROR(LOOKUP(2,1/($U$24:U1249&lt;&gt;""),$U$24:U1249),$B$11))))</f>
        <v>145.304829022612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14.5674786024866</v>
      </c>
      <c r="J1250" s="16" t="n">
        <f aca="false">IF(D1250="","",$B$12)</f>
        <v>0.432</v>
      </c>
      <c r="K1250" s="16" t="n">
        <f aca="false">IF(J1250="","",J1250*$B$15)</f>
        <v>1.119744</v>
      </c>
      <c r="L1250" s="16" t="n">
        <f aca="false">IF(D1250="","",H1250+E1250-K1250-G1250*I1250)</f>
        <v>146.500454381009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14.6545282175225</v>
      </c>
      <c r="N1250" s="16" t="n">
        <f aca="false">IF(D1250="","",(I1250+M1250)/2)</f>
        <v>14.6110034100045</v>
      </c>
      <c r="O1250" s="16" t="n">
        <f aca="false">IF(D1250="","",G1250*N1250)</f>
        <v>1.50347225088947</v>
      </c>
      <c r="P1250" s="16" t="n">
        <f aca="false">IF(D1250="","",H1250+E1250-K1250-O1250)</f>
        <v>146.495975678315</v>
      </c>
      <c r="Q1250" s="16" t="n">
        <f aca="false">IF(D1250="","",IF(P1250&gt;=0,K1250,MAX(0,K1250+P1250)))</f>
        <v>1.119744</v>
      </c>
      <c r="R1250" s="16" t="n">
        <f aca="false">IF(D1250="","",Q1250/$B$15)</f>
        <v>0.432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146.495975678315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90.4296146162438</v>
      </c>
      <c r="Z1250" s="18" t="n">
        <f aca="false">IF(D1250="","",MAX(0,IF(P1250&gt;=0,P1250,IF(K1250+P1250&gt;=0,0,P1250+K1250))))</f>
        <v>146.495975678315</v>
      </c>
      <c r="AA1250" s="18" t="n">
        <f aca="false">IF(D1250="","",IF(H1250&lt;=$B$16,1,IF(H1250&gt;=$B$17,$B$21,MATCH(H1250,Aux_CAV!$A$2:$A$121,1))))</f>
        <v>22</v>
      </c>
      <c r="AB1250" s="18" t="n">
        <f aca="false">IF(D1250="","",IF(L1250&lt;=$B$16,1,IF(L1250&gt;=$B$17,$B$21,MATCH(L1250,Aux_CAV!$A$2:$A$121,1))))</f>
        <v>22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1.02269801009628</v>
      </c>
      <c r="E1251" s="16" t="n">
        <f aca="false">IF(D1251="","",D1251*$B$15)</f>
        <v>2.65083324216956</v>
      </c>
      <c r="F1251" s="16" t="n">
        <f aca="false" t="array" ref="F1251:F1251">IF(D1251="","",IFERROR(INDEX(Dados_Evap!$C$2:$N$15,MATCH($B$9,Dados_Evap!$A$2:$A$15,0),C1251),0))</f>
        <v>81.8</v>
      </c>
      <c r="G1251" s="16" t="n">
        <f aca="false">IF(F1251="","",F1251/1000)</f>
        <v>0.0818</v>
      </c>
      <c r="H1251" s="16" t="n">
        <f aca="false">IF(D1251="","",MAX(0,MIN($B$8,IFERROR(LOOKUP(2,1/($U$24:U1250&lt;&gt;""),$U$24:U1250),$B$11))))</f>
        <v>146.495975678315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14.654202137666</v>
      </c>
      <c r="J1251" s="16" t="n">
        <f aca="false">IF(D1251="","",$B$12)</f>
        <v>0.432</v>
      </c>
      <c r="K1251" s="16" t="n">
        <f aca="false">IF(J1251="","",J1251*$B$15)</f>
        <v>1.119744</v>
      </c>
      <c r="L1251" s="16" t="n">
        <f aca="false">IF(D1251="","",H1251+E1251-K1251-G1251*I1251)</f>
        <v>146.828351185623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14.6784013232682</v>
      </c>
      <c r="N1251" s="16" t="n">
        <f aca="false">IF(D1251="","",(I1251+M1251)/2)</f>
        <v>14.6663017304671</v>
      </c>
      <c r="O1251" s="16" t="n">
        <f aca="false">IF(D1251="","",G1251*N1251)</f>
        <v>1.19970348155221</v>
      </c>
      <c r="P1251" s="16" t="n">
        <f aca="false">IF(D1251="","",H1251+E1251-K1251-O1251)</f>
        <v>146.827361438932</v>
      </c>
      <c r="Q1251" s="16" t="n">
        <f aca="false">IF(D1251="","",IF(P1251&gt;=0,K1251,MAX(0,K1251+P1251)))</f>
        <v>1.119744</v>
      </c>
      <c r="R1251" s="16" t="n">
        <f aca="false">IF(D1251="","",Q1251/$B$15)</f>
        <v>0.432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146.827361438932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90.634173727736</v>
      </c>
      <c r="Z1251" s="18" t="n">
        <f aca="false">IF(D1251="","",MAX(0,IF(P1251&gt;=0,P1251,IF(K1251+P1251&gt;=0,0,P1251+K1251))))</f>
        <v>146.827361438932</v>
      </c>
      <c r="AA1251" s="18" t="n">
        <f aca="false">IF(D1251="","",IF(H1251&lt;=$B$16,1,IF(H1251&gt;=$B$17,$B$21,MATCH(H1251,Aux_CAV!$A$2:$A$121,1))))</f>
        <v>22</v>
      </c>
      <c r="AB1251" s="18" t="n">
        <f aca="false">IF(D1251="","",IF(L1251&lt;=$B$16,1,IF(L1251&gt;=$B$17,$B$21,MATCH(L1251,Aux_CAV!$A$2:$A$121,1))))</f>
        <v>22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0.724523960395787</v>
      </c>
      <c r="E1252" s="16" t="n">
        <f aca="false">IF(D1252="","",D1252*$B$15)</f>
        <v>1.87796610534588</v>
      </c>
      <c r="F1252" s="16" t="n">
        <f aca="false" t="array" ref="F1252:F1252">IF(D1252="","",IFERROR(INDEX(Dados_Evap!$C$2:$N$15,MATCH($B$9,Dados_Evap!$A$2:$A$15,0),C1252),0))</f>
        <v>83.6</v>
      </c>
      <c r="G1252" s="16" t="n">
        <f aca="false">IF(F1252="","",F1252/1000)</f>
        <v>0.0836</v>
      </c>
      <c r="H1252" s="16" t="n">
        <f aca="false">IF(D1252="","",MAX(0,MIN($B$8,IFERROR(LOOKUP(2,1/($U$24:U1251&lt;&gt;""),$U$24:U1251),$B$11))))</f>
        <v>146.827361438932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14.678329263013</v>
      </c>
      <c r="J1252" s="16" t="n">
        <f aca="false">IF(D1252="","",$B$12)</f>
        <v>0.432</v>
      </c>
      <c r="K1252" s="16" t="n">
        <f aca="false">IF(J1252="","",J1252*$B$15)</f>
        <v>1.119744</v>
      </c>
      <c r="L1252" s="16" t="n">
        <f aca="false">IF(D1252="","",H1252+E1252-K1252-G1252*I1252)</f>
        <v>146.35847521789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14.6441911738944</v>
      </c>
      <c r="N1252" s="16" t="n">
        <f aca="false">IF(D1252="","",(I1252+M1252)/2)</f>
        <v>14.6612602184537</v>
      </c>
      <c r="O1252" s="16" t="n">
        <f aca="false">IF(D1252="","",G1252*N1252)</f>
        <v>1.22568135426273</v>
      </c>
      <c r="P1252" s="16" t="n">
        <f aca="false">IF(D1252="","",H1252+E1252-K1252-O1252)</f>
        <v>146.359902190015</v>
      </c>
      <c r="Q1252" s="16" t="n">
        <f aca="false">IF(D1252="","",IF(P1252&gt;=0,K1252,MAX(0,K1252+P1252)))</f>
        <v>1.119744</v>
      </c>
      <c r="R1252" s="16" t="n">
        <f aca="false">IF(D1252="","",Q1252/$B$15)</f>
        <v>0.432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146.359902190015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90.345618635812</v>
      </c>
      <c r="Z1252" s="18" t="n">
        <f aca="false">IF(D1252="","",MAX(0,IF(P1252&gt;=0,P1252,IF(K1252+P1252&gt;=0,0,P1252+K1252))))</f>
        <v>146.359902190015</v>
      </c>
      <c r="AA1252" s="18" t="n">
        <f aca="false">IF(D1252="","",IF(H1252&lt;=$B$16,1,IF(H1252&gt;=$B$17,$B$21,MATCH(H1252,Aux_CAV!$A$2:$A$121,1))))</f>
        <v>22</v>
      </c>
      <c r="AB1252" s="18" t="n">
        <f aca="false">IF(D1252="","",IF(L1252&lt;=$B$16,1,IF(L1252&gt;=$B$17,$B$21,MATCH(L1252,Aux_CAV!$A$2:$A$121,1))))</f>
        <v>22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0.956998695759795</v>
      </c>
      <c r="E1253" s="16" t="n">
        <f aca="false">IF(D1253="","",D1253*$B$15)</f>
        <v>2.48054061940939</v>
      </c>
      <c r="F1253" s="16" t="n">
        <f aca="false" t="array" ref="F1253:F1253">IF(D1253="","",IFERROR(INDEX(Dados_Evap!$C$2:$N$15,MATCH($B$9,Dados_Evap!$A$2:$A$15,0),C1253),0))</f>
        <v>108.2</v>
      </c>
      <c r="G1253" s="16" t="n">
        <f aca="false">IF(F1253="","",F1253/1000)</f>
        <v>0.1082</v>
      </c>
      <c r="H1253" s="16" t="n">
        <f aca="false">IF(D1253="","",MAX(0,MIN($B$8,IFERROR(LOOKUP(2,1/($U$24:U1252&lt;&gt;""),$U$24:U1252),$B$11))))</f>
        <v>146.359902190015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14.6442950671193</v>
      </c>
      <c r="J1253" s="16" t="n">
        <f aca="false">IF(D1253="","",$B$12)</f>
        <v>0.432</v>
      </c>
      <c r="K1253" s="16" t="n">
        <f aca="false">IF(J1253="","",J1253*$B$15)</f>
        <v>1.119744</v>
      </c>
      <c r="L1253" s="16" t="n">
        <f aca="false">IF(D1253="","",H1253+E1253-K1253-G1253*I1253)</f>
        <v>146.136186083163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14.628007021</v>
      </c>
      <c r="N1253" s="16" t="n">
        <f aca="false">IF(D1253="","",(I1253+M1253)/2)</f>
        <v>14.6361510440596</v>
      </c>
      <c r="O1253" s="16" t="n">
        <f aca="false">IF(D1253="","",G1253*N1253)</f>
        <v>1.58363154296725</v>
      </c>
      <c r="P1253" s="16" t="n">
        <f aca="false">IF(D1253="","",H1253+E1253-K1253-O1253)</f>
        <v>146.137067266458</v>
      </c>
      <c r="Q1253" s="16" t="n">
        <f aca="false">IF(D1253="","",IF(P1253&gt;=0,K1253,MAX(0,K1253+P1253)))</f>
        <v>1.119744</v>
      </c>
      <c r="R1253" s="16" t="n">
        <f aca="false">IF(D1253="","",Q1253/$B$15)</f>
        <v>0.432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146.137067266458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90.2080662138627</v>
      </c>
      <c r="Z1253" s="18" t="n">
        <f aca="false">IF(D1253="","",MAX(0,IF(P1253&gt;=0,P1253,IF(K1253+P1253&gt;=0,0,P1253+K1253))))</f>
        <v>146.137067266458</v>
      </c>
      <c r="AA1253" s="18" t="n">
        <f aca="false">IF(D1253="","",IF(H1253&lt;=$B$16,1,IF(H1253&gt;=$B$17,$B$21,MATCH(H1253,Aux_CAV!$A$2:$A$121,1))))</f>
        <v>22</v>
      </c>
      <c r="AB1253" s="18" t="n">
        <f aca="false">IF(D1253="","",IF(L1253&lt;=$B$16,1,IF(L1253&gt;=$B$17,$B$21,MATCH(L1253,Aux_CAV!$A$2:$A$121,1))))</f>
        <v>22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0.219972075402875</v>
      </c>
      <c r="E1254" s="16" t="n">
        <f aca="false">IF(D1254="","",D1254*$B$15)</f>
        <v>0.570167619444252</v>
      </c>
      <c r="F1254" s="16" t="n">
        <f aca="false" t="array" ref="F1254:F1254">IF(D1254="","",IFERROR(INDEX(Dados_Evap!$C$2:$N$15,MATCH($B$9,Dados_Evap!$A$2:$A$15,0),C1254),0))</f>
        <v>149</v>
      </c>
      <c r="G1254" s="16" t="n">
        <f aca="false">IF(F1254="","",F1254/1000)</f>
        <v>0.149</v>
      </c>
      <c r="H1254" s="16" t="n">
        <f aca="false">IF(D1254="","",MAX(0,MIN($B$8,IFERROR(LOOKUP(2,1/($U$24:U1253&lt;&gt;""),$U$24:U1253),$B$11))))</f>
        <v>146.137067266458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14.6280711771055</v>
      </c>
      <c r="J1254" s="16" t="n">
        <f aca="false">IF(D1254="","",$B$12)</f>
        <v>0.432</v>
      </c>
      <c r="K1254" s="16" t="n">
        <f aca="false">IF(J1254="","",J1254*$B$15)</f>
        <v>1.119744</v>
      </c>
      <c r="L1254" s="16" t="n">
        <f aca="false">IF(D1254="","",H1254+E1254-K1254-G1254*I1254)</f>
        <v>143.407908280513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14.4293699389376</v>
      </c>
      <c r="N1254" s="16" t="n">
        <f aca="false">IF(D1254="","",(I1254+M1254)/2)</f>
        <v>14.5287205580216</v>
      </c>
      <c r="O1254" s="16" t="n">
        <f aca="false">IF(D1254="","",G1254*N1254)</f>
        <v>2.16477936314521</v>
      </c>
      <c r="P1254" s="16" t="n">
        <f aca="false">IF(D1254="","",H1254+E1254-K1254-O1254)</f>
        <v>143.422711522757</v>
      </c>
      <c r="Q1254" s="16" t="n">
        <f aca="false">IF(D1254="","",IF(P1254&gt;=0,K1254,MAX(0,K1254+P1254)))</f>
        <v>1.119744</v>
      </c>
      <c r="R1254" s="16" t="n">
        <f aca="false">IF(D1254="","",Q1254/$B$15)</f>
        <v>0.432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143.422711522757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88.5325379770103</v>
      </c>
      <c r="Z1254" s="18" t="n">
        <f aca="false">IF(D1254="","",MAX(0,IF(P1254&gt;=0,P1254,IF(K1254+P1254&gt;=0,0,P1254+K1254))))</f>
        <v>143.422711522757</v>
      </c>
      <c r="AA1254" s="18" t="n">
        <f aca="false">IF(D1254="","",IF(H1254&lt;=$B$16,1,IF(H1254&gt;=$B$17,$B$21,MATCH(H1254,Aux_CAV!$A$2:$A$121,1))))</f>
        <v>22</v>
      </c>
      <c r="AB1254" s="18" t="n">
        <f aca="false">IF(D1254="","",IF(L1254&lt;=$B$16,1,IF(L1254&gt;=$B$17,$B$21,MATCH(L1254,Aux_CAV!$A$2:$A$121,1))))</f>
        <v>22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0.182712025815884</v>
      </c>
      <c r="E1255" s="16" t="n">
        <f aca="false">IF(D1255="","",D1255*$B$15)</f>
        <v>0.473589570914771</v>
      </c>
      <c r="F1255" s="16" t="n">
        <f aca="false" t="array" ref="F1255:F1255">IF(D1255="","",IFERROR(INDEX(Dados_Evap!$C$2:$N$15,MATCH($B$9,Dados_Evap!$A$2:$A$15,0),C1255),0))</f>
        <v>206.8</v>
      </c>
      <c r="G1255" s="16" t="n">
        <f aca="false">IF(F1255="","",F1255/1000)</f>
        <v>0.2068</v>
      </c>
      <c r="H1255" s="16" t="n">
        <f aca="false">IF(D1255="","",MAX(0,MIN($B$8,IFERROR(LOOKUP(2,1/($U$24:U1254&lt;&gt;""),$U$24:U1254),$B$11))))</f>
        <v>143.422711522757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14.4304477151236</v>
      </c>
      <c r="J1255" s="16" t="n">
        <f aca="false">IF(D1255="","",$B$12)</f>
        <v>0.432</v>
      </c>
      <c r="K1255" s="16" t="n">
        <f aca="false">IF(J1255="","",J1255*$B$15)</f>
        <v>1.119744</v>
      </c>
      <c r="L1255" s="16" t="n">
        <f aca="false">IF(D1255="","",H1255+E1255-K1255-G1255*I1255)</f>
        <v>139.792340506184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14.1661321440202</v>
      </c>
      <c r="N1255" s="16" t="n">
        <f aca="false">IF(D1255="","",(I1255+M1255)/2)</f>
        <v>14.2982899295719</v>
      </c>
      <c r="O1255" s="16" t="n">
        <f aca="false">IF(D1255="","",G1255*N1255)</f>
        <v>2.95688635743546</v>
      </c>
      <c r="P1255" s="16" t="n">
        <f aca="false">IF(D1255="","",H1255+E1255-K1255-O1255)</f>
        <v>139.819670736236</v>
      </c>
      <c r="Q1255" s="16" t="n">
        <f aca="false">IF(D1255="","",IF(P1255&gt;=0,K1255,MAX(0,K1255+P1255)))</f>
        <v>1.119744</v>
      </c>
      <c r="R1255" s="16" t="n">
        <f aca="false">IF(D1255="","",Q1255/$B$15)</f>
        <v>0.432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139.819670736236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86.3084387260716</v>
      </c>
      <c r="Z1255" s="18" t="n">
        <f aca="false">IF(D1255="","",MAX(0,IF(P1255&gt;=0,P1255,IF(K1255+P1255&gt;=0,0,P1255+K1255))))</f>
        <v>139.819670736236</v>
      </c>
      <c r="AA1255" s="18" t="n">
        <f aca="false">IF(D1255="","",IF(H1255&lt;=$B$16,1,IF(H1255&gt;=$B$17,$B$21,MATCH(H1255,Aux_CAV!$A$2:$A$121,1))))</f>
        <v>22</v>
      </c>
      <c r="AB1255" s="18" t="n">
        <f aca="false">IF(D1255="","",IF(L1255&lt;=$B$16,1,IF(L1255&gt;=$B$17,$B$21,MATCH(L1255,Aux_CAV!$A$2:$A$121,1))))</f>
        <v>22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0.168506118462531</v>
      </c>
      <c r="E1256" s="16" t="n">
        <f aca="false">IF(D1256="","",D1256*$B$15)</f>
        <v>0.43676785905488</v>
      </c>
      <c r="F1256" s="16" t="n">
        <f aca="false" t="array" ref="F1256:F1256">IF(D1256="","",IFERROR(INDEX(Dados_Evap!$C$2:$N$15,MATCH($B$9,Dados_Evap!$A$2:$A$15,0),C1256),0))</f>
        <v>245.9</v>
      </c>
      <c r="G1256" s="16" t="n">
        <f aca="false">IF(F1256="","",F1256/1000)</f>
        <v>0.2459</v>
      </c>
      <c r="H1256" s="16" t="n">
        <f aca="false">IF(D1256="","",MAX(0,MIN($B$8,IFERROR(LOOKUP(2,1/($U$24:U1255&lt;&gt;""),$U$24:U1255),$B$11))))</f>
        <v>139.819670736236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14.1681219696693</v>
      </c>
      <c r="J1256" s="16" t="n">
        <f aca="false">IF(D1256="","",$B$12)</f>
        <v>0.432</v>
      </c>
      <c r="K1256" s="16" t="n">
        <f aca="false">IF(J1256="","",J1256*$B$15)</f>
        <v>1.119744</v>
      </c>
      <c r="L1256" s="16" t="n">
        <f aca="false">IF(D1256="","",H1256+E1256-K1256-G1256*I1256)</f>
        <v>135.652753402949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13.8647421967314</v>
      </c>
      <c r="N1256" s="16" t="n">
        <f aca="false">IF(D1256="","",(I1256+M1256)/2)</f>
        <v>14.0164320832004</v>
      </c>
      <c r="O1256" s="16" t="n">
        <f aca="false">IF(D1256="","",G1256*N1256)</f>
        <v>3.44664064925897</v>
      </c>
      <c r="P1256" s="16" t="n">
        <f aca="false">IF(D1256="","",H1256+E1256-K1256-O1256)</f>
        <v>135.690053946032</v>
      </c>
      <c r="Q1256" s="16" t="n">
        <f aca="false">IF(D1256="","",IF(P1256&gt;=0,K1256,MAX(0,K1256+P1256)))</f>
        <v>1.119744</v>
      </c>
      <c r="R1256" s="16" t="n">
        <f aca="false">IF(D1256="","",Q1256/$B$15)</f>
        <v>0.432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135.690053946032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83.7592925592789</v>
      </c>
      <c r="Z1256" s="18" t="n">
        <f aca="false">IF(D1256="","",MAX(0,IF(P1256&gt;=0,P1256,IF(K1256+P1256&gt;=0,0,P1256+K1256))))</f>
        <v>135.690053946032</v>
      </c>
      <c r="AA1256" s="18" t="n">
        <f aca="false">IF(D1256="","",IF(H1256&lt;=$B$16,1,IF(H1256&gt;=$B$17,$B$21,MATCH(H1256,Aux_CAV!$A$2:$A$121,1))))</f>
        <v>22</v>
      </c>
      <c r="AB1256" s="18" t="n">
        <f aca="false">IF(D1256="","",IF(L1256&lt;=$B$16,1,IF(L1256&gt;=$B$17,$B$21,MATCH(L1256,Aux_CAV!$A$2:$A$121,1))))</f>
        <v>22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0.157019198876036</v>
      </c>
      <c r="E1257" s="16" t="n">
        <f aca="false">IF(D1257="","",D1257*$B$15)</f>
        <v>0.406993763486685</v>
      </c>
      <c r="F1257" s="16" t="n">
        <f aca="false" t="array" ref="F1257:F1257">IF(D1257="","",IFERROR(INDEX(Dados_Evap!$C$2:$N$15,MATCH($B$9,Dados_Evap!$A$2:$A$15,0),C1257),0))</f>
        <v>282.3</v>
      </c>
      <c r="G1257" s="16" t="n">
        <f aca="false">IF(F1257="","",F1257/1000)</f>
        <v>0.2823</v>
      </c>
      <c r="H1257" s="16" t="n">
        <f aca="false">IF(D1257="","",MAX(0,MIN($B$8,IFERROR(LOOKUP(2,1/($U$24:U1256&lt;&gt;""),$U$24:U1256),$B$11))))</f>
        <v>135.690053946032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13.8674579286228</v>
      </c>
      <c r="J1257" s="16" t="n">
        <f aca="false">IF(D1257="","",$B$12)</f>
        <v>0.432</v>
      </c>
      <c r="K1257" s="16" t="n">
        <f aca="false">IF(J1257="","",J1257*$B$15)</f>
        <v>1.119744</v>
      </c>
      <c r="L1257" s="16" t="n">
        <f aca="false">IF(D1257="","",H1257+E1257-K1257-G1257*I1257)</f>
        <v>131.062520336268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13.5305421744806</v>
      </c>
      <c r="N1257" s="16" t="n">
        <f aca="false">IF(D1257="","",(I1257+M1257)/2)</f>
        <v>13.6990000515517</v>
      </c>
      <c r="O1257" s="16" t="n">
        <f aca="false">IF(D1257="","",G1257*N1257)</f>
        <v>3.86722771455304</v>
      </c>
      <c r="P1257" s="16" t="n">
        <f aca="false">IF(D1257="","",H1257+E1257-K1257-O1257)</f>
        <v>131.110075994966</v>
      </c>
      <c r="Q1257" s="16" t="n">
        <f aca="false">IF(D1257="","",IF(P1257&gt;=0,K1257,MAX(0,K1257+P1257)))</f>
        <v>1.119744</v>
      </c>
      <c r="R1257" s="16" t="n">
        <f aca="false">IF(D1257="","",Q1257/$B$15)</f>
        <v>0.432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131.110075994966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80.9321456759046</v>
      </c>
      <c r="Z1257" s="18" t="n">
        <f aca="false">IF(D1257="","",MAX(0,IF(P1257&gt;=0,P1257,IF(K1257+P1257&gt;=0,0,P1257+K1257))))</f>
        <v>131.110075994966</v>
      </c>
      <c r="AA1257" s="18" t="n">
        <f aca="false">IF(D1257="","",IF(H1257&lt;=$B$16,1,IF(H1257&gt;=$B$17,$B$21,MATCH(H1257,Aux_CAV!$A$2:$A$121,1))))</f>
        <v>22</v>
      </c>
      <c r="AB1257" s="18" t="n">
        <f aca="false">IF(D1257="","",IF(L1257&lt;=$B$16,1,IF(L1257&gt;=$B$17,$B$21,MATCH(L1257,Aux_CAV!$A$2:$A$121,1))))</f>
        <v>22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0.139123585034989</v>
      </c>
      <c r="E1258" s="16" t="n">
        <f aca="false">IF(D1258="","",D1258*$B$15)</f>
        <v>0.360608332410692</v>
      </c>
      <c r="F1258" s="16" t="n">
        <f aca="false" t="array" ref="F1258:F1258">IF(D1258="","",IFERROR(INDEX(Dados_Evap!$C$2:$N$15,MATCH($B$9,Dados_Evap!$A$2:$A$15,0),C1258),0))</f>
        <v>241.3</v>
      </c>
      <c r="G1258" s="16" t="n">
        <f aca="false">IF(F1258="","",F1258/1000)</f>
        <v>0.2413</v>
      </c>
      <c r="H1258" s="16" t="n">
        <f aca="false">IF(D1258="","",MAX(0,MIN($B$8,IFERROR(LOOKUP(2,1/($U$24:U1257&lt;&gt;""),$U$24:U1257),$B$11))))</f>
        <v>131.110075994966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13.5340045481692</v>
      </c>
      <c r="J1258" s="16" t="n">
        <f aca="false">IF(D1258="","",$B$12)</f>
        <v>0.432</v>
      </c>
      <c r="K1258" s="16" t="n">
        <f aca="false">IF(J1258="","",J1258*$B$15)</f>
        <v>1.119744</v>
      </c>
      <c r="L1258" s="16" t="n">
        <f aca="false">IF(D1258="","",H1258+E1258-K1258-G1258*I1258)</f>
        <v>127.085185029903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13.2409652557104</v>
      </c>
      <c r="N1258" s="16" t="n">
        <f aca="false">IF(D1258="","",(I1258+M1258)/2)</f>
        <v>13.3874849019398</v>
      </c>
      <c r="O1258" s="16" t="n">
        <f aca="false">IF(D1258="","",G1258*N1258)</f>
        <v>3.23040010683808</v>
      </c>
      <c r="P1258" s="16" t="n">
        <f aca="false">IF(D1258="","",H1258+E1258-K1258-O1258)</f>
        <v>127.120540220538</v>
      </c>
      <c r="Q1258" s="16" t="n">
        <f aca="false">IF(D1258="","",IF(P1258&gt;=0,K1258,MAX(0,K1258+P1258)))</f>
        <v>1.119744</v>
      </c>
      <c r="R1258" s="16" t="n">
        <f aca="false">IF(D1258="","",Q1258/$B$15)</f>
        <v>0.432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127.120540220538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78.4694692719371</v>
      </c>
      <c r="Z1258" s="18" t="n">
        <f aca="false">IF(D1258="","",MAX(0,IF(P1258&gt;=0,P1258,IF(K1258+P1258&gt;=0,0,P1258+K1258))))</f>
        <v>127.120540220538</v>
      </c>
      <c r="AA1258" s="18" t="n">
        <f aca="false">IF(D1258="","",IF(H1258&lt;=$B$16,1,IF(H1258&gt;=$B$17,$B$21,MATCH(H1258,Aux_CAV!$A$2:$A$121,1))))</f>
        <v>22</v>
      </c>
      <c r="AB1258" s="18" t="n">
        <f aca="false">IF(D1258="","",IF(L1258&lt;=$B$16,1,IF(L1258&gt;=$B$17,$B$21,MATCH(L1258,Aux_CAV!$A$2:$A$121,1))))</f>
        <v>22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0.128837195987693</v>
      </c>
      <c r="E1259" s="16" t="n">
        <f aca="false">IF(D1259="","",D1259*$B$15)</f>
        <v>0.3339460120001</v>
      </c>
      <c r="F1259" s="16" t="n">
        <f aca="false" t="array" ref="F1259:F1259">IF(D1259="","",IFERROR(INDEX(Dados_Evap!$C$2:$N$15,MATCH($B$9,Dados_Evap!$A$2:$A$15,0),C1259),0))</f>
        <v>241.8</v>
      </c>
      <c r="G1259" s="16" t="n">
        <f aca="false">IF(F1259="","",F1259/1000)</f>
        <v>0.2418</v>
      </c>
      <c r="H1259" s="16" t="n">
        <f aca="false">IF(D1259="","",MAX(0,MIN($B$8,IFERROR(LOOKUP(2,1/($U$24:U1258&lt;&gt;""),$U$24:U1258),$B$11))))</f>
        <v>127.120540220538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13.2435393527825</v>
      </c>
      <c r="J1259" s="16" t="n">
        <f aca="false">IF(D1259="","",$B$12)</f>
        <v>0.432</v>
      </c>
      <c r="K1259" s="16" t="n">
        <f aca="false">IF(J1259="","",J1259*$B$15)</f>
        <v>1.119744</v>
      </c>
      <c r="L1259" s="16" t="n">
        <f aca="false">IF(D1259="","",H1259+E1259-K1259-G1259*I1259)</f>
        <v>123.132454417035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12.9531797250888</v>
      </c>
      <c r="N1259" s="16" t="n">
        <f aca="false">IF(D1259="","",(I1259+M1259)/2)</f>
        <v>13.0983595389356</v>
      </c>
      <c r="O1259" s="16" t="n">
        <f aca="false">IF(D1259="","",G1259*N1259)</f>
        <v>3.16718333651464</v>
      </c>
      <c r="P1259" s="16" t="n">
        <f aca="false">IF(D1259="","",H1259+E1259-K1259-O1259)</f>
        <v>123.167558896024</v>
      </c>
      <c r="Q1259" s="16" t="n">
        <f aca="false">IF(D1259="","",IF(P1259&gt;=0,K1259,MAX(0,K1259+P1259)))</f>
        <v>1.119744</v>
      </c>
      <c r="R1259" s="16" t="n">
        <f aca="false">IF(D1259="","",Q1259/$B$15)</f>
        <v>0.432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123.167558896024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76.0293573432244</v>
      </c>
      <c r="Z1259" s="18" t="n">
        <f aca="false">IF(D1259="","",MAX(0,IF(P1259&gt;=0,P1259,IF(K1259+P1259&gt;=0,0,P1259+K1259))))</f>
        <v>123.167558896024</v>
      </c>
      <c r="AA1259" s="18" t="n">
        <f aca="false">IF(D1259="","",IF(H1259&lt;=$B$16,1,IF(H1259&gt;=$B$17,$B$21,MATCH(H1259,Aux_CAV!$A$2:$A$121,1))))</f>
        <v>22</v>
      </c>
      <c r="AB1259" s="18" t="n">
        <f aca="false">IF(D1259="","",IF(L1259&lt;=$B$16,1,IF(L1259&gt;=$B$17,$B$21,MATCH(L1259,Aux_CAV!$A$2:$A$121,1))))</f>
        <v>22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0.156924524404069</v>
      </c>
      <c r="E1260" s="16" t="n">
        <f aca="false">IF(D1260="","",D1260*$B$15)</f>
        <v>0.406748367255347</v>
      </c>
      <c r="F1260" s="16" t="n">
        <f aca="false" t="array" ref="F1260:F1260">IF(D1260="","",IFERROR(INDEX(Dados_Evap!$C$2:$N$15,MATCH($B$9,Dados_Evap!$A$2:$A$15,0),C1260),0))</f>
        <v>189</v>
      </c>
      <c r="G1260" s="16" t="n">
        <f aca="false">IF(F1260="","",F1260/1000)</f>
        <v>0.189</v>
      </c>
      <c r="H1260" s="16" t="n">
        <f aca="false">IF(D1260="","",MAX(0,MIN($B$8,IFERROR(LOOKUP(2,1/($U$24:U1259&lt;&gt;""),$U$24:U1259),$B$11))))</f>
        <v>123.167558896024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12.9557355686568</v>
      </c>
      <c r="J1260" s="16" t="n">
        <f aca="false">IF(D1260="","",$B$12)</f>
        <v>0.432</v>
      </c>
      <c r="K1260" s="16" t="n">
        <f aca="false">IF(J1260="","",J1260*$B$15)</f>
        <v>1.119744</v>
      </c>
      <c r="L1260" s="16" t="n">
        <f aca="false">IF(D1260="","",H1260+E1260-K1260-G1260*I1260)</f>
        <v>120.005929240803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12.7255475399065</v>
      </c>
      <c r="N1260" s="16" t="n">
        <f aca="false">IF(D1260="","",(I1260+M1260)/2)</f>
        <v>12.8406415542816</v>
      </c>
      <c r="O1260" s="16" t="n">
        <f aca="false">IF(D1260="","",G1260*N1260)</f>
        <v>2.42688125375922</v>
      </c>
      <c r="P1260" s="16" t="n">
        <f aca="false">IF(D1260="","",H1260+E1260-K1260-O1260)</f>
        <v>120.02768200952</v>
      </c>
      <c r="Q1260" s="16" t="n">
        <f aca="false">IF(D1260="","",IF(P1260&gt;=0,K1260,MAX(0,K1260+P1260)))</f>
        <v>1.119744</v>
      </c>
      <c r="R1260" s="16" t="n">
        <f aca="false">IF(D1260="","",Q1260/$B$15)</f>
        <v>0.432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120.02768200952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74.0911617342714</v>
      </c>
      <c r="Z1260" s="18" t="n">
        <f aca="false">IF(D1260="","",MAX(0,IF(P1260&gt;=0,P1260,IF(K1260+P1260&gt;=0,0,P1260+K1260))))</f>
        <v>120.02768200952</v>
      </c>
      <c r="AA1260" s="18" t="n">
        <f aca="false">IF(D1260="","",IF(H1260&lt;=$B$16,1,IF(H1260&gt;=$B$17,$B$21,MATCH(H1260,Aux_CAV!$A$2:$A$121,1))))</f>
        <v>22</v>
      </c>
      <c r="AB1260" s="18" t="n">
        <f aca="false">IF(D1260="","",IF(L1260&lt;=$B$16,1,IF(L1260&gt;=$B$17,$B$21,MATCH(L1260,Aux_CAV!$A$2:$A$121,1))))</f>
        <v>22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0.194436093378383</v>
      </c>
      <c r="E1261" s="16" t="n">
        <f aca="false">IF(D1261="","",D1261*$B$15)</f>
        <v>0.503978354036769</v>
      </c>
      <c r="F1261" s="16" t="n">
        <f aca="false" t="array" ref="F1261:F1261">IF(D1261="","",IFERROR(INDEX(Dados_Evap!$C$2:$N$15,MATCH($B$9,Dados_Evap!$A$2:$A$15,0),C1261),0))</f>
        <v>136.9</v>
      </c>
      <c r="G1261" s="16" t="n">
        <f aca="false">IF(F1261="","",F1261/1000)</f>
        <v>0.1369</v>
      </c>
      <c r="H1261" s="16" t="n">
        <f aca="false">IF(D1261="","",MAX(0,MIN($B$8,IFERROR(LOOKUP(2,1/($U$24:U1260&lt;&gt;""),$U$24:U1260),$B$11))))</f>
        <v>120.02768200952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12.7271312886364</v>
      </c>
      <c r="J1261" s="16" t="n">
        <f aca="false">IF(D1261="","",$B$12)</f>
        <v>0.432</v>
      </c>
      <c r="K1261" s="16" t="n">
        <f aca="false">IF(J1261="","",J1261*$B$15)</f>
        <v>1.119744</v>
      </c>
      <c r="L1261" s="16" t="n">
        <f aca="false">IF(D1261="","",H1261+E1261-K1261-G1261*I1261)</f>
        <v>117.669572090142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12.5554449328288</v>
      </c>
      <c r="N1261" s="16" t="n">
        <f aca="false">IF(D1261="","",(I1261+M1261)/2)</f>
        <v>12.6412881107326</v>
      </c>
      <c r="O1261" s="16" t="n">
        <f aca="false">IF(D1261="","",G1261*N1261)</f>
        <v>1.73059234235929</v>
      </c>
      <c r="P1261" s="16" t="n">
        <f aca="false">IF(D1261="","",H1261+E1261-K1261-O1261)</f>
        <v>117.681324021197</v>
      </c>
      <c r="Q1261" s="16" t="n">
        <f aca="false">IF(D1261="","",IF(P1261&gt;=0,K1261,MAX(0,K1261+P1261)))</f>
        <v>1.119744</v>
      </c>
      <c r="R1261" s="16" t="n">
        <f aca="false">IF(D1261="","",Q1261/$B$15)</f>
        <v>0.432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117.681324021197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72.6427926056773</v>
      </c>
      <c r="Z1261" s="18" t="n">
        <f aca="false">IF(D1261="","",MAX(0,IF(P1261&gt;=0,P1261,IF(K1261+P1261&gt;=0,0,P1261+K1261))))</f>
        <v>117.681324021197</v>
      </c>
      <c r="AA1261" s="18" t="n">
        <f aca="false">IF(D1261="","",IF(H1261&lt;=$B$16,1,IF(H1261&gt;=$B$17,$B$21,MATCH(H1261,Aux_CAV!$A$2:$A$121,1))))</f>
        <v>22</v>
      </c>
      <c r="AB1261" s="18" t="n">
        <f aca="false">IF(D1261="","",IF(L1261&lt;=$B$16,1,IF(L1261&gt;=$B$17,$B$21,MATCH(L1261,Aux_CAV!$A$2:$A$121,1))))</f>
        <v>22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0.266021334185477</v>
      </c>
      <c r="E1262" s="16" t="n">
        <f aca="false">IF(D1262="","",D1262*$B$15)</f>
        <v>0.689527298208757</v>
      </c>
      <c r="F1262" s="16" t="n">
        <f aca="false" t="array" ref="F1262:F1262">IF(D1262="","",IFERROR(INDEX(Dados_Evap!$C$2:$N$15,MATCH($B$9,Dados_Evap!$A$2:$A$15,0),C1262),0))</f>
        <v>102.9</v>
      </c>
      <c r="G1262" s="16" t="n">
        <f aca="false">IF(F1262="","",F1262/1000)</f>
        <v>0.1029</v>
      </c>
      <c r="H1262" s="16" t="n">
        <f aca="false">IF(D1262="","",MAX(0,MIN($B$8,IFERROR(LOOKUP(2,1/($U$24:U1261&lt;&gt;""),$U$24:U1261),$B$11))))</f>
        <v>117.681324021197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12.5563005529167</v>
      </c>
      <c r="J1262" s="16" t="n">
        <f aca="false">IF(D1262="","",$B$12)</f>
        <v>0.432</v>
      </c>
      <c r="K1262" s="16" t="n">
        <f aca="false">IF(J1262="","",J1262*$B$15)</f>
        <v>1.119744</v>
      </c>
      <c r="L1262" s="16" t="n">
        <f aca="false">IF(D1262="","",H1262+E1262-K1262-G1262*I1262)</f>
        <v>115.959063992511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12.4309083709627</v>
      </c>
      <c r="N1262" s="16" t="n">
        <f aca="false">IF(D1262="","",(I1262+M1262)/2)</f>
        <v>12.4936044619397</v>
      </c>
      <c r="O1262" s="16" t="n">
        <f aca="false">IF(D1262="","",G1262*N1262)</f>
        <v>1.28559189913359</v>
      </c>
      <c r="P1262" s="16" t="n">
        <f aca="false">IF(D1262="","",H1262+E1262-K1262-O1262)</f>
        <v>115.965515420272</v>
      </c>
      <c r="Q1262" s="16" t="n">
        <f aca="false">IF(D1262="","",IF(P1262&gt;=0,K1262,MAX(0,K1262+P1262)))</f>
        <v>1.119744</v>
      </c>
      <c r="R1262" s="16" t="n">
        <f aca="false">IF(D1262="","",Q1262/$B$15)</f>
        <v>0.432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115.965515420272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71.5836514939953</v>
      </c>
      <c r="Z1262" s="18" t="n">
        <f aca="false">IF(D1262="","",MAX(0,IF(P1262&gt;=0,P1262,IF(K1262+P1262&gt;=0,0,P1262+K1262))))</f>
        <v>115.965515420272</v>
      </c>
      <c r="AA1262" s="18" t="n">
        <f aca="false">IF(D1262="","",IF(H1262&lt;=$B$16,1,IF(H1262&gt;=$B$17,$B$21,MATCH(H1262,Aux_CAV!$A$2:$A$121,1))))</f>
        <v>22</v>
      </c>
      <c r="AB1262" s="18" t="n">
        <f aca="false">IF(D1262="","",IF(L1262&lt;=$B$16,1,IF(L1262&gt;=$B$17,$B$21,MATCH(L1262,Aux_CAV!$A$2:$A$121,1))))</f>
        <v>22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0.73823885279334</v>
      </c>
      <c r="E1263" s="16" t="n">
        <f aca="false">IF(D1263="","",D1263*$B$15)</f>
        <v>1.91351510644034</v>
      </c>
      <c r="F1263" s="16" t="n">
        <f aca="false" t="array" ref="F1263:F1263">IF(D1263="","",IFERROR(INDEX(Dados_Evap!$C$2:$N$15,MATCH($B$9,Dados_Evap!$A$2:$A$15,0),C1263),0))</f>
        <v>81.8</v>
      </c>
      <c r="G1263" s="16" t="n">
        <f aca="false">IF(F1263="","",F1263/1000)</f>
        <v>0.0818</v>
      </c>
      <c r="H1263" s="16" t="n">
        <f aca="false">IF(D1263="","",MAX(0,MIN($B$8,IFERROR(LOOKUP(2,1/($U$24:U1262&lt;&gt;""),$U$24:U1262),$B$11))))</f>
        <v>115.965515420272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12.4313780785505</v>
      </c>
      <c r="J1263" s="16" t="n">
        <f aca="false">IF(D1263="","",$B$12)</f>
        <v>0.432</v>
      </c>
      <c r="K1263" s="16" t="n">
        <f aca="false">IF(J1263="","",J1263*$B$15)</f>
        <v>1.119744</v>
      </c>
      <c r="L1263" s="16" t="n">
        <f aca="false">IF(D1263="","",H1263+E1263-K1263-G1263*I1263)</f>
        <v>115.742399799887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12.4151337519087</v>
      </c>
      <c r="N1263" s="16" t="n">
        <f aca="false">IF(D1263="","",(I1263+M1263)/2)</f>
        <v>12.4232559152296</v>
      </c>
      <c r="O1263" s="16" t="n">
        <f aca="false">IF(D1263="","",G1263*N1263)</f>
        <v>1.01622233386578</v>
      </c>
      <c r="P1263" s="16" t="n">
        <f aca="false">IF(D1263="","",H1263+E1263-K1263-O1263)</f>
        <v>115.743064192847</v>
      </c>
      <c r="Q1263" s="16" t="n">
        <f aca="false">IF(D1263="","",IF(P1263&gt;=0,K1263,MAX(0,K1263+P1263)))</f>
        <v>1.119744</v>
      </c>
      <c r="R1263" s="16" t="n">
        <f aca="false">IF(D1263="","",Q1263/$B$15)</f>
        <v>0.432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115.743064192847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71.4463359215105</v>
      </c>
      <c r="Z1263" s="18" t="n">
        <f aca="false">IF(D1263="","",MAX(0,IF(P1263&gt;=0,P1263,IF(K1263+P1263&gt;=0,0,P1263+K1263))))</f>
        <v>115.743064192847</v>
      </c>
      <c r="AA1263" s="18" t="n">
        <f aca="false">IF(D1263="","",IF(H1263&lt;=$B$16,1,IF(H1263&gt;=$B$17,$B$21,MATCH(H1263,Aux_CAV!$A$2:$A$121,1))))</f>
        <v>22</v>
      </c>
      <c r="AB1263" s="18" t="n">
        <f aca="false">IF(D1263="","",IF(L1263&lt;=$B$16,1,IF(L1263&gt;=$B$17,$B$21,MATCH(L1263,Aux_CAV!$A$2:$A$121,1))))</f>
        <v>22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1.14119372949853</v>
      </c>
      <c r="E1264" s="16" t="n">
        <f aca="false">IF(D1264="","",D1264*$B$15)</f>
        <v>2.95797414686019</v>
      </c>
      <c r="F1264" s="16" t="n">
        <f aca="false" t="array" ref="F1264:F1264">IF(D1264="","",IFERROR(INDEX(Dados_Evap!$C$2:$N$15,MATCH($B$9,Dados_Evap!$A$2:$A$15,0),C1264),0))</f>
        <v>83.6</v>
      </c>
      <c r="G1264" s="16" t="n">
        <f aca="false">IF(F1264="","",F1264/1000)</f>
        <v>0.0836</v>
      </c>
      <c r="H1264" s="16" t="n">
        <f aca="false">IF(D1264="","",MAX(0,MIN($B$8,IFERROR(LOOKUP(2,1/($U$24:U1263&lt;&gt;""),$U$24:U1263),$B$11))))</f>
        <v>115.743064192847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12.4151821242111</v>
      </c>
      <c r="J1264" s="16" t="n">
        <f aca="false">IF(D1264="","",$B$12)</f>
        <v>0.432</v>
      </c>
      <c r="K1264" s="16" t="n">
        <f aca="false">IF(J1264="","",J1264*$B$15)</f>
        <v>1.119744</v>
      </c>
      <c r="L1264" s="16" t="n">
        <f aca="false">IF(D1264="","",H1264+E1264-K1264-G1264*I1264)</f>
        <v>116.543385114123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12.4734509018119</v>
      </c>
      <c r="N1264" s="16" t="n">
        <f aca="false">IF(D1264="","",(I1264+M1264)/2)</f>
        <v>12.4443165130115</v>
      </c>
      <c r="O1264" s="16" t="n">
        <f aca="false">IF(D1264="","",G1264*N1264)</f>
        <v>1.04034486048776</v>
      </c>
      <c r="P1264" s="16" t="n">
        <f aca="false">IF(D1264="","",H1264+E1264-K1264-O1264)</f>
        <v>116.540949479219</v>
      </c>
      <c r="Q1264" s="16" t="n">
        <f aca="false">IF(D1264="","",IF(P1264&gt;=0,K1264,MAX(0,K1264+P1264)))</f>
        <v>1.119744</v>
      </c>
      <c r="R1264" s="16" t="n">
        <f aca="false">IF(D1264="","",Q1264/$B$15)</f>
        <v>0.432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116.540949479219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71.9388577032218</v>
      </c>
      <c r="Z1264" s="18" t="n">
        <f aca="false">IF(D1264="","",MAX(0,IF(P1264&gt;=0,P1264,IF(K1264+P1264&gt;=0,0,P1264+K1264))))</f>
        <v>116.540949479219</v>
      </c>
      <c r="AA1264" s="18" t="n">
        <f aca="false">IF(D1264="","",IF(H1264&lt;=$B$16,1,IF(H1264&gt;=$B$17,$B$21,MATCH(H1264,Aux_CAV!$A$2:$A$121,1))))</f>
        <v>22</v>
      </c>
      <c r="AB1264" s="18" t="n">
        <f aca="false">IF(D1264="","",IF(L1264&lt;=$B$16,1,IF(L1264&gt;=$B$17,$B$21,MATCH(L1264,Aux_CAV!$A$2:$A$121,1))))</f>
        <v>22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1.07148769381821</v>
      </c>
      <c r="E1265" s="16" t="n">
        <f aca="false">IF(D1265="","",D1265*$B$15)</f>
        <v>2.7772961023768</v>
      </c>
      <c r="F1265" s="16" t="n">
        <f aca="false" t="array" ref="F1265:F1265">IF(D1265="","",IFERROR(INDEX(Dados_Evap!$C$2:$N$15,MATCH($B$9,Dados_Evap!$A$2:$A$15,0),C1265),0))</f>
        <v>108.2</v>
      </c>
      <c r="G1265" s="16" t="n">
        <f aca="false">IF(F1265="","",F1265/1000)</f>
        <v>0.1082</v>
      </c>
      <c r="H1265" s="16" t="n">
        <f aca="false">IF(D1265="","",MAX(0,MIN($B$8,IFERROR(LOOKUP(2,1/($U$24:U1264&lt;&gt;""),$U$24:U1264),$B$11))))</f>
        <v>116.540949479219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12.4732735711127</v>
      </c>
      <c r="J1265" s="16" t="n">
        <f aca="false">IF(D1265="","",$B$12)</f>
        <v>0.432</v>
      </c>
      <c r="K1265" s="16" t="n">
        <f aca="false">IF(J1265="","",J1265*$B$15)</f>
        <v>1.119744</v>
      </c>
      <c r="L1265" s="16" t="n">
        <f aca="false">IF(D1265="","",H1265+E1265-K1265-G1265*I1265)</f>
        <v>116.848893381202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12.4956939705564</v>
      </c>
      <c r="N1265" s="16" t="n">
        <f aca="false">IF(D1265="","",(I1265+M1265)/2)</f>
        <v>12.4844837708346</v>
      </c>
      <c r="O1265" s="16" t="n">
        <f aca="false">IF(D1265="","",G1265*N1265)</f>
        <v>1.3508211440043</v>
      </c>
      <c r="P1265" s="16" t="n">
        <f aca="false">IF(D1265="","",H1265+E1265-K1265-O1265)</f>
        <v>116.847680437592</v>
      </c>
      <c r="Q1265" s="16" t="n">
        <f aca="false">IF(D1265="","",IF(P1265&gt;=0,K1265,MAX(0,K1265+P1265)))</f>
        <v>1.119744</v>
      </c>
      <c r="R1265" s="16" t="n">
        <f aca="false">IF(D1265="","",Q1265/$B$15)</f>
        <v>0.432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116.847680437592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72.1281978009827</v>
      </c>
      <c r="Z1265" s="18" t="n">
        <f aca="false">IF(D1265="","",MAX(0,IF(P1265&gt;=0,P1265,IF(K1265+P1265&gt;=0,0,P1265+K1265))))</f>
        <v>116.847680437592</v>
      </c>
      <c r="AA1265" s="18" t="n">
        <f aca="false">IF(D1265="","",IF(H1265&lt;=$B$16,1,IF(H1265&gt;=$B$17,$B$21,MATCH(H1265,Aux_CAV!$A$2:$A$121,1))))</f>
        <v>22</v>
      </c>
      <c r="AB1265" s="18" t="n">
        <f aca="false">IF(D1265="","",IF(L1265&lt;=$B$16,1,IF(L1265&gt;=$B$17,$B$21,MATCH(L1265,Aux_CAV!$A$2:$A$121,1))))</f>
        <v>22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0.800020519735461</v>
      </c>
      <c r="E1266" s="16" t="n">
        <f aca="false">IF(D1266="","",D1266*$B$15)</f>
        <v>2.07365318715432</v>
      </c>
      <c r="F1266" s="16" t="n">
        <f aca="false" t="array" ref="F1266:F1266">IF(D1266="","",IFERROR(INDEX(Dados_Evap!$C$2:$N$15,MATCH($B$9,Dados_Evap!$A$2:$A$15,0),C1266),0))</f>
        <v>149</v>
      </c>
      <c r="G1266" s="16" t="n">
        <f aca="false">IF(F1266="","",F1266/1000)</f>
        <v>0.149</v>
      </c>
      <c r="H1266" s="16" t="n">
        <f aca="false">IF(D1266="","",MAX(0,MIN($B$8,IFERROR(LOOKUP(2,1/($U$24:U1265&lt;&gt;""),$U$24:U1265),$B$11))))</f>
        <v>116.847680437592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12.4956056600555</v>
      </c>
      <c r="J1266" s="16" t="n">
        <f aca="false">IF(D1266="","",$B$12)</f>
        <v>0.432</v>
      </c>
      <c r="K1266" s="16" t="n">
        <f aca="false">IF(J1266="","",J1266*$B$15)</f>
        <v>1.119744</v>
      </c>
      <c r="L1266" s="16" t="n">
        <f aca="false">IF(D1266="","",H1266+E1266-K1266-G1266*I1266)</f>
        <v>115.939744381398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12.4295017725678</v>
      </c>
      <c r="N1266" s="16" t="n">
        <f aca="false">IF(D1266="","",(I1266+M1266)/2)</f>
        <v>12.4625537163116</v>
      </c>
      <c r="O1266" s="16" t="n">
        <f aca="false">IF(D1266="","",G1266*N1266)</f>
        <v>1.85692050373043</v>
      </c>
      <c r="P1266" s="16" t="n">
        <f aca="false">IF(D1266="","",H1266+E1266-K1266-O1266)</f>
        <v>115.944669121016</v>
      </c>
      <c r="Q1266" s="16" t="n">
        <f aca="false">IF(D1266="","",IF(P1266&gt;=0,K1266,MAX(0,K1266+P1266)))</f>
        <v>1.119744</v>
      </c>
      <c r="R1266" s="16" t="n">
        <f aca="false">IF(D1266="","",Q1266/$B$15)</f>
        <v>0.432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115.944669121016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71.5707834080344</v>
      </c>
      <c r="Z1266" s="18" t="n">
        <f aca="false">IF(D1266="","",MAX(0,IF(P1266&gt;=0,P1266,IF(K1266+P1266&gt;=0,0,P1266+K1266))))</f>
        <v>115.944669121016</v>
      </c>
      <c r="AA1266" s="18" t="n">
        <f aca="false">IF(D1266="","",IF(H1266&lt;=$B$16,1,IF(H1266&gt;=$B$17,$B$21,MATCH(H1266,Aux_CAV!$A$2:$A$121,1))))</f>
        <v>22</v>
      </c>
      <c r="AB1266" s="18" t="n">
        <f aca="false">IF(D1266="","",IF(L1266&lt;=$B$16,1,IF(L1266&gt;=$B$17,$B$21,MATCH(L1266,Aux_CAV!$A$2:$A$121,1))))</f>
        <v>22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0.112575317895503</v>
      </c>
      <c r="E1267" s="16" t="n">
        <f aca="false">IF(D1267="","",D1267*$B$15)</f>
        <v>0.291795223985144</v>
      </c>
      <c r="F1267" s="16" t="n">
        <f aca="false" t="array" ref="F1267:F1267">IF(D1267="","",IFERROR(INDEX(Dados_Evap!$C$2:$N$15,MATCH($B$9,Dados_Evap!$A$2:$A$15,0),C1267),0))</f>
        <v>206.8</v>
      </c>
      <c r="G1267" s="16" t="n">
        <f aca="false">IF(F1267="","",F1267/1000)</f>
        <v>0.2068</v>
      </c>
      <c r="H1267" s="16" t="n">
        <f aca="false">IF(D1267="","",MAX(0,MIN($B$8,IFERROR(LOOKUP(2,1/($U$24:U1266&lt;&gt;""),$U$24:U1266),$B$11))))</f>
        <v>115.944669121016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12.42986032693</v>
      </c>
      <c r="J1267" s="16" t="n">
        <f aca="false">IF(D1267="","",$B$12)</f>
        <v>0.432</v>
      </c>
      <c r="K1267" s="16" t="n">
        <f aca="false">IF(J1267="","",J1267*$B$15)</f>
        <v>1.119744</v>
      </c>
      <c r="L1267" s="16" t="n">
        <f aca="false">IF(D1267="","",H1267+E1267-K1267-G1267*I1267)</f>
        <v>112.546225229392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12.1824306196145</v>
      </c>
      <c r="N1267" s="16" t="n">
        <f aca="false">IF(D1267="","",(I1267+M1267)/2)</f>
        <v>12.3061454732723</v>
      </c>
      <c r="O1267" s="16" t="n">
        <f aca="false">IF(D1267="","",G1267*N1267)</f>
        <v>2.5449108838727</v>
      </c>
      <c r="P1267" s="16" t="n">
        <f aca="false">IF(D1267="","",H1267+E1267-K1267-O1267)</f>
        <v>112.571809461128</v>
      </c>
      <c r="Q1267" s="16" t="n">
        <f aca="false">IF(D1267="","",IF(P1267&gt;=0,K1267,MAX(0,K1267+P1267)))</f>
        <v>1.119744</v>
      </c>
      <c r="R1267" s="16" t="n">
        <f aca="false">IF(D1267="","",Q1267/$B$15)</f>
        <v>0.432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112.571809461128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69.4887712723014</v>
      </c>
      <c r="Z1267" s="18" t="n">
        <f aca="false">IF(D1267="","",MAX(0,IF(P1267&gt;=0,P1267,IF(K1267+P1267&gt;=0,0,P1267+K1267))))</f>
        <v>112.571809461128</v>
      </c>
      <c r="AA1267" s="18" t="n">
        <f aca="false">IF(D1267="","",IF(H1267&lt;=$B$16,1,IF(H1267&gt;=$B$17,$B$21,MATCH(H1267,Aux_CAV!$A$2:$A$121,1))))</f>
        <v>22</v>
      </c>
      <c r="AB1267" s="18" t="n">
        <f aca="false">IF(D1267="","",IF(L1267&lt;=$B$16,1,IF(L1267&gt;=$B$17,$B$21,MATCH(L1267,Aux_CAV!$A$2:$A$121,1))))</f>
        <v>22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0.112308884545898</v>
      </c>
      <c r="E1268" s="16" t="n">
        <f aca="false">IF(D1268="","",D1268*$B$15)</f>
        <v>0.291104628742968</v>
      </c>
      <c r="F1268" s="16" t="n">
        <f aca="false" t="array" ref="F1268:F1268">IF(D1268="","",IFERROR(INDEX(Dados_Evap!$C$2:$N$15,MATCH($B$9,Dados_Evap!$A$2:$A$15,0),C1268),0))</f>
        <v>245.9</v>
      </c>
      <c r="G1268" s="16" t="n">
        <f aca="false">IF(F1268="","",F1268/1000)</f>
        <v>0.2459</v>
      </c>
      <c r="H1268" s="16" t="n">
        <f aca="false">IF(D1268="","",MAX(0,MIN($B$8,IFERROR(LOOKUP(2,1/($U$24:U1267&lt;&gt;""),$U$24:U1267),$B$11))))</f>
        <v>112.571809461128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12.1842933247738</v>
      </c>
      <c r="J1268" s="16" t="n">
        <f aca="false">IF(D1268="","",$B$12)</f>
        <v>0.432</v>
      </c>
      <c r="K1268" s="16" t="n">
        <f aca="false">IF(J1268="","",J1268*$B$15)</f>
        <v>1.119744</v>
      </c>
      <c r="L1268" s="16" t="n">
        <f aca="false">IF(D1268="","",H1268+E1268-K1268-G1268*I1268)</f>
        <v>108.747052361309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11.9058251317006</v>
      </c>
      <c r="N1268" s="16" t="n">
        <f aca="false">IF(D1268="","",(I1268+M1268)/2)</f>
        <v>12.0450592282372</v>
      </c>
      <c r="O1268" s="16" t="n">
        <f aca="false">IF(D1268="","",G1268*N1268)</f>
        <v>2.96188006422352</v>
      </c>
      <c r="P1268" s="16" t="n">
        <f aca="false">IF(D1268="","",H1268+E1268-K1268-O1268)</f>
        <v>108.781290025648</v>
      </c>
      <c r="Q1268" s="16" t="n">
        <f aca="false">IF(D1268="","",IF(P1268&gt;=0,K1268,MAX(0,K1268+P1268)))</f>
        <v>1.119744</v>
      </c>
      <c r="R1268" s="16" t="n">
        <f aca="false">IF(D1268="","",Q1268/$B$15)</f>
        <v>0.432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108.781290025648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67.1489444602763</v>
      </c>
      <c r="Z1268" s="18" t="n">
        <f aca="false">IF(D1268="","",MAX(0,IF(P1268&gt;=0,P1268,IF(K1268+P1268&gt;=0,0,P1268+K1268))))</f>
        <v>108.781290025648</v>
      </c>
      <c r="AA1268" s="18" t="n">
        <f aca="false">IF(D1268="","",IF(H1268&lt;=$B$16,1,IF(H1268&gt;=$B$17,$B$21,MATCH(H1268,Aux_CAV!$A$2:$A$121,1))))</f>
        <v>22</v>
      </c>
      <c r="AB1268" s="18" t="n">
        <f aca="false">IF(D1268="","",IF(L1268&lt;=$B$16,1,IF(L1268&gt;=$B$17,$B$21,MATCH(L1268,Aux_CAV!$A$2:$A$121,1))))</f>
        <v>22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0.107768914758159</v>
      </c>
      <c r="E1269" s="16" t="n">
        <f aca="false">IF(D1269="","",D1269*$B$15)</f>
        <v>0.279337027053148</v>
      </c>
      <c r="F1269" s="16" t="n">
        <f aca="false" t="array" ref="F1269:F1269">IF(D1269="","",IFERROR(INDEX(Dados_Evap!$C$2:$N$15,MATCH($B$9,Dados_Evap!$A$2:$A$15,0),C1269),0))</f>
        <v>282.3</v>
      </c>
      <c r="G1269" s="16" t="n">
        <f aca="false">IF(F1269="","",F1269/1000)</f>
        <v>0.2823</v>
      </c>
      <c r="H1269" s="16" t="n">
        <f aca="false">IF(D1269="","",MAX(0,MIN($B$8,IFERROR(LOOKUP(2,1/($U$24:U1268&lt;&gt;""),$U$24:U1268),$B$11))))</f>
        <v>108.781290025648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11.9083178652977</v>
      </c>
      <c r="J1269" s="16" t="n">
        <f aca="false">IF(D1269="","",$B$12)</f>
        <v>0.432</v>
      </c>
      <c r="K1269" s="16" t="n">
        <f aca="false">IF(J1269="","",J1269*$B$15)</f>
        <v>1.119744</v>
      </c>
      <c r="L1269" s="16" t="n">
        <f aca="false">IF(D1269="","",H1269+E1269-K1269-G1269*I1269)</f>
        <v>104.579164919327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11.6023747282864</v>
      </c>
      <c r="N1269" s="16" t="n">
        <f aca="false">IF(D1269="","",(I1269+M1269)/2)</f>
        <v>11.755346296792</v>
      </c>
      <c r="O1269" s="16" t="n">
        <f aca="false">IF(D1269="","",G1269*N1269)</f>
        <v>3.31853425958439</v>
      </c>
      <c r="P1269" s="16" t="n">
        <f aca="false">IF(D1269="","",H1269+E1269-K1269-O1269)</f>
        <v>104.622348793116</v>
      </c>
      <c r="Q1269" s="16" t="n">
        <f aca="false">IF(D1269="","",IF(P1269&gt;=0,K1269,MAX(0,K1269+P1269)))</f>
        <v>1.119744</v>
      </c>
      <c r="R1269" s="16" t="n">
        <f aca="false">IF(D1269="","",Q1269/$B$15)</f>
        <v>0.432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104.622348793116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64.5816967858743</v>
      </c>
      <c r="Z1269" s="18" t="n">
        <f aca="false">IF(D1269="","",MAX(0,IF(P1269&gt;=0,P1269,IF(K1269+P1269&gt;=0,0,P1269+K1269))))</f>
        <v>104.622348793116</v>
      </c>
      <c r="AA1269" s="18" t="n">
        <f aca="false">IF(D1269="","",IF(H1269&lt;=$B$16,1,IF(H1269&gt;=$B$17,$B$21,MATCH(H1269,Aux_CAV!$A$2:$A$121,1))))</f>
        <v>22</v>
      </c>
      <c r="AB1269" s="18" t="n">
        <f aca="false">IF(D1269="","",IF(L1269&lt;=$B$16,1,IF(L1269&gt;=$B$17,$B$21,MATCH(L1269,Aux_CAV!$A$2:$A$121,1))))</f>
        <v>22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0.12560933897298</v>
      </c>
      <c r="E1270" s="16" t="n">
        <f aca="false">IF(D1270="","",D1270*$B$15)</f>
        <v>0.325579406617964</v>
      </c>
      <c r="F1270" s="16" t="n">
        <f aca="false" t="array" ref="F1270:F1270">IF(D1270="","",IFERROR(INDEX(Dados_Evap!$C$2:$N$15,MATCH($B$9,Dados_Evap!$A$2:$A$15,0),C1270),0))</f>
        <v>241.3</v>
      </c>
      <c r="G1270" s="16" t="n">
        <f aca="false">IF(F1270="","",F1270/1000)</f>
        <v>0.2413</v>
      </c>
      <c r="H1270" s="16" t="n">
        <f aca="false">IF(D1270="","",MAX(0,MIN($B$8,IFERROR(LOOKUP(2,1/($U$24:U1269&lt;&gt;""),$U$24:U1269),$B$11))))</f>
        <v>104.622348793116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11.6055188064567</v>
      </c>
      <c r="J1270" s="16" t="n">
        <f aca="false">IF(D1270="","",$B$12)</f>
        <v>0.432</v>
      </c>
      <c r="K1270" s="16" t="n">
        <f aca="false">IF(J1270="","",J1270*$B$15)</f>
        <v>1.119744</v>
      </c>
      <c r="L1270" s="16" t="n">
        <f aca="false">IF(D1270="","",H1270+E1270-K1270-G1270*I1270)</f>
        <v>101.027772511736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11.3438093342428</v>
      </c>
      <c r="N1270" s="16" t="n">
        <f aca="false">IF(D1270="","",(I1270+M1270)/2)</f>
        <v>11.4746640703497</v>
      </c>
      <c r="O1270" s="16" t="n">
        <f aca="false">IF(D1270="","",G1270*N1270)</f>
        <v>2.76883644017539</v>
      </c>
      <c r="P1270" s="16" t="n">
        <f aca="false">IF(D1270="","",H1270+E1270-K1270-O1270)</f>
        <v>101.059347759559</v>
      </c>
      <c r="Q1270" s="16" t="n">
        <f aca="false">IF(D1270="","",IF(P1270&gt;=0,K1270,MAX(0,K1270+P1270)))</f>
        <v>1.119744</v>
      </c>
      <c r="R1270" s="16" t="n">
        <f aca="false">IF(D1270="","",Q1270/$B$15)</f>
        <v>0.432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101.059347759559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62.3823134318265</v>
      </c>
      <c r="Z1270" s="18" t="n">
        <f aca="false">IF(D1270="","",MAX(0,IF(P1270&gt;=0,P1270,IF(K1270+P1270&gt;=0,0,P1270+K1270))))</f>
        <v>101.059347759559</v>
      </c>
      <c r="AA1270" s="18" t="n">
        <f aca="false">IF(D1270="","",IF(H1270&lt;=$B$16,1,IF(H1270&gt;=$B$17,$B$21,MATCH(H1270,Aux_CAV!$A$2:$A$121,1))))</f>
        <v>22</v>
      </c>
      <c r="AB1270" s="18" t="n">
        <f aca="false">IF(D1270="","",IF(L1270&lt;=$B$16,1,IF(L1270&gt;=$B$17,$B$21,MATCH(L1270,Aux_CAV!$A$2:$A$121,1))))</f>
        <v>22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0.108029717141059</v>
      </c>
      <c r="E1271" s="16" t="n">
        <f aca="false">IF(D1271="","",D1271*$B$15)</f>
        <v>0.280013026829625</v>
      </c>
      <c r="F1271" s="16" t="n">
        <f aca="false" t="array" ref="F1271:F1271">IF(D1271="","",IFERROR(INDEX(Dados_Evap!$C$2:$N$15,MATCH($B$9,Dados_Evap!$A$2:$A$15,0),C1271),0))</f>
        <v>241.8</v>
      </c>
      <c r="G1271" s="16" t="n">
        <f aca="false">IF(F1271="","",F1271/1000)</f>
        <v>0.2418</v>
      </c>
      <c r="H1271" s="16" t="n">
        <f aca="false">IF(D1271="","",MAX(0,MIN($B$8,IFERROR(LOOKUP(2,1/($U$24:U1270&lt;&gt;""),$U$24:U1270),$B$11))))</f>
        <v>101.059347759559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11.3461082259051</v>
      </c>
      <c r="J1271" s="16" t="n">
        <f aca="false">IF(D1271="","",$B$12)</f>
        <v>0.432</v>
      </c>
      <c r="K1271" s="16" t="n">
        <f aca="false">IF(J1271="","",J1271*$B$15)</f>
        <v>1.119744</v>
      </c>
      <c r="L1271" s="16" t="n">
        <f aca="false">IF(D1271="","",H1271+E1271-K1271-G1271*I1271)</f>
        <v>97.4761278173648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11.0852255720148</v>
      </c>
      <c r="N1271" s="16" t="n">
        <f aca="false">IF(D1271="","",(I1271+M1271)/2)</f>
        <v>11.2156668989599</v>
      </c>
      <c r="O1271" s="16" t="n">
        <f aca="false">IF(D1271="","",G1271*N1271)</f>
        <v>2.71194825616851</v>
      </c>
      <c r="P1271" s="16" t="n">
        <f aca="false">IF(D1271="","",H1271+E1271-K1271-O1271)</f>
        <v>97.5076685302201</v>
      </c>
      <c r="Q1271" s="16" t="n">
        <f aca="false">IF(D1271="","",IF(P1271&gt;=0,K1271,MAX(0,K1271+P1271)))</f>
        <v>1.119744</v>
      </c>
      <c r="R1271" s="16" t="n">
        <f aca="false">IF(D1271="","",Q1271/$B$15)</f>
        <v>0.432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97.5076685302201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60.1899188458149</v>
      </c>
      <c r="Z1271" s="18" t="n">
        <f aca="false">IF(D1271="","",MAX(0,IF(P1271&gt;=0,P1271,IF(K1271+P1271&gt;=0,0,P1271+K1271))))</f>
        <v>97.5076685302201</v>
      </c>
      <c r="AA1271" s="18" t="n">
        <f aca="false">IF(D1271="","",IF(H1271&lt;=$B$16,1,IF(H1271&gt;=$B$17,$B$21,MATCH(H1271,Aux_CAV!$A$2:$A$121,1))))</f>
        <v>22</v>
      </c>
      <c r="AB1271" s="18" t="n">
        <f aca="false">IF(D1271="","",IF(L1271&lt;=$B$16,1,IF(L1271&gt;=$B$17,$B$21,MATCH(L1271,Aux_CAV!$A$2:$A$121,1))))</f>
        <v>22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0.19659370670418</v>
      </c>
      <c r="E1272" s="16" t="n">
        <f aca="false">IF(D1272="","",D1272*$B$15)</f>
        <v>0.509570887777235</v>
      </c>
      <c r="F1272" s="16" t="n">
        <f aca="false" t="array" ref="F1272:F1272">IF(D1272="","",IFERROR(INDEX(Dados_Evap!$C$2:$N$15,MATCH($B$9,Dados_Evap!$A$2:$A$15,0),C1272),0))</f>
        <v>189</v>
      </c>
      <c r="G1272" s="16" t="n">
        <f aca="false">IF(F1272="","",F1272/1000)</f>
        <v>0.189</v>
      </c>
      <c r="H1272" s="16" t="n">
        <f aca="false">IF(D1272="","",MAX(0,MIN($B$8,IFERROR(LOOKUP(2,1/($U$24:U1271&lt;&gt;""),$U$24:U1271),$B$11))))</f>
        <v>97.5076685302201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11.0875219492978</v>
      </c>
      <c r="J1272" s="16" t="n">
        <f aca="false">IF(D1272="","",$B$12)</f>
        <v>0.432</v>
      </c>
      <c r="K1272" s="16" t="n">
        <f aca="false">IF(J1272="","",J1272*$B$15)</f>
        <v>1.119744</v>
      </c>
      <c r="L1272" s="16" t="n">
        <f aca="false">IF(D1272="","",H1272+E1272-K1272-G1272*I1272)</f>
        <v>94.8019537695801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10.8905276093428</v>
      </c>
      <c r="N1272" s="16" t="n">
        <f aca="false">IF(D1272="","",(I1272+M1272)/2)</f>
        <v>10.9890247793203</v>
      </c>
      <c r="O1272" s="16" t="n">
        <f aca="false">IF(D1272="","",G1272*N1272)</f>
        <v>2.07692568329154</v>
      </c>
      <c r="P1272" s="16" t="n">
        <f aca="false">IF(D1272="","",H1272+E1272-K1272-O1272)</f>
        <v>94.8205697347058</v>
      </c>
      <c r="Q1272" s="16" t="n">
        <f aca="false">IF(D1272="","",IF(P1272&gt;=0,K1272,MAX(0,K1272+P1272)))</f>
        <v>1.119744</v>
      </c>
      <c r="R1272" s="16" t="n">
        <f aca="false">IF(D1272="","",Q1272/$B$15)</f>
        <v>0.432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94.8205697347058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58.5312158856209</v>
      </c>
      <c r="Z1272" s="18" t="n">
        <f aca="false">IF(D1272="","",MAX(0,IF(P1272&gt;=0,P1272,IF(K1272+P1272&gt;=0,0,P1272+K1272))))</f>
        <v>94.8205697347058</v>
      </c>
      <c r="AA1272" s="18" t="n">
        <f aca="false">IF(D1272="","",IF(H1272&lt;=$B$16,1,IF(H1272&gt;=$B$17,$B$21,MATCH(H1272,Aux_CAV!$A$2:$A$121,1))))</f>
        <v>22</v>
      </c>
      <c r="AB1272" s="18" t="n">
        <f aca="false">IF(D1272="","",IF(L1272&lt;=$B$16,1,IF(L1272&gt;=$B$17,$B$21,MATCH(L1272,Aux_CAV!$A$2:$A$121,1))))</f>
        <v>22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0.254185248819132</v>
      </c>
      <c r="E1273" s="16" t="n">
        <f aca="false">IF(D1273="","",D1273*$B$15)</f>
        <v>0.65884816493919</v>
      </c>
      <c r="F1273" s="16" t="n">
        <f aca="false" t="array" ref="F1273:F1273">IF(D1273="","",IFERROR(INDEX(Dados_Evap!$C$2:$N$15,MATCH($B$9,Dados_Evap!$A$2:$A$15,0),C1273),0))</f>
        <v>136.9</v>
      </c>
      <c r="G1273" s="16" t="n">
        <f aca="false">IF(F1273="","",F1273/1000)</f>
        <v>0.1369</v>
      </c>
      <c r="H1273" s="16" t="n">
        <f aca="false">IF(D1273="","",MAX(0,MIN($B$8,IFERROR(LOOKUP(2,1/($U$24:U1272&lt;&gt;""),$U$24:U1272),$B$11))))</f>
        <v>94.8205697347058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10.8918829775494</v>
      </c>
      <c r="J1273" s="16" t="n">
        <f aca="false">IF(D1273="","",$B$12)</f>
        <v>0.432</v>
      </c>
      <c r="K1273" s="16" t="n">
        <f aca="false">IF(J1273="","",J1273*$B$15)</f>
        <v>1.119744</v>
      </c>
      <c r="L1273" s="16" t="n">
        <f aca="false">IF(D1273="","",H1273+E1273-K1273-G1273*I1273)</f>
        <v>92.8685751200185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10.7497645634764</v>
      </c>
      <c r="N1273" s="16" t="n">
        <f aca="false">IF(D1273="","",(I1273+M1273)/2)</f>
        <v>10.8208237705129</v>
      </c>
      <c r="O1273" s="16" t="n">
        <f aca="false">IF(D1273="","",G1273*N1273)</f>
        <v>1.48137077418321</v>
      </c>
      <c r="P1273" s="16" t="n">
        <f aca="false">IF(D1273="","",H1273+E1273-K1273-O1273)</f>
        <v>92.8783031254618</v>
      </c>
      <c r="Q1273" s="16" t="n">
        <f aca="false">IF(D1273="","",IF(P1273&gt;=0,K1273,MAX(0,K1273+P1273)))</f>
        <v>1.119744</v>
      </c>
      <c r="R1273" s="16" t="n">
        <f aca="false">IF(D1273="","",Q1273/$B$15)</f>
        <v>0.432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92.8783031254618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57.3322858799147</v>
      </c>
      <c r="Z1273" s="18" t="n">
        <f aca="false">IF(D1273="","",MAX(0,IF(P1273&gt;=0,P1273,IF(K1273+P1273&gt;=0,0,P1273+K1273))))</f>
        <v>92.8783031254618</v>
      </c>
      <c r="AA1273" s="18" t="n">
        <f aca="false">IF(D1273="","",IF(H1273&lt;=$B$16,1,IF(H1273&gt;=$B$17,$B$21,MATCH(H1273,Aux_CAV!$A$2:$A$121,1))))</f>
        <v>22</v>
      </c>
      <c r="AB1273" s="18" t="n">
        <f aca="false">IF(D1273="","",IF(L1273&lt;=$B$16,1,IF(L1273&gt;=$B$17,$B$21,MATCH(L1273,Aux_CAV!$A$2:$A$121,1))))</f>
        <v>22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1.06676542587323</v>
      </c>
      <c r="E1274" s="16" t="n">
        <f aca="false">IF(D1274="","",D1274*$B$15)</f>
        <v>2.76505598386341</v>
      </c>
      <c r="F1274" s="16" t="n">
        <f aca="false" t="array" ref="F1274:F1274">IF(D1274="","",IFERROR(INDEX(Dados_Evap!$C$2:$N$15,MATCH($B$9,Dados_Evap!$A$2:$A$15,0),C1274),0))</f>
        <v>102.9</v>
      </c>
      <c r="G1274" s="16" t="n">
        <f aca="false">IF(F1274="","",F1274/1000)</f>
        <v>0.1029</v>
      </c>
      <c r="H1274" s="16" t="n">
        <f aca="false">IF(D1274="","",MAX(0,MIN($B$8,IFERROR(LOOKUP(2,1/($U$24:U1273&lt;&gt;""),$U$24:U1273),$B$11))))</f>
        <v>92.8783031254618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10.750472828087</v>
      </c>
      <c r="J1274" s="16" t="n">
        <f aca="false">IF(D1274="","",$B$12)</f>
        <v>0.432</v>
      </c>
      <c r="K1274" s="16" t="n">
        <f aca="false">IF(J1274="","",J1274*$B$15)</f>
        <v>1.119744</v>
      </c>
      <c r="L1274" s="16" t="n">
        <f aca="false">IF(D1274="","",H1274+E1274-K1274-G1274*I1274)</f>
        <v>93.417391455315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10.789722105676</v>
      </c>
      <c r="N1274" s="16" t="n">
        <f aca="false">IF(D1274="","",(I1274+M1274)/2)</f>
        <v>10.7700974668815</v>
      </c>
      <c r="O1274" s="16" t="n">
        <f aca="false">IF(D1274="","",G1274*N1274)</f>
        <v>1.10824302934211</v>
      </c>
      <c r="P1274" s="16" t="n">
        <f aca="false">IF(D1274="","",H1274+E1274-K1274-O1274)</f>
        <v>93.4153720799831</v>
      </c>
      <c r="Q1274" s="16" t="n">
        <f aca="false">IF(D1274="","",IF(P1274&gt;=0,K1274,MAX(0,K1274+P1274)))</f>
        <v>1.119744</v>
      </c>
      <c r="R1274" s="16" t="n">
        <f aca="false">IF(D1274="","",Q1274/$B$15)</f>
        <v>0.432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93.4153720799831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57.6638099259155</v>
      </c>
      <c r="Z1274" s="18" t="n">
        <f aca="false">IF(D1274="","",MAX(0,IF(P1274&gt;=0,P1274,IF(K1274+P1274&gt;=0,0,P1274+K1274))))</f>
        <v>93.4153720799831</v>
      </c>
      <c r="AA1274" s="18" t="n">
        <f aca="false">IF(D1274="","",IF(H1274&lt;=$B$16,1,IF(H1274&gt;=$B$17,$B$21,MATCH(H1274,Aux_CAV!$A$2:$A$121,1))))</f>
        <v>22</v>
      </c>
      <c r="AB1274" s="18" t="n">
        <f aca="false">IF(D1274="","",IF(L1274&lt;=$B$16,1,IF(L1274&gt;=$B$17,$B$21,MATCH(L1274,Aux_CAV!$A$2:$A$121,1))))</f>
        <v>22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1.4257395321958</v>
      </c>
      <c r="E1275" s="16" t="n">
        <f aca="false">IF(D1275="","",D1275*$B$15)</f>
        <v>3.69551686745151</v>
      </c>
      <c r="F1275" s="16" t="n">
        <f aca="false" t="array" ref="F1275:F1275">IF(D1275="","",IFERROR(INDEX(Dados_Evap!$C$2:$N$15,MATCH($B$9,Dados_Evap!$A$2:$A$15,0),C1275),0))</f>
        <v>81.8</v>
      </c>
      <c r="G1275" s="16" t="n">
        <f aca="false">IF(F1275="","",F1275/1000)</f>
        <v>0.0818</v>
      </c>
      <c r="H1275" s="16" t="n">
        <f aca="false">IF(D1275="","",MAX(0,MIN($B$8,IFERROR(LOOKUP(2,1/($U$24:U1274&lt;&gt;""),$U$24:U1274),$B$11))))</f>
        <v>93.4153720799831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10.7895750814898</v>
      </c>
      <c r="J1275" s="16" t="n">
        <f aca="false">IF(D1275="","",$B$12)</f>
        <v>0.432</v>
      </c>
      <c r="K1275" s="16" t="n">
        <f aca="false">IF(J1275="","",J1275*$B$15)</f>
        <v>1.119744</v>
      </c>
      <c r="L1275" s="16" t="n">
        <f aca="false">IF(D1275="","",H1275+E1275-K1275-G1275*I1275)</f>
        <v>95.1085577057687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10.9128504502112</v>
      </c>
      <c r="N1275" s="16" t="n">
        <f aca="false">IF(D1275="","",(I1275+M1275)/2)</f>
        <v>10.8512127658505</v>
      </c>
      <c r="O1275" s="16" t="n">
        <f aca="false">IF(D1275="","",G1275*N1275)</f>
        <v>0.887629204246573</v>
      </c>
      <c r="P1275" s="16" t="n">
        <f aca="false">IF(D1275="","",H1275+E1275-K1275-O1275)</f>
        <v>95.103515743188</v>
      </c>
      <c r="Q1275" s="16" t="n">
        <f aca="false">IF(D1275="","",IF(P1275&gt;=0,K1275,MAX(0,K1275+P1275)))</f>
        <v>1.119744</v>
      </c>
      <c r="R1275" s="16" t="n">
        <f aca="false">IF(D1275="","",Q1275/$B$15)</f>
        <v>0.432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95.103515743188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58.7058739155482</v>
      </c>
      <c r="Z1275" s="18" t="n">
        <f aca="false">IF(D1275="","",MAX(0,IF(P1275&gt;=0,P1275,IF(K1275+P1275&gt;=0,0,P1275+K1275))))</f>
        <v>95.103515743188</v>
      </c>
      <c r="AA1275" s="18" t="n">
        <f aca="false">IF(D1275="","",IF(H1275&lt;=$B$16,1,IF(H1275&gt;=$B$17,$B$21,MATCH(H1275,Aux_CAV!$A$2:$A$121,1))))</f>
        <v>22</v>
      </c>
      <c r="AB1275" s="18" t="n">
        <f aca="false">IF(D1275="","",IF(L1275&lt;=$B$16,1,IF(L1275&gt;=$B$17,$B$21,MATCH(L1275,Aux_CAV!$A$2:$A$121,1))))</f>
        <v>22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2.10468860130487</v>
      </c>
      <c r="E1276" s="16" t="n">
        <f aca="false">IF(D1276="","",D1276*$B$15)</f>
        <v>5.45535285458222</v>
      </c>
      <c r="F1276" s="16" t="n">
        <f aca="false" t="array" ref="F1276:F1276">IF(D1276="","",IFERROR(INDEX(Dados_Evap!$C$2:$N$15,MATCH($B$9,Dados_Evap!$A$2:$A$15,0),C1276),0))</f>
        <v>83.6</v>
      </c>
      <c r="G1276" s="16" t="n">
        <f aca="false">IF(F1276="","",F1276/1000)</f>
        <v>0.0836</v>
      </c>
      <c r="H1276" s="16" t="n">
        <f aca="false">IF(D1276="","",MAX(0,MIN($B$8,IFERROR(LOOKUP(2,1/($U$24:U1275&lt;&gt;""),$U$24:U1275),$B$11))))</f>
        <v>95.103515743188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10.9124833612242</v>
      </c>
      <c r="J1276" s="16" t="n">
        <f aca="false">IF(D1276="","",$B$12)</f>
        <v>0.432</v>
      </c>
      <c r="K1276" s="16" t="n">
        <f aca="false">IF(J1276="","",J1276*$B$15)</f>
        <v>1.119744</v>
      </c>
      <c r="L1276" s="16" t="n">
        <f aca="false">IF(D1276="","",H1276+E1276-K1276-G1276*I1276)</f>
        <v>98.5268409887719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11.1617245994416</v>
      </c>
      <c r="N1276" s="16" t="n">
        <f aca="false">IF(D1276="","",(I1276+M1276)/2)</f>
        <v>11.0371039803329</v>
      </c>
      <c r="O1276" s="16" t="n">
        <f aca="false">IF(D1276="","",G1276*N1276)</f>
        <v>0.92270189275583</v>
      </c>
      <c r="P1276" s="16" t="n">
        <f aca="false">IF(D1276="","",H1276+E1276-K1276-O1276)</f>
        <v>98.5164227050144</v>
      </c>
      <c r="Q1276" s="16" t="n">
        <f aca="false">IF(D1276="","",IF(P1276&gt;=0,K1276,MAX(0,K1276+P1276)))</f>
        <v>1.119744</v>
      </c>
      <c r="R1276" s="16" t="n">
        <f aca="false">IF(D1276="","",Q1276/$B$15)</f>
        <v>0.432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98.5164227050144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60.8126066080336</v>
      </c>
      <c r="Z1276" s="18" t="n">
        <f aca="false">IF(D1276="","",MAX(0,IF(P1276&gt;=0,P1276,IF(K1276+P1276&gt;=0,0,P1276+K1276))))</f>
        <v>98.5164227050144</v>
      </c>
      <c r="AA1276" s="18" t="n">
        <f aca="false">IF(D1276="","",IF(H1276&lt;=$B$16,1,IF(H1276&gt;=$B$17,$B$21,MATCH(H1276,Aux_CAV!$A$2:$A$121,1))))</f>
        <v>22</v>
      </c>
      <c r="AB1276" s="18" t="n">
        <f aca="false">IF(D1276="","",IF(L1276&lt;=$B$16,1,IF(L1276&gt;=$B$17,$B$21,MATCH(L1276,Aux_CAV!$A$2:$A$121,1))))</f>
        <v>22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0.548803912234008</v>
      </c>
      <c r="E1277" s="16" t="n">
        <f aca="false">IF(D1277="","",D1277*$B$15)</f>
        <v>1.42249974051055</v>
      </c>
      <c r="F1277" s="16" t="n">
        <f aca="false" t="array" ref="F1277:F1277">IF(D1277="","",IFERROR(INDEX(Dados_Evap!$C$2:$N$15,MATCH($B$9,Dados_Evap!$A$2:$A$15,0),C1277),0))</f>
        <v>108.2</v>
      </c>
      <c r="G1277" s="16" t="n">
        <f aca="false">IF(F1277="","",F1277/1000)</f>
        <v>0.1082</v>
      </c>
      <c r="H1277" s="16" t="n">
        <f aca="false">IF(D1277="","",MAX(0,MIN($B$8,IFERROR(LOOKUP(2,1/($U$24:U1276&lt;&gt;""),$U$24:U1276),$B$11))))</f>
        <v>98.5164227050144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11.1609660778997</v>
      </c>
      <c r="J1277" s="16" t="n">
        <f aca="false">IF(D1277="","",$B$12)</f>
        <v>0.432</v>
      </c>
      <c r="K1277" s="16" t="n">
        <f aca="false">IF(J1277="","",J1277*$B$15)</f>
        <v>1.119744</v>
      </c>
      <c r="L1277" s="16" t="n">
        <f aca="false">IF(D1277="","",H1277+E1277-K1277-G1277*I1277)</f>
        <v>97.6115619158962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11.0950860906606</v>
      </c>
      <c r="N1277" s="16" t="n">
        <f aca="false">IF(D1277="","",(I1277+M1277)/2)</f>
        <v>11.1280260842801</v>
      </c>
      <c r="O1277" s="16" t="n">
        <f aca="false">IF(D1277="","",G1277*N1277)</f>
        <v>1.20405242231911</v>
      </c>
      <c r="P1277" s="16" t="n">
        <f aca="false">IF(D1277="","",H1277+E1277-K1277-O1277)</f>
        <v>97.6151260232059</v>
      </c>
      <c r="Q1277" s="16" t="n">
        <f aca="false">IF(D1277="","",IF(P1277&gt;=0,K1277,MAX(0,K1277+P1277)))</f>
        <v>1.119744</v>
      </c>
      <c r="R1277" s="16" t="n">
        <f aca="false">IF(D1277="","",Q1277/$B$15)</f>
        <v>0.432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97.6151260232059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60.2562506316086</v>
      </c>
      <c r="Z1277" s="18" t="n">
        <f aca="false">IF(D1277="","",MAX(0,IF(P1277&gt;=0,P1277,IF(K1277+P1277&gt;=0,0,P1277+K1277))))</f>
        <v>97.6151260232059</v>
      </c>
      <c r="AA1277" s="18" t="n">
        <f aca="false">IF(D1277="","",IF(H1277&lt;=$B$16,1,IF(H1277&gt;=$B$17,$B$21,MATCH(H1277,Aux_CAV!$A$2:$A$121,1))))</f>
        <v>22</v>
      </c>
      <c r="AB1277" s="18" t="n">
        <f aca="false">IF(D1277="","",IF(L1277&lt;=$B$16,1,IF(L1277&gt;=$B$17,$B$21,MATCH(L1277,Aux_CAV!$A$2:$A$121,1))))</f>
        <v>22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0.221159633019148</v>
      </c>
      <c r="E1278" s="16" t="n">
        <f aca="false">IF(D1278="","",D1278*$B$15)</f>
        <v>0.573245768785632</v>
      </c>
      <c r="F1278" s="16" t="n">
        <f aca="false" t="array" ref="F1278:F1278">IF(D1278="","",IFERROR(INDEX(Dados_Evap!$C$2:$N$15,MATCH($B$9,Dados_Evap!$A$2:$A$15,0),C1278),0))</f>
        <v>149</v>
      </c>
      <c r="G1278" s="16" t="n">
        <f aca="false">IF(F1278="","",F1278/1000)</f>
        <v>0.149</v>
      </c>
      <c r="H1278" s="16" t="n">
        <f aca="false">IF(D1278="","",MAX(0,MIN($B$8,IFERROR(LOOKUP(2,1/($U$24:U1277&lt;&gt;""),$U$24:U1277),$B$11))))</f>
        <v>97.6151260232059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11.0953455817855</v>
      </c>
      <c r="J1278" s="16" t="n">
        <f aca="false">IF(D1278="","",$B$12)</f>
        <v>0.432</v>
      </c>
      <c r="K1278" s="16" t="n">
        <f aca="false">IF(J1278="","",J1278*$B$15)</f>
        <v>1.119744</v>
      </c>
      <c r="L1278" s="16" t="n">
        <f aca="false">IF(D1278="","",H1278+E1278-K1278-G1278*I1278)</f>
        <v>95.4154213003054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10.9351921959641</v>
      </c>
      <c r="N1278" s="16" t="n">
        <f aca="false">IF(D1278="","",(I1278+M1278)/2)</f>
        <v>11.0152688888748</v>
      </c>
      <c r="O1278" s="16" t="n">
        <f aca="false">IF(D1278="","",G1278*N1278)</f>
        <v>1.64127506444235</v>
      </c>
      <c r="P1278" s="16" t="n">
        <f aca="false">IF(D1278="","",H1278+E1278-K1278-O1278)</f>
        <v>95.4273527275491</v>
      </c>
      <c r="Q1278" s="16" t="n">
        <f aca="false">IF(D1278="","",IF(P1278&gt;=0,K1278,MAX(0,K1278+P1278)))</f>
        <v>1.119744</v>
      </c>
      <c r="R1278" s="16" t="n">
        <f aca="false">IF(D1278="","",Q1278/$B$15)</f>
        <v>0.432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95.4273527275491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58.9057732886106</v>
      </c>
      <c r="Z1278" s="18" t="n">
        <f aca="false">IF(D1278="","",MAX(0,IF(P1278&gt;=0,P1278,IF(K1278+P1278&gt;=0,0,P1278+K1278))))</f>
        <v>95.4273527275491</v>
      </c>
      <c r="AA1278" s="18" t="n">
        <f aca="false">IF(D1278="","",IF(H1278&lt;=$B$16,1,IF(H1278&gt;=$B$17,$B$21,MATCH(H1278,Aux_CAV!$A$2:$A$121,1))))</f>
        <v>22</v>
      </c>
      <c r="AB1278" s="18" t="n">
        <f aca="false">IF(D1278="","",IF(L1278&lt;=$B$16,1,IF(L1278&gt;=$B$17,$B$21,MATCH(L1278,Aux_CAV!$A$2:$A$121,1))))</f>
        <v>22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0.11500544784547</v>
      </c>
      <c r="E1279" s="16" t="n">
        <f aca="false">IF(D1279="","",D1279*$B$15)</f>
        <v>0.298094120815458</v>
      </c>
      <c r="F1279" s="16" t="n">
        <f aca="false" t="array" ref="F1279:F1279">IF(D1279="","",IFERROR(INDEX(Dados_Evap!$C$2:$N$15,MATCH($B$9,Dados_Evap!$A$2:$A$15,0),C1279),0))</f>
        <v>206.8</v>
      </c>
      <c r="G1279" s="16" t="n">
        <f aca="false">IF(F1279="","",F1279/1000)</f>
        <v>0.2068</v>
      </c>
      <c r="H1279" s="16" t="n">
        <f aca="false">IF(D1279="","",MAX(0,MIN($B$8,IFERROR(LOOKUP(2,1/($U$24:U1278&lt;&gt;""),$U$24:U1278),$B$11))))</f>
        <v>95.4273527275491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10.9360608845889</v>
      </c>
      <c r="J1279" s="16" t="n">
        <f aca="false">IF(D1279="","",$B$12)</f>
        <v>0.432</v>
      </c>
      <c r="K1279" s="16" t="n">
        <f aca="false">IF(J1279="","",J1279*$B$15)</f>
        <v>1.119744</v>
      </c>
      <c r="L1279" s="16" t="n">
        <f aca="false">IF(D1279="","",H1279+E1279-K1279-G1279*I1279)</f>
        <v>92.3441254574316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10.7115810799016</v>
      </c>
      <c r="N1279" s="16" t="n">
        <f aca="false">IF(D1279="","",(I1279+M1279)/2)</f>
        <v>10.8238209822453</v>
      </c>
      <c r="O1279" s="16" t="n">
        <f aca="false">IF(D1279="","",G1279*N1279)</f>
        <v>2.23836617912832</v>
      </c>
      <c r="P1279" s="16" t="n">
        <f aca="false">IF(D1279="","",H1279+E1279-K1279-O1279)</f>
        <v>92.3673366692363</v>
      </c>
      <c r="Q1279" s="16" t="n">
        <f aca="false">IF(D1279="","",IF(P1279&gt;=0,K1279,MAX(0,K1279+P1279)))</f>
        <v>1.119744</v>
      </c>
      <c r="R1279" s="16" t="n">
        <f aca="false">IF(D1279="","",Q1279/$B$15)</f>
        <v>0.432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92.3673366692363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57.0168744871829</v>
      </c>
      <c r="Z1279" s="18" t="n">
        <f aca="false">IF(D1279="","",MAX(0,IF(P1279&gt;=0,P1279,IF(K1279+P1279&gt;=0,0,P1279+K1279))))</f>
        <v>92.3673366692363</v>
      </c>
      <c r="AA1279" s="18" t="n">
        <f aca="false">IF(D1279="","",IF(H1279&lt;=$B$16,1,IF(H1279&gt;=$B$17,$B$21,MATCH(H1279,Aux_CAV!$A$2:$A$121,1))))</f>
        <v>22</v>
      </c>
      <c r="AB1279" s="18" t="n">
        <f aca="false">IF(D1279="","",IF(L1279&lt;=$B$16,1,IF(L1279&gt;=$B$17,$B$21,MATCH(L1279,Aux_CAV!$A$2:$A$121,1))))</f>
        <v>22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0.179114991990114</v>
      </c>
      <c r="E1280" s="16" t="n">
        <f aca="false">IF(D1280="","",D1280*$B$15)</f>
        <v>0.464266059238376</v>
      </c>
      <c r="F1280" s="16" t="n">
        <f aca="false" t="array" ref="F1280:F1280">IF(D1280="","",IFERROR(INDEX(Dados_Evap!$C$2:$N$15,MATCH($B$9,Dados_Evap!$A$2:$A$15,0),C1280),0))</f>
        <v>245.9</v>
      </c>
      <c r="G1280" s="16" t="n">
        <f aca="false">IF(F1280="","",F1280/1000)</f>
        <v>0.2459</v>
      </c>
      <c r="H1280" s="16" t="n">
        <f aca="false">IF(D1280="","",MAX(0,MIN($B$8,IFERROR(LOOKUP(2,1/($U$24:U1279&lt;&gt;""),$U$24:U1279),$B$11))))</f>
        <v>92.3673366692363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10.7132710131553</v>
      </c>
      <c r="J1280" s="16" t="n">
        <f aca="false">IF(D1280="","",$B$12)</f>
        <v>0.432</v>
      </c>
      <c r="K1280" s="16" t="n">
        <f aca="false">IF(J1280="","",J1280*$B$15)</f>
        <v>1.119744</v>
      </c>
      <c r="L1280" s="16" t="n">
        <f aca="false">IF(D1280="","",H1280+E1280-K1280-G1280*I1280)</f>
        <v>89.0774653863398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10.4737461262978</v>
      </c>
      <c r="N1280" s="16" t="n">
        <f aca="false">IF(D1280="","",(I1280+M1280)/2)</f>
        <v>10.5935085697266</v>
      </c>
      <c r="O1280" s="16" t="n">
        <f aca="false">IF(D1280="","",G1280*N1280)</f>
        <v>2.60494375729577</v>
      </c>
      <c r="P1280" s="16" t="n">
        <f aca="false">IF(D1280="","",H1280+E1280-K1280-O1280)</f>
        <v>89.1069149711789</v>
      </c>
      <c r="Q1280" s="16" t="n">
        <f aca="false">IF(D1280="","",IF(P1280&gt;=0,K1280,MAX(0,K1280+P1280)))</f>
        <v>1.119744</v>
      </c>
      <c r="R1280" s="16" t="n">
        <f aca="false">IF(D1280="","",Q1280/$B$15)</f>
        <v>0.432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89.1069149711789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55.0042685007277</v>
      </c>
      <c r="Z1280" s="18" t="n">
        <f aca="false">IF(D1280="","",MAX(0,IF(P1280&gt;=0,P1280,IF(K1280+P1280&gt;=0,0,P1280+K1280))))</f>
        <v>89.1069149711789</v>
      </c>
      <c r="AA1280" s="18" t="n">
        <f aca="false">IF(D1280="","",IF(H1280&lt;=$B$16,1,IF(H1280&gt;=$B$17,$B$21,MATCH(H1280,Aux_CAV!$A$2:$A$121,1))))</f>
        <v>22</v>
      </c>
      <c r="AB1280" s="18" t="n">
        <f aca="false">IF(D1280="","",IF(L1280&lt;=$B$16,1,IF(L1280&gt;=$B$17,$B$21,MATCH(L1280,Aux_CAV!$A$2:$A$121,1))))</f>
        <v>22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0.154529367146337</v>
      </c>
      <c r="E1281" s="16" t="n">
        <f aca="false">IF(D1281="","",D1281*$B$15)</f>
        <v>0.400540119643306</v>
      </c>
      <c r="F1281" s="16" t="n">
        <f aca="false" t="array" ref="F1281:F1281">IF(D1281="","",IFERROR(INDEX(Dados_Evap!$C$2:$N$15,MATCH($B$9,Dados_Evap!$A$2:$A$15,0),C1281),0))</f>
        <v>282.3</v>
      </c>
      <c r="G1281" s="16" t="n">
        <f aca="false">IF(F1281="","",F1281/1000)</f>
        <v>0.2823</v>
      </c>
      <c r="H1281" s="16" t="n">
        <f aca="false">IF(D1281="","",MAX(0,MIN($B$8,IFERROR(LOOKUP(2,1/($U$24:U1280&lt;&gt;""),$U$24:U1280),$B$11))))</f>
        <v>89.1069149711789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10.4758902553138</v>
      </c>
      <c r="J1281" s="16" t="n">
        <f aca="false">IF(D1281="","",$B$12)</f>
        <v>0.432</v>
      </c>
      <c r="K1281" s="16" t="n">
        <f aca="false">IF(J1281="","",J1281*$B$15)</f>
        <v>1.119744</v>
      </c>
      <c r="L1281" s="16" t="n">
        <f aca="false">IF(D1281="","",H1281+E1281-K1281-G1281*I1281)</f>
        <v>85.4303672717471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10.1860643870502</v>
      </c>
      <c r="N1281" s="16" t="n">
        <f aca="false">IF(D1281="","",(I1281+M1281)/2)</f>
        <v>10.330977321182</v>
      </c>
      <c r="O1281" s="16" t="n">
        <f aca="false">IF(D1281="","",G1281*N1281)</f>
        <v>2.91643489776969</v>
      </c>
      <c r="P1281" s="16" t="n">
        <f aca="false">IF(D1281="","",H1281+E1281-K1281-O1281)</f>
        <v>85.4712761930525</v>
      </c>
      <c r="Q1281" s="16" t="n">
        <f aca="false">IF(D1281="","",IF(P1281&gt;=0,K1281,MAX(0,K1281+P1281)))</f>
        <v>1.119744</v>
      </c>
      <c r="R1281" s="16" t="n">
        <f aca="false">IF(D1281="","",Q1281/$B$15)</f>
        <v>0.432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85.4712761930525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52.7600470327485</v>
      </c>
      <c r="Z1281" s="18" t="n">
        <f aca="false">IF(D1281="","",MAX(0,IF(P1281&gt;=0,P1281,IF(K1281+P1281&gt;=0,0,P1281+K1281))))</f>
        <v>85.4712761930525</v>
      </c>
      <c r="AA1281" s="18" t="n">
        <f aca="false">IF(D1281="","",IF(H1281&lt;=$B$16,1,IF(H1281&gt;=$B$17,$B$21,MATCH(H1281,Aux_CAV!$A$2:$A$121,1))))</f>
        <v>22</v>
      </c>
      <c r="AB1281" s="18" t="n">
        <f aca="false">IF(D1281="","",IF(L1281&lt;=$B$16,1,IF(L1281&gt;=$B$17,$B$21,MATCH(L1281,Aux_CAV!$A$2:$A$121,1))))</f>
        <v>21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0.153865459154614</v>
      </c>
      <c r="E1282" s="16" t="n">
        <f aca="false">IF(D1282="","",D1282*$B$15)</f>
        <v>0.39881927012876</v>
      </c>
      <c r="F1282" s="16" t="n">
        <f aca="false" t="array" ref="F1282:F1282">IF(D1282="","",IFERROR(INDEX(Dados_Evap!$C$2:$N$15,MATCH($B$9,Dados_Evap!$A$2:$A$15,0),C1282),0))</f>
        <v>241.3</v>
      </c>
      <c r="G1282" s="16" t="n">
        <f aca="false">IF(F1282="","",F1282/1000)</f>
        <v>0.2413</v>
      </c>
      <c r="H1282" s="16" t="n">
        <f aca="false">IF(D1282="","",MAX(0,MIN($B$8,IFERROR(LOOKUP(2,1/($U$24:U1281&lt;&gt;""),$U$24:U1281),$B$11))))</f>
        <v>85.4712761930525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10.1895322532237</v>
      </c>
      <c r="J1282" s="16" t="n">
        <f aca="false">IF(D1282="","",$B$12)</f>
        <v>0.432</v>
      </c>
      <c r="K1282" s="16" t="n">
        <f aca="false">IF(J1282="","",J1282*$B$15)</f>
        <v>1.119744</v>
      </c>
      <c r="L1282" s="16" t="n">
        <f aca="false">IF(D1282="","",H1282+E1282-K1282-G1282*I1282)</f>
        <v>82.2916173304784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9.91999125677024</v>
      </c>
      <c r="N1282" s="16" t="n">
        <f aca="false">IF(D1282="","",(I1282+M1282)/2)</f>
        <v>10.0547617549969</v>
      </c>
      <c r="O1282" s="16" t="n">
        <f aca="false">IF(D1282="","",G1282*N1282)</f>
        <v>2.42621401148076</v>
      </c>
      <c r="P1282" s="16" t="n">
        <f aca="false">IF(D1282="","",H1282+E1282-K1282-O1282)</f>
        <v>82.3241374517005</v>
      </c>
      <c r="Q1282" s="16" t="n">
        <f aca="false">IF(D1282="","",IF(P1282&gt;=0,K1282,MAX(0,K1282+P1282)))</f>
        <v>1.119744</v>
      </c>
      <c r="R1282" s="16" t="n">
        <f aca="false">IF(D1282="","",Q1282/$B$15)</f>
        <v>0.432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82.3241374517005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50.817368797346</v>
      </c>
      <c r="Z1282" s="18" t="n">
        <f aca="false">IF(D1282="","",MAX(0,IF(P1282&gt;=0,P1282,IF(K1282+P1282&gt;=0,0,P1282+K1282))))</f>
        <v>82.3241374517005</v>
      </c>
      <c r="AA1282" s="18" t="n">
        <f aca="false">IF(D1282="","",IF(H1282&lt;=$B$16,1,IF(H1282&gt;=$B$17,$B$21,MATCH(H1282,Aux_CAV!$A$2:$A$121,1))))</f>
        <v>21</v>
      </c>
      <c r="AB1282" s="18" t="n">
        <f aca="false">IF(D1282="","",IF(L1282&lt;=$B$16,1,IF(L1282&gt;=$B$17,$B$21,MATCH(L1282,Aux_CAV!$A$2:$A$121,1))))</f>
        <v>21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0.10574358495329</v>
      </c>
      <c r="E1283" s="16" t="n">
        <f aca="false">IF(D1283="","",D1283*$B$15)</f>
        <v>0.274087372198928</v>
      </c>
      <c r="F1283" s="16" t="n">
        <f aca="false" t="array" ref="F1283:F1283">IF(D1283="","",IFERROR(INDEX(Dados_Evap!$C$2:$N$15,MATCH($B$9,Dados_Evap!$A$2:$A$15,0),C1283),0))</f>
        <v>241.8</v>
      </c>
      <c r="G1283" s="16" t="n">
        <f aca="false">IF(F1283="","",F1283/1000)</f>
        <v>0.2418</v>
      </c>
      <c r="H1283" s="16" t="n">
        <f aca="false">IF(D1283="","",MAX(0,MIN($B$8,IFERROR(LOOKUP(2,1/($U$24:U1282&lt;&gt;""),$U$24:U1282),$B$11))))</f>
        <v>82.3241374517005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9.92274800089213</v>
      </c>
      <c r="J1283" s="16" t="n">
        <f aca="false">IF(D1283="","",$B$12)</f>
        <v>0.432</v>
      </c>
      <c r="K1283" s="16" t="n">
        <f aca="false">IF(J1283="","",J1283*$B$15)</f>
        <v>1.119744</v>
      </c>
      <c r="L1283" s="16" t="n">
        <f aca="false">IF(D1283="","",H1283+E1283-K1283-G1283*I1283)</f>
        <v>79.0791603572837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9.64766995091871</v>
      </c>
      <c r="N1283" s="16" t="n">
        <f aca="false">IF(D1283="","",(I1283+M1283)/2)</f>
        <v>9.78520897590542</v>
      </c>
      <c r="O1283" s="16" t="n">
        <f aca="false">IF(D1283="","",G1283*N1283)</f>
        <v>2.36606353037393</v>
      </c>
      <c r="P1283" s="16" t="n">
        <f aca="false">IF(D1283="","",H1283+E1283-K1283-O1283)</f>
        <v>79.1124172935255</v>
      </c>
      <c r="Q1283" s="16" t="n">
        <f aca="false">IF(D1283="","",IF(P1283&gt;=0,K1283,MAX(0,K1283+P1283)))</f>
        <v>1.119744</v>
      </c>
      <c r="R1283" s="16" t="n">
        <f aca="false">IF(D1283="","",Q1283/$B$15)</f>
        <v>0.432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79.1124172935255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48.8348254898306</v>
      </c>
      <c r="Z1283" s="18" t="n">
        <f aca="false">IF(D1283="","",MAX(0,IF(P1283&gt;=0,P1283,IF(K1283+P1283&gt;=0,0,P1283+K1283))))</f>
        <v>79.1124172935255</v>
      </c>
      <c r="AA1283" s="18" t="n">
        <f aca="false">IF(D1283="","",IF(H1283&lt;=$B$16,1,IF(H1283&gt;=$B$17,$B$21,MATCH(H1283,Aux_CAV!$A$2:$A$121,1))))</f>
        <v>21</v>
      </c>
      <c r="AB1283" s="18" t="n">
        <f aca="false">IF(D1283="","",IF(L1283&lt;=$B$16,1,IF(L1283&gt;=$B$17,$B$21,MATCH(L1283,Aux_CAV!$A$2:$A$121,1))))</f>
        <v>21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0.18281631485131</v>
      </c>
      <c r="E1284" s="16" t="n">
        <f aca="false">IF(D1284="","",D1284*$B$15)</f>
        <v>0.473859888094596</v>
      </c>
      <c r="F1284" s="16" t="n">
        <f aca="false" t="array" ref="F1284:F1284">IF(D1284="","",IFERROR(INDEX(Dados_Evap!$C$2:$N$15,MATCH($B$9,Dados_Evap!$A$2:$A$15,0),C1284),0))</f>
        <v>189</v>
      </c>
      <c r="G1284" s="16" t="n">
        <f aca="false">IF(F1284="","",F1284/1000)</f>
        <v>0.189</v>
      </c>
      <c r="H1284" s="16" t="n">
        <f aca="false">IF(D1284="","",MAX(0,MIN($B$8,IFERROR(LOOKUP(2,1/($U$24:U1283&lt;&gt;""),$U$24:U1283),$B$11))))</f>
        <v>79.1124172935255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9.65048915515446</v>
      </c>
      <c r="J1284" s="16" t="n">
        <f aca="false">IF(D1284="","",$B$12)</f>
        <v>0.432</v>
      </c>
      <c r="K1284" s="16" t="n">
        <f aca="false">IF(J1284="","",J1284*$B$15)</f>
        <v>1.119744</v>
      </c>
      <c r="L1284" s="16" t="n">
        <f aca="false">IF(D1284="","",H1284+E1284-K1284-G1284*I1284)</f>
        <v>76.6425907312959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9.44112093629103</v>
      </c>
      <c r="N1284" s="16" t="n">
        <f aca="false">IF(D1284="","",(I1284+M1284)/2)</f>
        <v>9.54580504572274</v>
      </c>
      <c r="O1284" s="16" t="n">
        <f aca="false">IF(D1284="","",G1284*N1284)</f>
        <v>1.8041571536416</v>
      </c>
      <c r="P1284" s="16" t="n">
        <f aca="false">IF(D1284="","",H1284+E1284-K1284-O1284)</f>
        <v>76.6623760279785</v>
      </c>
      <c r="Q1284" s="16" t="n">
        <f aca="false">IF(D1284="","",IF(P1284&gt;=0,K1284,MAX(0,K1284+P1284)))</f>
        <v>1.119744</v>
      </c>
      <c r="R1284" s="16" t="n">
        <f aca="false">IF(D1284="","",Q1284/$B$15)</f>
        <v>0.432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76.6623760279785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47.3224543382583</v>
      </c>
      <c r="Z1284" s="18" t="n">
        <f aca="false">IF(D1284="","",MAX(0,IF(P1284&gt;=0,P1284,IF(K1284+P1284&gt;=0,0,P1284+K1284))))</f>
        <v>76.6623760279785</v>
      </c>
      <c r="AA1284" s="18" t="n">
        <f aca="false">IF(D1284="","",IF(H1284&lt;=$B$16,1,IF(H1284&gt;=$B$17,$B$21,MATCH(H1284,Aux_CAV!$A$2:$A$121,1))))</f>
        <v>21</v>
      </c>
      <c r="AB1284" s="18" t="n">
        <f aca="false">IF(D1284="","",IF(L1284&lt;=$B$16,1,IF(L1284&gt;=$B$17,$B$21,MATCH(L1284,Aux_CAV!$A$2:$A$121,1))))</f>
        <v>21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0.33372991554678</v>
      </c>
      <c r="E1285" s="16" t="n">
        <f aca="false">IF(D1285="","",D1285*$B$15)</f>
        <v>0.865027941097254</v>
      </c>
      <c r="F1285" s="16" t="n">
        <f aca="false" t="array" ref="F1285:F1285">IF(D1285="","",IFERROR(INDEX(Dados_Evap!$C$2:$N$15,MATCH($B$9,Dados_Evap!$A$2:$A$15,0),C1285),0))</f>
        <v>136.9</v>
      </c>
      <c r="G1285" s="16" t="n">
        <f aca="false">IF(F1285="","",F1285/1000)</f>
        <v>0.1369</v>
      </c>
      <c r="H1285" s="16" t="n">
        <f aca="false">IF(D1285="","",MAX(0,MIN($B$8,IFERROR(LOOKUP(2,1/($U$24:U1284&lt;&gt;""),$U$24:U1284),$B$11))))</f>
        <v>76.6623760279785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9.44279814407131</v>
      </c>
      <c r="J1285" s="16" t="n">
        <f aca="false">IF(D1285="","",$B$12)</f>
        <v>0.432</v>
      </c>
      <c r="K1285" s="16" t="n">
        <f aca="false">IF(J1285="","",J1285*$B$15)</f>
        <v>1.119744</v>
      </c>
      <c r="L1285" s="16" t="n">
        <f aca="false">IF(D1285="","",H1285+E1285-K1285-G1285*I1285)</f>
        <v>75.1149409031524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9.3116214287318</v>
      </c>
      <c r="N1285" s="16" t="n">
        <f aca="false">IF(D1285="","",(I1285+M1285)/2)</f>
        <v>9.37720978640156</v>
      </c>
      <c r="O1285" s="16" t="n">
        <f aca="false">IF(D1285="","",G1285*N1285)</f>
        <v>1.28374001975837</v>
      </c>
      <c r="P1285" s="16" t="n">
        <f aca="false">IF(D1285="","",H1285+E1285-K1285-O1285)</f>
        <v>75.1239199493174</v>
      </c>
      <c r="Q1285" s="16" t="n">
        <f aca="false">IF(D1285="","",IF(P1285&gt;=0,K1285,MAX(0,K1285+P1285)))</f>
        <v>1.119744</v>
      </c>
      <c r="R1285" s="16" t="n">
        <f aca="false">IF(D1285="","",Q1285/$B$15)</f>
        <v>0.432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75.1239199493174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46.3727900921712</v>
      </c>
      <c r="Z1285" s="18" t="n">
        <f aca="false">IF(D1285="","",MAX(0,IF(P1285&gt;=0,P1285,IF(K1285+P1285&gt;=0,0,P1285+K1285))))</f>
        <v>75.1239199493174</v>
      </c>
      <c r="AA1285" s="18" t="n">
        <f aca="false">IF(D1285="","",IF(H1285&lt;=$B$16,1,IF(H1285&gt;=$B$17,$B$21,MATCH(H1285,Aux_CAV!$A$2:$A$121,1))))</f>
        <v>21</v>
      </c>
      <c r="AB1285" s="18" t="n">
        <f aca="false">IF(D1285="","",IF(L1285&lt;=$B$16,1,IF(L1285&gt;=$B$17,$B$21,MATCH(L1285,Aux_CAV!$A$2:$A$121,1))))</f>
        <v>21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1.19896073759236</v>
      </c>
      <c r="E1286" s="16" t="n">
        <f aca="false">IF(D1286="","",D1286*$B$15)</f>
        <v>3.1077062318394</v>
      </c>
      <c r="F1286" s="16" t="n">
        <f aca="false" t="array" ref="F1286:F1286">IF(D1286="","",IFERROR(INDEX(Dados_Evap!$C$2:$N$15,MATCH($B$9,Dados_Evap!$A$2:$A$15,0),C1286),0))</f>
        <v>102.9</v>
      </c>
      <c r="G1286" s="16" t="n">
        <f aca="false">IF(F1286="","",F1286/1000)</f>
        <v>0.1029</v>
      </c>
      <c r="H1286" s="16" t="n">
        <f aca="false">IF(D1286="","",MAX(0,MIN($B$8,IFERROR(LOOKUP(2,1/($U$24:U1285&lt;&gt;""),$U$24:U1285),$B$11))))</f>
        <v>75.1239199493174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9.31238258618772</v>
      </c>
      <c r="J1286" s="16" t="n">
        <f aca="false">IF(D1286="","",$B$12)</f>
        <v>0.432</v>
      </c>
      <c r="K1286" s="16" t="n">
        <f aca="false">IF(J1286="","",J1286*$B$15)</f>
        <v>1.119744</v>
      </c>
      <c r="L1286" s="16" t="n">
        <f aca="false">IF(D1286="","",H1286+E1286-K1286-G1286*I1286)</f>
        <v>76.1536380130381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9.39967221220019</v>
      </c>
      <c r="N1286" s="16" t="n">
        <f aca="false">IF(D1286="","",(I1286+M1286)/2)</f>
        <v>9.35602739919396</v>
      </c>
      <c r="O1286" s="16" t="n">
        <f aca="false">IF(D1286="","",G1286*N1286)</f>
        <v>0.962735219377058</v>
      </c>
      <c r="P1286" s="16" t="n">
        <f aca="false">IF(D1286="","",H1286+E1286-K1286-O1286)</f>
        <v>76.1491469617797</v>
      </c>
      <c r="Q1286" s="16" t="n">
        <f aca="false">IF(D1286="","",IF(P1286&gt;=0,K1286,MAX(0,K1286+P1286)))</f>
        <v>1.119744</v>
      </c>
      <c r="R1286" s="16" t="n">
        <f aca="false">IF(D1286="","",Q1286/$B$15)</f>
        <v>0.432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76.1491469617797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47.0056462727035</v>
      </c>
      <c r="Z1286" s="18" t="n">
        <f aca="false">IF(D1286="","",MAX(0,IF(P1286&gt;=0,P1286,IF(K1286+P1286&gt;=0,0,P1286+K1286))))</f>
        <v>76.1491469617797</v>
      </c>
      <c r="AA1286" s="18" t="n">
        <f aca="false">IF(D1286="","",IF(H1286&lt;=$B$16,1,IF(H1286&gt;=$B$17,$B$21,MATCH(H1286,Aux_CAV!$A$2:$A$121,1))))</f>
        <v>21</v>
      </c>
      <c r="AB1286" s="18" t="n">
        <f aca="false">IF(D1286="","",IF(L1286&lt;=$B$16,1,IF(L1286&gt;=$B$17,$B$21,MATCH(L1286,Aux_CAV!$A$2:$A$121,1))))</f>
        <v>21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1.34329328605847</v>
      </c>
      <c r="E1287" s="16" t="n">
        <f aca="false">IF(D1287="","",D1287*$B$15)</f>
        <v>3.48181619746355</v>
      </c>
      <c r="F1287" s="16" t="n">
        <f aca="false" t="array" ref="F1287:F1287">IF(D1287="","",IFERROR(INDEX(Dados_Evap!$C$2:$N$15,MATCH($B$9,Dados_Evap!$A$2:$A$15,0),C1287),0))</f>
        <v>81.8</v>
      </c>
      <c r="G1287" s="16" t="n">
        <f aca="false">IF(F1287="","",F1287/1000)</f>
        <v>0.0818</v>
      </c>
      <c r="H1287" s="16" t="n">
        <f aca="false">IF(D1287="","",MAX(0,MIN($B$8,IFERROR(LOOKUP(2,1/($U$24:U1286&lt;&gt;""),$U$24:U1286),$B$11))))</f>
        <v>76.1491469617797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9.39929150392814</v>
      </c>
      <c r="J1287" s="16" t="n">
        <f aca="false">IF(D1287="","",$B$12)</f>
        <v>0.432</v>
      </c>
      <c r="K1287" s="16" t="n">
        <f aca="false">IF(J1287="","",J1287*$B$15)</f>
        <v>1.119744</v>
      </c>
      <c r="L1287" s="16" t="n">
        <f aca="false">IF(D1287="","",H1287+E1287-K1287-G1287*I1287)</f>
        <v>77.742357114222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9.53434858728497</v>
      </c>
      <c r="N1287" s="16" t="n">
        <f aca="false">IF(D1287="","",(I1287+M1287)/2)</f>
        <v>9.46682004560656</v>
      </c>
      <c r="O1287" s="16" t="n">
        <f aca="false">IF(D1287="","",G1287*N1287)</f>
        <v>0.774385879730616</v>
      </c>
      <c r="P1287" s="16" t="n">
        <f aca="false">IF(D1287="","",H1287+E1287-K1287-O1287)</f>
        <v>77.7368332795127</v>
      </c>
      <c r="Q1287" s="16" t="n">
        <f aca="false">IF(D1287="","",IF(P1287&gt;=0,K1287,MAX(0,K1287+P1287)))</f>
        <v>1.119744</v>
      </c>
      <c r="R1287" s="16" t="n">
        <f aca="false">IF(D1287="","",Q1287/$B$15)</f>
        <v>0.432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77.7368332795127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47.9856995552547</v>
      </c>
      <c r="Z1287" s="18" t="n">
        <f aca="false">IF(D1287="","",MAX(0,IF(P1287&gt;=0,P1287,IF(K1287+P1287&gt;=0,0,P1287+K1287))))</f>
        <v>77.7368332795127</v>
      </c>
      <c r="AA1287" s="18" t="n">
        <f aca="false">IF(D1287="","",IF(H1287&lt;=$B$16,1,IF(H1287&gt;=$B$17,$B$21,MATCH(H1287,Aux_CAV!$A$2:$A$121,1))))</f>
        <v>21</v>
      </c>
      <c r="AB1287" s="18" t="n">
        <f aca="false">IF(D1287="","",IF(L1287&lt;=$B$16,1,IF(L1287&gt;=$B$17,$B$21,MATCH(L1287,Aux_CAV!$A$2:$A$121,1))))</f>
        <v>21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0.68289048061305</v>
      </c>
      <c r="E1288" s="16" t="n">
        <f aca="false">IF(D1288="","",D1288*$B$15)</f>
        <v>1.77005212574903</v>
      </c>
      <c r="F1288" s="16" t="n">
        <f aca="false" t="array" ref="F1288:F1288">IF(D1288="","",IFERROR(INDEX(Dados_Evap!$C$2:$N$15,MATCH($B$9,Dados_Evap!$A$2:$A$15,0),C1288),0))</f>
        <v>83.6</v>
      </c>
      <c r="G1288" s="16" t="n">
        <f aca="false">IF(F1288="","",F1288/1000)</f>
        <v>0.0836</v>
      </c>
      <c r="H1288" s="16" t="n">
        <f aca="false">IF(D1288="","",MAX(0,MIN($B$8,IFERROR(LOOKUP(2,1/($U$24:U1287&lt;&gt;""),$U$24:U1287),$B$11))))</f>
        <v>77.7368332795127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9.53388032953276</v>
      </c>
      <c r="J1288" s="16" t="n">
        <f aca="false">IF(D1288="","",$B$12)</f>
        <v>0.432</v>
      </c>
      <c r="K1288" s="16" t="n">
        <f aca="false">IF(J1288="","",J1288*$B$15)</f>
        <v>1.119744</v>
      </c>
      <c r="L1288" s="16" t="n">
        <f aca="false">IF(D1288="","",H1288+E1288-K1288-G1288*I1288)</f>
        <v>77.5901090097128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9.52144245251669</v>
      </c>
      <c r="N1288" s="16" t="n">
        <f aca="false">IF(D1288="","",(I1288+M1288)/2)</f>
        <v>9.52766139102472</v>
      </c>
      <c r="O1288" s="16" t="n">
        <f aca="false">IF(D1288="","",G1288*N1288)</f>
        <v>0.796512492289667</v>
      </c>
      <c r="P1288" s="16" t="n">
        <f aca="false">IF(D1288="","",H1288+E1288-K1288-O1288)</f>
        <v>77.5906289129721</v>
      </c>
      <c r="Q1288" s="16" t="n">
        <f aca="false">IF(D1288="","",IF(P1288&gt;=0,K1288,MAX(0,K1288+P1288)))</f>
        <v>1.119744</v>
      </c>
      <c r="R1288" s="16" t="n">
        <f aca="false">IF(D1288="","",Q1288/$B$15)</f>
        <v>0.432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77.5906289129721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47.895449946279</v>
      </c>
      <c r="Z1288" s="18" t="n">
        <f aca="false">IF(D1288="","",MAX(0,IF(P1288&gt;=0,P1288,IF(K1288+P1288&gt;=0,0,P1288+K1288))))</f>
        <v>77.5906289129721</v>
      </c>
      <c r="AA1288" s="18" t="n">
        <f aca="false">IF(D1288="","",IF(H1288&lt;=$B$16,1,IF(H1288&gt;=$B$17,$B$21,MATCH(H1288,Aux_CAV!$A$2:$A$121,1))))</f>
        <v>21</v>
      </c>
      <c r="AB1288" s="18" t="n">
        <f aca="false">IF(D1288="","",IF(L1288&lt;=$B$16,1,IF(L1288&gt;=$B$17,$B$21,MATCH(L1288,Aux_CAV!$A$2:$A$121,1))))</f>
        <v>21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1.04898607966026</v>
      </c>
      <c r="E1289" s="16" t="n">
        <f aca="false">IF(D1289="","",D1289*$B$15)</f>
        <v>2.71897191847939</v>
      </c>
      <c r="F1289" s="16" t="n">
        <f aca="false" t="array" ref="F1289:F1289">IF(D1289="","",IFERROR(INDEX(Dados_Evap!$C$2:$N$15,MATCH($B$9,Dados_Evap!$A$2:$A$15,0),C1289),0))</f>
        <v>108.2</v>
      </c>
      <c r="G1289" s="16" t="n">
        <f aca="false">IF(F1289="","",F1289/1000)</f>
        <v>0.1082</v>
      </c>
      <c r="H1289" s="16" t="n">
        <f aca="false">IF(D1289="","",MAX(0,MIN($B$8,IFERROR(LOOKUP(2,1/($U$24:U1288&lt;&gt;""),$U$24:U1288),$B$11))))</f>
        <v>77.5906289129721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9.52148652493094</v>
      </c>
      <c r="J1289" s="16" t="n">
        <f aca="false">IF(D1289="","",$B$12)</f>
        <v>0.432</v>
      </c>
      <c r="K1289" s="16" t="n">
        <f aca="false">IF(J1289="","",J1289*$B$15)</f>
        <v>1.119744</v>
      </c>
      <c r="L1289" s="16" t="n">
        <f aca="false">IF(D1289="","",H1289+E1289-K1289-G1289*I1289)</f>
        <v>78.1596319894539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9.56972115098633</v>
      </c>
      <c r="N1289" s="16" t="n">
        <f aca="false">IF(D1289="","",(I1289+M1289)/2)</f>
        <v>9.54560383795863</v>
      </c>
      <c r="O1289" s="16" t="n">
        <f aca="false">IF(D1289="","",G1289*N1289)</f>
        <v>1.03283433526712</v>
      </c>
      <c r="P1289" s="16" t="n">
        <f aca="false">IF(D1289="","",H1289+E1289-K1289-O1289)</f>
        <v>78.1570224961843</v>
      </c>
      <c r="Q1289" s="16" t="n">
        <f aca="false">IF(D1289="","",IF(P1289&gt;=0,K1289,MAX(0,K1289+P1289)))</f>
        <v>1.119744</v>
      </c>
      <c r="R1289" s="16" t="n">
        <f aca="false">IF(D1289="","",Q1289/$B$15)</f>
        <v>0.432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78.1570224961843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48.2450756149286</v>
      </c>
      <c r="Z1289" s="18" t="n">
        <f aca="false">IF(D1289="","",MAX(0,IF(P1289&gt;=0,P1289,IF(K1289+P1289&gt;=0,0,P1289+K1289))))</f>
        <v>78.1570224961843</v>
      </c>
      <c r="AA1289" s="18" t="n">
        <f aca="false">IF(D1289="","",IF(H1289&lt;=$B$16,1,IF(H1289&gt;=$B$17,$B$21,MATCH(H1289,Aux_CAV!$A$2:$A$121,1))))</f>
        <v>21</v>
      </c>
      <c r="AB1289" s="18" t="n">
        <f aca="false">IF(D1289="","",IF(L1289&lt;=$B$16,1,IF(L1289&gt;=$B$17,$B$21,MATCH(L1289,Aux_CAV!$A$2:$A$121,1))))</f>
        <v>21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2.75762761475092</v>
      </c>
      <c r="E1290" s="16" t="n">
        <f aca="false">IF(D1290="","",D1290*$B$15)</f>
        <v>7.14777077743439</v>
      </c>
      <c r="F1290" s="16" t="n">
        <f aca="false" t="array" ref="F1290:F1290">IF(D1290="","",IFERROR(INDEX(Dados_Evap!$C$2:$N$15,MATCH($B$9,Dados_Evap!$A$2:$A$15,0),C1290),0))</f>
        <v>149</v>
      </c>
      <c r="G1290" s="16" t="n">
        <f aca="false">IF(F1290="","",F1290/1000)</f>
        <v>0.149</v>
      </c>
      <c r="H1290" s="16" t="n">
        <f aca="false">IF(D1290="","",MAX(0,MIN($B$8,IFERROR(LOOKUP(2,1/($U$24:U1289&lt;&gt;""),$U$24:U1289),$B$11))))</f>
        <v>78.1570224961843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9.56949994316294</v>
      </c>
      <c r="J1290" s="16" t="n">
        <f aca="false">IF(D1290="","",$B$12)</f>
        <v>0.432</v>
      </c>
      <c r="K1290" s="16" t="n">
        <f aca="false">IF(J1290="","",J1290*$B$15)</f>
        <v>1.119744</v>
      </c>
      <c r="L1290" s="16" t="n">
        <f aca="false">IF(D1290="","",H1290+E1290-K1290-G1290*I1290)</f>
        <v>82.7591937820874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9.95962790589896</v>
      </c>
      <c r="N1290" s="16" t="n">
        <f aca="false">IF(D1290="","",(I1290+M1290)/2)</f>
        <v>9.76456392453095</v>
      </c>
      <c r="O1290" s="16" t="n">
        <f aca="false">IF(D1290="","",G1290*N1290)</f>
        <v>1.45492002475511</v>
      </c>
      <c r="P1290" s="16" t="n">
        <f aca="false">IF(D1290="","",H1290+E1290-K1290-O1290)</f>
        <v>82.7301292488636</v>
      </c>
      <c r="Q1290" s="16" t="n">
        <f aca="false">IF(D1290="","",IF(P1290&gt;=0,K1290,MAX(0,K1290+P1290)))</f>
        <v>1.119744</v>
      </c>
      <c r="R1290" s="16" t="n">
        <f aca="false">IF(D1290="","",Q1290/$B$15)</f>
        <v>0.432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82.7301292488636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51.0679810178171</v>
      </c>
      <c r="Z1290" s="18" t="n">
        <f aca="false">IF(D1290="","",MAX(0,IF(P1290&gt;=0,P1290,IF(K1290+P1290&gt;=0,0,P1290+K1290))))</f>
        <v>82.7301292488636</v>
      </c>
      <c r="AA1290" s="18" t="n">
        <f aca="false">IF(D1290="","",IF(H1290&lt;=$B$16,1,IF(H1290&gt;=$B$17,$B$21,MATCH(H1290,Aux_CAV!$A$2:$A$121,1))))</f>
        <v>21</v>
      </c>
      <c r="AB1290" s="18" t="n">
        <f aca="false">IF(D1290="","",IF(L1290&lt;=$B$16,1,IF(L1290&gt;=$B$17,$B$21,MATCH(L1290,Aux_CAV!$A$2:$A$121,1))))</f>
        <v>21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0.119062247823604</v>
      </c>
      <c r="E1291" s="16" t="n">
        <f aca="false">IF(D1291="","",D1291*$B$15)</f>
        <v>0.308609346358782</v>
      </c>
      <c r="F1291" s="16" t="n">
        <f aca="false" t="array" ref="F1291:F1291">IF(D1291="","",IFERROR(INDEX(Dados_Evap!$C$2:$N$15,MATCH($B$9,Dados_Evap!$A$2:$A$15,0),C1291),0))</f>
        <v>206.8</v>
      </c>
      <c r="G1291" s="16" t="n">
        <f aca="false">IF(F1291="","",F1291/1000)</f>
        <v>0.2068</v>
      </c>
      <c r="H1291" s="16" t="n">
        <f aca="false">IF(D1291="","",MAX(0,MIN($B$8,IFERROR(LOOKUP(2,1/($U$24:U1290&lt;&gt;""),$U$24:U1290),$B$11))))</f>
        <v>82.7301292488636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9.95716409340045</v>
      </c>
      <c r="J1291" s="16" t="n">
        <f aca="false">IF(D1291="","",$B$12)</f>
        <v>0.432</v>
      </c>
      <c r="K1291" s="16" t="n">
        <f aca="false">IF(J1291="","",J1291*$B$15)</f>
        <v>1.119744</v>
      </c>
      <c r="L1291" s="16" t="n">
        <f aca="false">IF(D1291="","",H1291+E1291-K1291-G1291*I1291)</f>
        <v>79.8598530607072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9.71384959417589</v>
      </c>
      <c r="N1291" s="16" t="n">
        <f aca="false">IF(D1291="","",(I1291+M1291)/2)</f>
        <v>9.83550684378817</v>
      </c>
      <c r="O1291" s="16" t="n">
        <f aca="false">IF(D1291="","",G1291*N1291)</f>
        <v>2.03398281529539</v>
      </c>
      <c r="P1291" s="16" t="n">
        <f aca="false">IF(D1291="","",H1291+E1291-K1291-O1291)</f>
        <v>79.885011779927</v>
      </c>
      <c r="Q1291" s="16" t="n">
        <f aca="false">IF(D1291="","",IF(P1291&gt;=0,K1291,MAX(0,K1291+P1291)))</f>
        <v>1.119744</v>
      </c>
      <c r="R1291" s="16" t="n">
        <f aca="false">IF(D1291="","",Q1291/$B$15)</f>
        <v>0.432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79.885011779927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49.3117356666216</v>
      </c>
      <c r="Z1291" s="18" t="n">
        <f aca="false">IF(D1291="","",MAX(0,IF(P1291&gt;=0,P1291,IF(K1291+P1291&gt;=0,0,P1291+K1291))))</f>
        <v>79.885011779927</v>
      </c>
      <c r="AA1291" s="18" t="n">
        <f aca="false">IF(D1291="","",IF(H1291&lt;=$B$16,1,IF(H1291&gt;=$B$17,$B$21,MATCH(H1291,Aux_CAV!$A$2:$A$121,1))))</f>
        <v>21</v>
      </c>
      <c r="AB1291" s="18" t="n">
        <f aca="false">IF(D1291="","",IF(L1291&lt;=$B$16,1,IF(L1291&gt;=$B$17,$B$21,MATCH(L1291,Aux_CAV!$A$2:$A$121,1))))</f>
        <v>21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0.164463839394187</v>
      </c>
      <c r="E1292" s="16" t="n">
        <f aca="false">IF(D1292="","",D1292*$B$15)</f>
        <v>0.426290271709733</v>
      </c>
      <c r="F1292" s="16" t="n">
        <f aca="false" t="array" ref="F1292:F1292">IF(D1292="","",IFERROR(INDEX(Dados_Evap!$C$2:$N$15,MATCH($B$9,Dados_Evap!$A$2:$A$15,0),C1292),0))</f>
        <v>245.9</v>
      </c>
      <c r="G1292" s="16" t="n">
        <f aca="false">IF(F1292="","",F1292/1000)</f>
        <v>0.2459</v>
      </c>
      <c r="H1292" s="16" t="n">
        <f aca="false">IF(D1292="","",MAX(0,MIN($B$8,IFERROR(LOOKUP(2,1/($U$24:U1291&lt;&gt;""),$U$24:U1291),$B$11))))</f>
        <v>79.885011779927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9.71598230920636</v>
      </c>
      <c r="J1292" s="16" t="n">
        <f aca="false">IF(D1292="","",$B$12)</f>
        <v>0.432</v>
      </c>
      <c r="K1292" s="16" t="n">
        <f aca="false">IF(J1292="","",J1292*$B$15)</f>
        <v>1.119744</v>
      </c>
      <c r="L1292" s="16" t="n">
        <f aca="false">IF(D1292="","",H1292+E1292-K1292-G1292*I1292)</f>
        <v>76.8023980018029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9.45466786468639</v>
      </c>
      <c r="N1292" s="16" t="n">
        <f aca="false">IF(D1292="","",(I1292+M1292)/2)</f>
        <v>9.58532508694637</v>
      </c>
      <c r="O1292" s="16" t="n">
        <f aca="false">IF(D1292="","",G1292*N1292)</f>
        <v>2.35703143888011</v>
      </c>
      <c r="P1292" s="16" t="n">
        <f aca="false">IF(D1292="","",H1292+E1292-K1292-O1292)</f>
        <v>76.8345266127566</v>
      </c>
      <c r="Q1292" s="16" t="n">
        <f aca="false">IF(D1292="","",IF(P1292&gt;=0,K1292,MAX(0,K1292+P1292)))</f>
        <v>1.119744</v>
      </c>
      <c r="R1292" s="16" t="n">
        <f aca="false">IF(D1292="","",Q1292/$B$15)</f>
        <v>0.432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76.8345266127566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47.4287201313313</v>
      </c>
      <c r="Z1292" s="18" t="n">
        <f aca="false">IF(D1292="","",MAX(0,IF(P1292&gt;=0,P1292,IF(K1292+P1292&gt;=0,0,P1292+K1292))))</f>
        <v>76.8345266127566</v>
      </c>
      <c r="AA1292" s="18" t="n">
        <f aca="false">IF(D1292="","",IF(H1292&lt;=$B$16,1,IF(H1292&gt;=$B$17,$B$21,MATCH(H1292,Aux_CAV!$A$2:$A$121,1))))</f>
        <v>21</v>
      </c>
      <c r="AB1292" s="18" t="n">
        <f aca="false">IF(D1292="","",IF(L1292&lt;=$B$16,1,IF(L1292&gt;=$B$17,$B$21,MATCH(L1292,Aux_CAV!$A$2:$A$121,1))))</f>
        <v>21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0.128286471091866</v>
      </c>
      <c r="E1293" s="16" t="n">
        <f aca="false">IF(D1293="","",D1293*$B$15)</f>
        <v>0.332518533070117</v>
      </c>
      <c r="F1293" s="16" t="n">
        <f aca="false" t="array" ref="F1293:F1293">IF(D1293="","",IFERROR(INDEX(Dados_Evap!$C$2:$N$15,MATCH($B$9,Dados_Evap!$A$2:$A$15,0),C1293),0))</f>
        <v>282.3</v>
      </c>
      <c r="G1293" s="16" t="n">
        <f aca="false">IF(F1293="","",F1293/1000)</f>
        <v>0.2823</v>
      </c>
      <c r="H1293" s="16" t="n">
        <f aca="false">IF(D1293="","",MAX(0,MIN($B$8,IFERROR(LOOKUP(2,1/($U$24:U1292&lt;&gt;""),$U$24:U1292),$B$11))))</f>
        <v>76.8345266127566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9.45739142032094</v>
      </c>
      <c r="J1293" s="16" t="n">
        <f aca="false">IF(D1293="","",$B$12)</f>
        <v>0.432</v>
      </c>
      <c r="K1293" s="16" t="n">
        <f aca="false">IF(J1293="","",J1293*$B$15)</f>
        <v>1.119744</v>
      </c>
      <c r="L1293" s="16" t="n">
        <f aca="false">IF(D1293="","",H1293+E1293-K1293-G1293*I1293)</f>
        <v>73.3774795478701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9.16433611126761</v>
      </c>
      <c r="N1293" s="16" t="n">
        <f aca="false">IF(D1293="","",(I1293+M1293)/2)</f>
        <v>9.31086376579428</v>
      </c>
      <c r="O1293" s="16" t="n">
        <f aca="false">IF(D1293="","",G1293*N1293)</f>
        <v>2.62845684108372</v>
      </c>
      <c r="P1293" s="16" t="n">
        <f aca="false">IF(D1293="","",H1293+E1293-K1293-O1293)</f>
        <v>73.418844304743</v>
      </c>
      <c r="Q1293" s="16" t="n">
        <f aca="false">IF(D1293="","",IF(P1293&gt;=0,K1293,MAX(0,K1293+P1293)))</f>
        <v>1.119744</v>
      </c>
      <c r="R1293" s="16" t="n">
        <f aca="false">IF(D1293="","",Q1293/$B$15)</f>
        <v>0.432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73.418844304743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45.3202742621871</v>
      </c>
      <c r="Z1293" s="18" t="n">
        <f aca="false">IF(D1293="","",MAX(0,IF(P1293&gt;=0,P1293,IF(K1293+P1293&gt;=0,0,P1293+K1293))))</f>
        <v>73.418844304743</v>
      </c>
      <c r="AA1293" s="18" t="n">
        <f aca="false">IF(D1293="","",IF(H1293&lt;=$B$16,1,IF(H1293&gt;=$B$17,$B$21,MATCH(H1293,Aux_CAV!$A$2:$A$121,1))))</f>
        <v>21</v>
      </c>
      <c r="AB1293" s="18" t="n">
        <f aca="false">IF(D1293="","",IF(L1293&lt;=$B$16,1,IF(L1293&gt;=$B$17,$B$21,MATCH(L1293,Aux_CAV!$A$2:$A$121,1))))</f>
        <v>21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0.119378653646084</v>
      </c>
      <c r="E1294" s="16" t="n">
        <f aca="false">IF(D1294="","",D1294*$B$15)</f>
        <v>0.30942947025065</v>
      </c>
      <c r="F1294" s="16" t="n">
        <f aca="false" t="array" ref="F1294:F1294">IF(D1294="","",IFERROR(INDEX(Dados_Evap!$C$2:$N$15,MATCH($B$9,Dados_Evap!$A$2:$A$15,0),C1294),0))</f>
        <v>241.3</v>
      </c>
      <c r="G1294" s="16" t="n">
        <f aca="false">IF(F1294="","",F1294/1000)</f>
        <v>0.2413</v>
      </c>
      <c r="H1294" s="16" t="n">
        <f aca="false">IF(D1294="","",MAX(0,MIN($B$8,IFERROR(LOOKUP(2,1/($U$24:U1293&lt;&gt;""),$U$24:U1293),$B$11))))</f>
        <v>73.418844304743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9.16784261881054</v>
      </c>
      <c r="J1294" s="16" t="n">
        <f aca="false">IF(D1294="","",$B$12)</f>
        <v>0.432</v>
      </c>
      <c r="K1294" s="16" t="n">
        <f aca="false">IF(J1294="","",J1294*$B$15)</f>
        <v>1.119744</v>
      </c>
      <c r="L1294" s="16" t="n">
        <f aca="false">IF(D1294="","",H1294+E1294-K1294-G1294*I1294)</f>
        <v>70.3963293510747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8.91162277648836</v>
      </c>
      <c r="N1294" s="16" t="n">
        <f aca="false">IF(D1294="","",(I1294+M1294)/2)</f>
        <v>9.03973269764945</v>
      </c>
      <c r="O1294" s="16" t="n">
        <f aca="false">IF(D1294="","",G1294*N1294)</f>
        <v>2.18128749994281</v>
      </c>
      <c r="P1294" s="16" t="n">
        <f aca="false">IF(D1294="","",H1294+E1294-K1294-O1294)</f>
        <v>70.4272422750509</v>
      </c>
      <c r="Q1294" s="16" t="n">
        <f aca="false">IF(D1294="","",IF(P1294&gt;=0,K1294,MAX(0,K1294+P1294)))</f>
        <v>1.119744</v>
      </c>
      <c r="R1294" s="16" t="n">
        <f aca="false">IF(D1294="","",Q1294/$B$15)</f>
        <v>0.432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70.4272422750509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43.473606342624</v>
      </c>
      <c r="Z1294" s="18" t="n">
        <f aca="false">IF(D1294="","",MAX(0,IF(P1294&gt;=0,P1294,IF(K1294+P1294&gt;=0,0,P1294+K1294))))</f>
        <v>70.4272422750509</v>
      </c>
      <c r="AA1294" s="18" t="n">
        <f aca="false">IF(D1294="","",IF(H1294&lt;=$B$16,1,IF(H1294&gt;=$B$17,$B$21,MATCH(H1294,Aux_CAV!$A$2:$A$121,1))))</f>
        <v>21</v>
      </c>
      <c r="AB1294" s="18" t="n">
        <f aca="false">IF(D1294="","",IF(L1294&lt;=$B$16,1,IF(L1294&gt;=$B$17,$B$21,MATCH(L1294,Aux_CAV!$A$2:$A$121,1))))</f>
        <v>21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0.194033995526337</v>
      </c>
      <c r="E1295" s="16" t="n">
        <f aca="false">IF(D1295="","",D1295*$B$15)</f>
        <v>0.502936116404266</v>
      </c>
      <c r="F1295" s="16" t="n">
        <f aca="false" t="array" ref="F1295:F1295">IF(D1295="","",IFERROR(INDEX(Dados_Evap!$C$2:$N$15,MATCH($B$9,Dados_Evap!$A$2:$A$15,0),C1295),0))</f>
        <v>241.8</v>
      </c>
      <c r="G1295" s="16" t="n">
        <f aca="false">IF(F1295="","",F1295/1000)</f>
        <v>0.2418</v>
      </c>
      <c r="H1295" s="16" t="n">
        <f aca="false">IF(D1295="","",MAX(0,MIN($B$8,IFERROR(LOOKUP(2,1/($U$24:U1294&lt;&gt;""),$U$24:U1294),$B$11))))</f>
        <v>70.4272422750509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8.91424327783519</v>
      </c>
      <c r="J1295" s="16" t="n">
        <f aca="false">IF(D1295="","",$B$12)</f>
        <v>0.432</v>
      </c>
      <c r="K1295" s="16" t="n">
        <f aca="false">IF(J1295="","",J1295*$B$15)</f>
        <v>1.119744</v>
      </c>
      <c r="L1295" s="16" t="n">
        <f aca="false">IF(D1295="","",H1295+E1295-K1295-G1295*I1295)</f>
        <v>67.6549703668746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8.67923664194574</v>
      </c>
      <c r="N1295" s="16" t="n">
        <f aca="false">IF(D1295="","",(I1295+M1295)/2)</f>
        <v>8.79673995989046</v>
      </c>
      <c r="O1295" s="16" t="n">
        <f aca="false">IF(D1295="","",G1295*N1295)</f>
        <v>2.12705172230151</v>
      </c>
      <c r="P1295" s="16" t="n">
        <f aca="false">IF(D1295="","",H1295+E1295-K1295-O1295)</f>
        <v>67.6833826691536</v>
      </c>
      <c r="Q1295" s="16" t="n">
        <f aca="false">IF(D1295="","",IF(P1295&gt;=0,K1295,MAX(0,K1295+P1295)))</f>
        <v>1.119744</v>
      </c>
      <c r="R1295" s="16" t="n">
        <f aca="false">IF(D1295="","",Q1295/$B$15)</f>
        <v>0.432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67.6833826691536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41.7798658451566</v>
      </c>
      <c r="Z1295" s="18" t="n">
        <f aca="false">IF(D1295="","",MAX(0,IF(P1295&gt;=0,P1295,IF(K1295+P1295&gt;=0,0,P1295+K1295))))</f>
        <v>67.6833826691536</v>
      </c>
      <c r="AA1295" s="18" t="n">
        <f aca="false">IF(D1295="","",IF(H1295&lt;=$B$16,1,IF(H1295&gt;=$B$17,$B$21,MATCH(H1295,Aux_CAV!$A$2:$A$121,1))))</f>
        <v>21</v>
      </c>
      <c r="AB1295" s="18" t="n">
        <f aca="false">IF(D1295="","",IF(L1295&lt;=$B$16,1,IF(L1295&gt;=$B$17,$B$21,MATCH(L1295,Aux_CAV!$A$2:$A$121,1))))</f>
        <v>21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0.837440347954542</v>
      </c>
      <c r="E1296" s="16" t="n">
        <f aca="false">IF(D1296="","",D1296*$B$15)</f>
        <v>2.17064538189817</v>
      </c>
      <c r="F1296" s="16" t="n">
        <f aca="false" t="array" ref="F1296:F1296">IF(D1296="","",IFERROR(INDEX(Dados_Evap!$C$2:$N$15,MATCH($B$9,Dados_Evap!$A$2:$A$15,0),C1296),0))</f>
        <v>189</v>
      </c>
      <c r="G1296" s="16" t="n">
        <f aca="false">IF(F1296="","",F1296/1000)</f>
        <v>0.189</v>
      </c>
      <c r="H1296" s="16" t="n">
        <f aca="false">IF(D1296="","",MAX(0,MIN($B$8,IFERROR(LOOKUP(2,1/($U$24:U1295&lt;&gt;""),$U$24:U1295),$B$11))))</f>
        <v>67.6833826691536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8.68164516455738</v>
      </c>
      <c r="J1296" s="16" t="n">
        <f aca="false">IF(D1296="","",$B$12)</f>
        <v>0.432</v>
      </c>
      <c r="K1296" s="16" t="n">
        <f aca="false">IF(J1296="","",J1296*$B$15)</f>
        <v>1.119744</v>
      </c>
      <c r="L1296" s="16" t="n">
        <f aca="false">IF(D1296="","",H1296+E1296-K1296-G1296*I1296)</f>
        <v>67.0934531149505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8.63163659233322</v>
      </c>
      <c r="N1296" s="16" t="n">
        <f aca="false">IF(D1296="","",(I1296+M1296)/2)</f>
        <v>8.6566408784453</v>
      </c>
      <c r="O1296" s="16" t="n">
        <f aca="false">IF(D1296="","",G1296*N1296)</f>
        <v>1.63610512602616</v>
      </c>
      <c r="P1296" s="16" t="n">
        <f aca="false">IF(D1296="","",H1296+E1296-K1296-O1296)</f>
        <v>67.0981789250256</v>
      </c>
      <c r="Q1296" s="16" t="n">
        <f aca="false">IF(D1296="","",IF(P1296&gt;=0,K1296,MAX(0,K1296+P1296)))</f>
        <v>1.119744</v>
      </c>
      <c r="R1296" s="16" t="n">
        <f aca="false">IF(D1296="","",Q1296/$B$15)</f>
        <v>0.432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67.0981789250256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41.4186289660652</v>
      </c>
      <c r="Z1296" s="18" t="n">
        <f aca="false">IF(D1296="","",MAX(0,IF(P1296&gt;=0,P1296,IF(K1296+P1296&gt;=0,0,P1296+K1296))))</f>
        <v>67.0981789250256</v>
      </c>
      <c r="AA1296" s="18" t="n">
        <f aca="false">IF(D1296="","",IF(H1296&lt;=$B$16,1,IF(H1296&gt;=$B$17,$B$21,MATCH(H1296,Aux_CAV!$A$2:$A$121,1))))</f>
        <v>21</v>
      </c>
      <c r="AB1296" s="18" t="n">
        <f aca="false">IF(D1296="","",IF(L1296&lt;=$B$16,1,IF(L1296&gt;=$B$17,$B$21,MATCH(L1296,Aux_CAV!$A$2:$A$121,1))))</f>
        <v>21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0.582958581999034</v>
      </c>
      <c r="E1297" s="16" t="n">
        <f aca="false">IF(D1297="","",D1297*$B$15)</f>
        <v>1.5110286445415</v>
      </c>
      <c r="F1297" s="16" t="n">
        <f aca="false" t="array" ref="F1297:F1297">IF(D1297="","",IFERROR(INDEX(Dados_Evap!$C$2:$N$15,MATCH($B$9,Dados_Evap!$A$2:$A$15,0),C1297),0))</f>
        <v>136.9</v>
      </c>
      <c r="G1297" s="16" t="n">
        <f aca="false">IF(F1297="","",F1297/1000)</f>
        <v>0.1369</v>
      </c>
      <c r="H1297" s="16" t="n">
        <f aca="false">IF(D1297="","",MAX(0,MIN($B$8,IFERROR(LOOKUP(2,1/($U$24:U1296&lt;&gt;""),$U$24:U1296),$B$11))))</f>
        <v>67.0981789250256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8.63203720120724</v>
      </c>
      <c r="J1297" s="16" t="n">
        <f aca="false">IF(D1297="","",$B$12)</f>
        <v>0.432</v>
      </c>
      <c r="K1297" s="16" t="n">
        <f aca="false">IF(J1297="","",J1297*$B$15)</f>
        <v>1.119744</v>
      </c>
      <c r="L1297" s="16" t="n">
        <f aca="false">IF(D1297="","",H1297+E1297-K1297-G1297*I1297)</f>
        <v>66.3077376767219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8.5650311697699</v>
      </c>
      <c r="N1297" s="16" t="n">
        <f aca="false">IF(D1297="","",(I1297+M1297)/2)</f>
        <v>8.59853418548857</v>
      </c>
      <c r="O1297" s="16" t="n">
        <f aca="false">IF(D1297="","",G1297*N1297)</f>
        <v>1.17713932999339</v>
      </c>
      <c r="P1297" s="16" t="n">
        <f aca="false">IF(D1297="","",H1297+E1297-K1297-O1297)</f>
        <v>66.3123242395737</v>
      </c>
      <c r="Q1297" s="16" t="n">
        <f aca="false">IF(D1297="","",IF(P1297&gt;=0,K1297,MAX(0,K1297+P1297)))</f>
        <v>1.119744</v>
      </c>
      <c r="R1297" s="16" t="n">
        <f aca="false">IF(D1297="","",Q1297/$B$15)</f>
        <v>0.432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66.3123242395737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40.9335334812184</v>
      </c>
      <c r="Z1297" s="18" t="n">
        <f aca="false">IF(D1297="","",MAX(0,IF(P1297&gt;=0,P1297,IF(K1297+P1297&gt;=0,0,P1297+K1297))))</f>
        <v>66.3123242395737</v>
      </c>
      <c r="AA1297" s="18" t="n">
        <f aca="false">IF(D1297="","",IF(H1297&lt;=$B$16,1,IF(H1297&gt;=$B$17,$B$21,MATCH(H1297,Aux_CAV!$A$2:$A$121,1))))</f>
        <v>21</v>
      </c>
      <c r="AB1297" s="18" t="n">
        <f aca="false">IF(D1297="","",IF(L1297&lt;=$B$16,1,IF(L1297&gt;=$B$17,$B$21,MATCH(L1297,Aux_CAV!$A$2:$A$121,1))))</f>
        <v>21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0.963202556039901</v>
      </c>
      <c r="E1298" s="16" t="n">
        <f aca="false">IF(D1298="","",D1298*$B$15)</f>
        <v>2.49662102525542</v>
      </c>
      <c r="F1298" s="16" t="n">
        <f aca="false" t="array" ref="F1298:F1298">IF(D1298="","",IFERROR(INDEX(Dados_Evap!$C$2:$N$15,MATCH($B$9,Dados_Evap!$A$2:$A$15,0),C1298),0))</f>
        <v>102.9</v>
      </c>
      <c r="G1298" s="16" t="n">
        <f aca="false">IF(F1298="","",F1298/1000)</f>
        <v>0.1029</v>
      </c>
      <c r="H1298" s="16" t="n">
        <f aca="false">IF(D1298="","",MAX(0,MIN($B$8,IFERROR(LOOKUP(2,1/($U$24:U1297&lt;&gt;""),$U$24:U1297),$B$11))))</f>
        <v>66.3123242395737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8.56541997459923</v>
      </c>
      <c r="J1298" s="16" t="n">
        <f aca="false">IF(D1298="","",$B$12)</f>
        <v>0.432</v>
      </c>
      <c r="K1298" s="16" t="n">
        <f aca="false">IF(J1298="","",J1298*$B$15)</f>
        <v>1.119744</v>
      </c>
      <c r="L1298" s="16" t="n">
        <f aca="false">IF(D1298="","",H1298+E1298-K1298-G1298*I1298)</f>
        <v>66.8078195494429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8.60742331688608</v>
      </c>
      <c r="N1298" s="16" t="n">
        <f aca="false">IF(D1298="","",(I1298+M1298)/2)</f>
        <v>8.58642164574265</v>
      </c>
      <c r="O1298" s="16" t="n">
        <f aca="false">IF(D1298="","",G1298*N1298)</f>
        <v>0.883542787346919</v>
      </c>
      <c r="P1298" s="16" t="n">
        <f aca="false">IF(D1298="","",H1298+E1298-K1298-O1298)</f>
        <v>66.8056584774822</v>
      </c>
      <c r="Q1298" s="16" t="n">
        <f aca="false">IF(D1298="","",IF(P1298&gt;=0,K1298,MAX(0,K1298+P1298)))</f>
        <v>1.119744</v>
      </c>
      <c r="R1298" s="16" t="n">
        <f aca="false">IF(D1298="","",Q1298/$B$15)</f>
        <v>0.432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66.8056584774822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41.2380607885693</v>
      </c>
      <c r="Z1298" s="18" t="n">
        <f aca="false">IF(D1298="","",MAX(0,IF(P1298&gt;=0,P1298,IF(K1298+P1298&gt;=0,0,P1298+K1298))))</f>
        <v>66.8056584774822</v>
      </c>
      <c r="AA1298" s="18" t="n">
        <f aca="false">IF(D1298="","",IF(H1298&lt;=$B$16,1,IF(H1298&gt;=$B$17,$B$21,MATCH(H1298,Aux_CAV!$A$2:$A$121,1))))</f>
        <v>21</v>
      </c>
      <c r="AB1298" s="18" t="n">
        <f aca="false">IF(D1298="","",IF(L1298&lt;=$B$16,1,IF(L1298&gt;=$B$17,$B$21,MATCH(L1298,Aux_CAV!$A$2:$A$121,1))))</f>
        <v>21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1.68490944104321</v>
      </c>
      <c r="E1299" s="16" t="n">
        <f aca="false">IF(D1299="","",D1299*$B$15)</f>
        <v>4.367285271184</v>
      </c>
      <c r="F1299" s="16" t="n">
        <f aca="false" t="array" ref="F1299:F1299">IF(D1299="","",IFERROR(INDEX(Dados_Evap!$C$2:$N$15,MATCH($B$9,Dados_Evap!$A$2:$A$15,0),C1299),0))</f>
        <v>81.8</v>
      </c>
      <c r="G1299" s="16" t="n">
        <f aca="false">IF(F1299="","",F1299/1000)</f>
        <v>0.0818</v>
      </c>
      <c r="H1299" s="16" t="n">
        <f aca="false">IF(D1299="","",MAX(0,MIN($B$8,IFERROR(LOOKUP(2,1/($U$24:U1298&lt;&gt;""),$U$24:U1298),$B$11))))</f>
        <v>66.8056584774822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8.60724012192245</v>
      </c>
      <c r="J1299" s="16" t="n">
        <f aca="false">IF(D1299="","",$B$12)</f>
        <v>0.432</v>
      </c>
      <c r="K1299" s="16" t="n">
        <f aca="false">IF(J1299="","",J1299*$B$15)</f>
        <v>1.119744</v>
      </c>
      <c r="L1299" s="16" t="n">
        <f aca="false">IF(D1299="","",H1299+E1299-K1299-G1299*I1299)</f>
        <v>69.349127506693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8.82285104316035</v>
      </c>
      <c r="N1299" s="16" t="n">
        <f aca="false">IF(D1299="","",(I1299+M1299)/2)</f>
        <v>8.7150455825414</v>
      </c>
      <c r="O1299" s="16" t="n">
        <f aca="false">IF(D1299="","",G1299*N1299)</f>
        <v>0.712890728651886</v>
      </c>
      <c r="P1299" s="16" t="n">
        <f aca="false">IF(D1299="","",H1299+E1299-K1299-O1299)</f>
        <v>69.3403090200144</v>
      </c>
      <c r="Q1299" s="16" t="n">
        <f aca="false">IF(D1299="","",IF(P1299&gt;=0,K1299,MAX(0,K1299+P1299)))</f>
        <v>1.119744</v>
      </c>
      <c r="R1299" s="16" t="n">
        <f aca="false">IF(D1299="","",Q1299/$B$15)</f>
        <v>0.432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69.3403090200144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42.8026598888978</v>
      </c>
      <c r="Z1299" s="18" t="n">
        <f aca="false">IF(D1299="","",MAX(0,IF(P1299&gt;=0,P1299,IF(K1299+P1299&gt;=0,0,P1299+K1299))))</f>
        <v>69.3403090200144</v>
      </c>
      <c r="AA1299" s="18" t="n">
        <f aca="false">IF(D1299="","",IF(H1299&lt;=$B$16,1,IF(H1299&gt;=$B$17,$B$21,MATCH(H1299,Aux_CAV!$A$2:$A$121,1))))</f>
        <v>21</v>
      </c>
      <c r="AB1299" s="18" t="n">
        <f aca="false">IF(D1299="","",IF(L1299&lt;=$B$16,1,IF(L1299&gt;=$B$17,$B$21,MATCH(L1299,Aux_CAV!$A$2:$A$121,1))))</f>
        <v>21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1.02931619076074</v>
      </c>
      <c r="E1300" s="16" t="n">
        <f aca="false">IF(D1300="","",D1300*$B$15)</f>
        <v>2.66798756645184</v>
      </c>
      <c r="F1300" s="16" t="n">
        <f aca="false" t="array" ref="F1300:F1300">IF(D1300="","",IFERROR(INDEX(Dados_Evap!$C$2:$N$15,MATCH($B$9,Dados_Evap!$A$2:$A$15,0),C1300),0))</f>
        <v>83.6</v>
      </c>
      <c r="G1300" s="16" t="n">
        <f aca="false">IF(F1300="","",F1300/1000)</f>
        <v>0.0836</v>
      </c>
      <c r="H1300" s="16" t="n">
        <f aca="false">IF(D1300="","",MAX(0,MIN($B$8,IFERROR(LOOKUP(2,1/($U$24:U1299&lt;&gt;""),$U$24:U1299),$B$11))))</f>
        <v>69.3403090200144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8.82210349639848</v>
      </c>
      <c r="J1300" s="16" t="n">
        <f aca="false">IF(D1300="","",$B$12)</f>
        <v>0.432</v>
      </c>
      <c r="K1300" s="16" t="n">
        <f aca="false">IF(J1300="","",J1300*$B$15)</f>
        <v>1.119744</v>
      </c>
      <c r="L1300" s="16" t="n">
        <f aca="false">IF(D1300="","",H1300+E1300-K1300-G1300*I1300)</f>
        <v>70.1510247341673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8.89082820268861</v>
      </c>
      <c r="N1300" s="16" t="n">
        <f aca="false">IF(D1300="","",(I1300+M1300)/2)</f>
        <v>8.85646584954354</v>
      </c>
      <c r="O1300" s="16" t="n">
        <f aca="false">IF(D1300="","",G1300*N1300)</f>
        <v>0.74040054502184</v>
      </c>
      <c r="P1300" s="16" t="n">
        <f aca="false">IF(D1300="","",H1300+E1300-K1300-O1300)</f>
        <v>70.1481520414444</v>
      </c>
      <c r="Q1300" s="16" t="n">
        <f aca="false">IF(D1300="","",IF(P1300&gt;=0,K1300,MAX(0,K1300+P1300)))</f>
        <v>1.119744</v>
      </c>
      <c r="R1300" s="16" t="n">
        <f aca="false">IF(D1300="","",Q1300/$B$15)</f>
        <v>0.432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70.1481520414444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43.3013284206447</v>
      </c>
      <c r="Z1300" s="18" t="n">
        <f aca="false">IF(D1300="","",MAX(0,IF(P1300&gt;=0,P1300,IF(K1300+P1300&gt;=0,0,P1300+K1300))))</f>
        <v>70.1481520414444</v>
      </c>
      <c r="AA1300" s="18" t="n">
        <f aca="false">IF(D1300="","",IF(H1300&lt;=$B$16,1,IF(H1300&gt;=$B$17,$B$21,MATCH(H1300,Aux_CAV!$A$2:$A$121,1))))</f>
        <v>21</v>
      </c>
      <c r="AB1300" s="18" t="n">
        <f aca="false">IF(D1300="","",IF(L1300&lt;=$B$16,1,IF(L1300&gt;=$B$17,$B$21,MATCH(L1300,Aux_CAV!$A$2:$A$121,1))))</f>
        <v>21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0.673198860489209</v>
      </c>
      <c r="E1301" s="16" t="n">
        <f aca="false">IF(D1301="","",D1301*$B$15)</f>
        <v>1.74493144638803</v>
      </c>
      <c r="F1301" s="16" t="n">
        <f aca="false" t="array" ref="F1301:F1301">IF(D1301="","",IFERROR(INDEX(Dados_Evap!$C$2:$N$15,MATCH($B$9,Dados_Evap!$A$2:$A$15,0),C1301),0))</f>
        <v>108.2</v>
      </c>
      <c r="G1301" s="16" t="n">
        <f aca="false">IF(F1301="","",F1301/1000)</f>
        <v>0.1082</v>
      </c>
      <c r="H1301" s="16" t="n">
        <f aca="false">IF(D1301="","",MAX(0,MIN($B$8,IFERROR(LOOKUP(2,1/($U$24:U1300&lt;&gt;""),$U$24:U1300),$B$11))))</f>
        <v>70.1481520414444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8.89058468333873</v>
      </c>
      <c r="J1301" s="16" t="n">
        <f aca="false">IF(D1301="","",$B$12)</f>
        <v>0.432</v>
      </c>
      <c r="K1301" s="16" t="n">
        <f aca="false">IF(J1301="","",J1301*$B$15)</f>
        <v>1.119744</v>
      </c>
      <c r="L1301" s="16" t="n">
        <f aca="false">IF(D1301="","",H1301+E1301-K1301-G1301*I1301)</f>
        <v>69.8113782250951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8.86203622768311</v>
      </c>
      <c r="N1301" s="16" t="n">
        <f aca="false">IF(D1301="","",(I1301+M1301)/2)</f>
        <v>8.87631045551092</v>
      </c>
      <c r="O1301" s="16" t="n">
        <f aca="false">IF(D1301="","",G1301*N1301)</f>
        <v>0.960416791286282</v>
      </c>
      <c r="P1301" s="16" t="n">
        <f aca="false">IF(D1301="","",H1301+E1301-K1301-O1301)</f>
        <v>69.8129226965461</v>
      </c>
      <c r="Q1301" s="16" t="n">
        <f aca="false">IF(D1301="","",IF(P1301&gt;=0,K1301,MAX(0,K1301+P1301)))</f>
        <v>1.119744</v>
      </c>
      <c r="R1301" s="16" t="n">
        <f aca="false">IF(D1301="","",Q1301/$B$15)</f>
        <v>0.432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69.8129226965461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43.094396726263</v>
      </c>
      <c r="Z1301" s="18" t="n">
        <f aca="false">IF(D1301="","",MAX(0,IF(P1301&gt;=0,P1301,IF(K1301+P1301&gt;=0,0,P1301+K1301))))</f>
        <v>69.8129226965461</v>
      </c>
      <c r="AA1301" s="18" t="n">
        <f aca="false">IF(D1301="","",IF(H1301&lt;=$B$16,1,IF(H1301&gt;=$B$17,$B$21,MATCH(H1301,Aux_CAV!$A$2:$A$121,1))))</f>
        <v>21</v>
      </c>
      <c r="AB1301" s="18" t="n">
        <f aca="false">IF(D1301="","",IF(L1301&lt;=$B$16,1,IF(L1301&gt;=$B$17,$B$21,MATCH(L1301,Aux_CAV!$A$2:$A$121,1))))</f>
        <v>21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0.133546777821263</v>
      </c>
      <c r="E1302" s="16" t="n">
        <f aca="false">IF(D1302="","",D1302*$B$15)</f>
        <v>0.346153248112714</v>
      </c>
      <c r="F1302" s="16" t="n">
        <f aca="false" t="array" ref="F1302:F1302">IF(D1302="","",IFERROR(INDEX(Dados_Evap!$C$2:$N$15,MATCH($B$9,Dados_Evap!$A$2:$A$15,0),C1302),0))</f>
        <v>149</v>
      </c>
      <c r="G1302" s="16" t="n">
        <f aca="false">IF(F1302="","",F1302/1000)</f>
        <v>0.149</v>
      </c>
      <c r="H1302" s="16" t="n">
        <f aca="false">IF(D1302="","",MAX(0,MIN($B$8,IFERROR(LOOKUP(2,1/($U$24:U1301&lt;&gt;""),$U$24:U1301),$B$11))))</f>
        <v>69.8129226965461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8.86216715316659</v>
      </c>
      <c r="J1302" s="16" t="n">
        <f aca="false">IF(D1302="","",$B$12)</f>
        <v>0.432</v>
      </c>
      <c r="K1302" s="16" t="n">
        <f aca="false">IF(J1302="","",J1302*$B$15)</f>
        <v>1.119744</v>
      </c>
      <c r="L1302" s="16" t="n">
        <f aca="false">IF(D1302="","",H1302+E1302-K1302-G1302*I1302)</f>
        <v>67.718869038837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8.68465335878776</v>
      </c>
      <c r="N1302" s="16" t="n">
        <f aca="false">IF(D1302="","",(I1302+M1302)/2)</f>
        <v>8.77341025597718</v>
      </c>
      <c r="O1302" s="16" t="n">
        <f aca="false">IF(D1302="","",G1302*N1302)</f>
        <v>1.3072381281406</v>
      </c>
      <c r="P1302" s="16" t="n">
        <f aca="false">IF(D1302="","",H1302+E1302-K1302-O1302)</f>
        <v>67.7320938165182</v>
      </c>
      <c r="Q1302" s="16" t="n">
        <f aca="false">IF(D1302="","",IF(P1302&gt;=0,K1302,MAX(0,K1302+P1302)))</f>
        <v>1.119744</v>
      </c>
      <c r="R1302" s="16" t="n">
        <f aca="false">IF(D1302="","",Q1302/$B$15)</f>
        <v>0.432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67.7320938165182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41.8099344546409</v>
      </c>
      <c r="Z1302" s="18" t="n">
        <f aca="false">IF(D1302="","",MAX(0,IF(P1302&gt;=0,P1302,IF(K1302+P1302&gt;=0,0,P1302+K1302))))</f>
        <v>67.7320938165182</v>
      </c>
      <c r="AA1302" s="18" t="n">
        <f aca="false">IF(D1302="","",IF(H1302&lt;=$B$16,1,IF(H1302&gt;=$B$17,$B$21,MATCH(H1302,Aux_CAV!$A$2:$A$121,1))))</f>
        <v>21</v>
      </c>
      <c r="AB1302" s="18" t="n">
        <f aca="false">IF(D1302="","",IF(L1302&lt;=$B$16,1,IF(L1302&gt;=$B$17,$B$21,MATCH(L1302,Aux_CAV!$A$2:$A$121,1))))</f>
        <v>21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0.127246536600667</v>
      </c>
      <c r="E1303" s="16" t="n">
        <f aca="false">IF(D1303="","",D1303*$B$15)</f>
        <v>0.329823022868929</v>
      </c>
      <c r="F1303" s="16" t="n">
        <f aca="false" t="array" ref="F1303:F1303">IF(D1303="","",IFERROR(INDEX(Dados_Evap!$C$2:$N$15,MATCH($B$9,Dados_Evap!$A$2:$A$15,0),C1303),0))</f>
        <v>206.8</v>
      </c>
      <c r="G1303" s="16" t="n">
        <f aca="false">IF(F1303="","",F1303/1000)</f>
        <v>0.2068</v>
      </c>
      <c r="H1303" s="16" t="n">
        <f aca="false">IF(D1303="","",MAX(0,MIN($B$8,IFERROR(LOOKUP(2,1/($U$24:U1302&lt;&gt;""),$U$24:U1302),$B$11))))</f>
        <v>67.7320938165182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8.68577442865976</v>
      </c>
      <c r="J1303" s="16" t="n">
        <f aca="false">IF(D1303="","",$B$12)</f>
        <v>0.432</v>
      </c>
      <c r="K1303" s="16" t="n">
        <f aca="false">IF(J1303="","",J1303*$B$15)</f>
        <v>1.119744</v>
      </c>
      <c r="L1303" s="16" t="n">
        <f aca="false">IF(D1303="","",H1303+E1303-K1303-G1303*I1303)</f>
        <v>65.1459546875403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8.46654634542207</v>
      </c>
      <c r="N1303" s="16" t="n">
        <f aca="false">IF(D1303="","",(I1303+M1303)/2)</f>
        <v>8.57616038704092</v>
      </c>
      <c r="O1303" s="16" t="n">
        <f aca="false">IF(D1303="","",G1303*N1303)</f>
        <v>1.77354996804006</v>
      </c>
      <c r="P1303" s="16" t="n">
        <f aca="false">IF(D1303="","",H1303+E1303-K1303-O1303)</f>
        <v>65.1686228713471</v>
      </c>
      <c r="Q1303" s="16" t="n">
        <f aca="false">IF(D1303="","",IF(P1303&gt;=0,K1303,MAX(0,K1303+P1303)))</f>
        <v>1.119744</v>
      </c>
      <c r="R1303" s="16" t="n">
        <f aca="false">IF(D1303="","",Q1303/$B$15)</f>
        <v>0.432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65.1686228713471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40.227544982313</v>
      </c>
      <c r="Z1303" s="18" t="n">
        <f aca="false">IF(D1303="","",MAX(0,IF(P1303&gt;=0,P1303,IF(K1303+P1303&gt;=0,0,P1303+K1303))))</f>
        <v>65.1686228713471</v>
      </c>
      <c r="AA1303" s="18" t="n">
        <f aca="false">IF(D1303="","",IF(H1303&lt;=$B$16,1,IF(H1303&gt;=$B$17,$B$21,MATCH(H1303,Aux_CAV!$A$2:$A$121,1))))</f>
        <v>21</v>
      </c>
      <c r="AB1303" s="18" t="n">
        <f aca="false">IF(D1303="","",IF(L1303&lt;=$B$16,1,IF(L1303&gt;=$B$17,$B$21,MATCH(L1303,Aux_CAV!$A$2:$A$121,1))))</f>
        <v>21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0.130710902021327</v>
      </c>
      <c r="E1304" s="16" t="n">
        <f aca="false">IF(D1304="","",D1304*$B$15)</f>
        <v>0.33880265803928</v>
      </c>
      <c r="F1304" s="16" t="n">
        <f aca="false" t="array" ref="F1304:F1304">IF(D1304="","",IFERROR(INDEX(Dados_Evap!$C$2:$N$15,MATCH($B$9,Dados_Evap!$A$2:$A$15,0),C1304),0))</f>
        <v>245.9</v>
      </c>
      <c r="G1304" s="16" t="n">
        <f aca="false">IF(F1304="","",F1304/1000)</f>
        <v>0.2459</v>
      </c>
      <c r="H1304" s="16" t="n">
        <f aca="false">IF(D1304="","",MAX(0,MIN($B$8,IFERROR(LOOKUP(2,1/($U$24:U1303&lt;&gt;""),$U$24:U1303),$B$11))))</f>
        <v>65.1686228713471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8.46846793673585</v>
      </c>
      <c r="J1304" s="16" t="n">
        <f aca="false">IF(D1304="","",$B$12)</f>
        <v>0.432</v>
      </c>
      <c r="K1304" s="16" t="n">
        <f aca="false">IF(J1304="","",J1304*$B$15)</f>
        <v>1.119744</v>
      </c>
      <c r="L1304" s="16" t="n">
        <f aca="false">IF(D1304="","",H1304+E1304-K1304-G1304*I1304)</f>
        <v>62.305285263743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8.22574162385356</v>
      </c>
      <c r="N1304" s="16" t="n">
        <f aca="false">IF(D1304="","",(I1304+M1304)/2)</f>
        <v>8.3471047802947</v>
      </c>
      <c r="O1304" s="16" t="n">
        <f aca="false">IF(D1304="","",G1304*N1304)</f>
        <v>2.05255306547447</v>
      </c>
      <c r="P1304" s="16" t="n">
        <f aca="false">IF(D1304="","",H1304+E1304-K1304-O1304)</f>
        <v>62.3351284639119</v>
      </c>
      <c r="Q1304" s="16" t="n">
        <f aca="false">IF(D1304="","",IF(P1304&gt;=0,K1304,MAX(0,K1304+P1304)))</f>
        <v>1.119744</v>
      </c>
      <c r="R1304" s="16" t="n">
        <f aca="false">IF(D1304="","",Q1304/$B$15)</f>
        <v>0.432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62.3351284639119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38.4784743604395</v>
      </c>
      <c r="Z1304" s="18" t="n">
        <f aca="false">IF(D1304="","",MAX(0,IF(P1304&gt;=0,P1304,IF(K1304+P1304&gt;=0,0,P1304+K1304))))</f>
        <v>62.3351284639119</v>
      </c>
      <c r="AA1304" s="18" t="n">
        <f aca="false">IF(D1304="","",IF(H1304&lt;=$B$16,1,IF(H1304&gt;=$B$17,$B$21,MATCH(H1304,Aux_CAV!$A$2:$A$121,1))))</f>
        <v>21</v>
      </c>
      <c r="AB1304" s="18" t="n">
        <f aca="false">IF(D1304="","",IF(L1304&lt;=$B$16,1,IF(L1304&gt;=$B$17,$B$21,MATCH(L1304,Aux_CAV!$A$2:$A$121,1))))</f>
        <v>21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0.115373029067313</v>
      </c>
      <c r="E1305" s="16" t="n">
        <f aca="false">IF(D1305="","",D1305*$B$15)</f>
        <v>0.299046891342475</v>
      </c>
      <c r="F1305" s="16" t="n">
        <f aca="false" t="array" ref="F1305:F1305">IF(D1305="","",IFERROR(INDEX(Dados_Evap!$C$2:$N$15,MATCH($B$9,Dados_Evap!$A$2:$A$15,0),C1305),0))</f>
        <v>282.3</v>
      </c>
      <c r="G1305" s="16" t="n">
        <f aca="false">IF(F1305="","",F1305/1000)</f>
        <v>0.2823</v>
      </c>
      <c r="H1305" s="16" t="n">
        <f aca="false">IF(D1305="","",MAX(0,MIN($B$8,IFERROR(LOOKUP(2,1/($U$24:U1304&lt;&gt;""),$U$24:U1304),$B$11))))</f>
        <v>62.3351284639119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8.22827144427095</v>
      </c>
      <c r="J1305" s="16" t="n">
        <f aca="false">IF(D1305="","",$B$12)</f>
        <v>0.432</v>
      </c>
      <c r="K1305" s="16" t="n">
        <f aca="false">IF(J1305="","",J1305*$B$15)</f>
        <v>1.119744</v>
      </c>
      <c r="L1305" s="16" t="n">
        <f aca="false">IF(D1305="","",H1305+E1305-K1305-G1305*I1305)</f>
        <v>59.1915903265367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7.96179241662725</v>
      </c>
      <c r="N1305" s="16" t="n">
        <f aca="false">IF(D1305="","",(I1305+M1305)/2)</f>
        <v>8.0950319304491</v>
      </c>
      <c r="O1305" s="16" t="n">
        <f aca="false">IF(D1305="","",G1305*N1305)</f>
        <v>2.28522751396578</v>
      </c>
      <c r="P1305" s="16" t="n">
        <f aca="false">IF(D1305="","",H1305+E1305-K1305-O1305)</f>
        <v>59.2292038412886</v>
      </c>
      <c r="Q1305" s="16" t="n">
        <f aca="false">IF(D1305="","",IF(P1305&gt;=0,K1305,MAX(0,K1305+P1305)))</f>
        <v>1.119744</v>
      </c>
      <c r="R1305" s="16" t="n">
        <f aca="false">IF(D1305="","",Q1305/$B$15)</f>
        <v>0.432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59.2292038412886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36.5612369390671</v>
      </c>
      <c r="Z1305" s="18" t="n">
        <f aca="false">IF(D1305="","",MAX(0,IF(P1305&gt;=0,P1305,IF(K1305+P1305&gt;=0,0,P1305+K1305))))</f>
        <v>59.2292038412886</v>
      </c>
      <c r="AA1305" s="18" t="n">
        <f aca="false">IF(D1305="","",IF(H1305&lt;=$B$16,1,IF(H1305&gt;=$B$17,$B$21,MATCH(H1305,Aux_CAV!$A$2:$A$121,1))))</f>
        <v>21</v>
      </c>
      <c r="AB1305" s="18" t="n">
        <f aca="false">IF(D1305="","",IF(L1305&lt;=$B$16,1,IF(L1305&gt;=$B$17,$B$21,MATCH(L1305,Aux_CAV!$A$2:$A$121,1))))</f>
        <v>21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0.110531235993005</v>
      </c>
      <c r="E1306" s="16" t="n">
        <f aca="false">IF(D1306="","",D1306*$B$15)</f>
        <v>0.286496963693869</v>
      </c>
      <c r="F1306" s="16" t="n">
        <f aca="false" t="array" ref="F1306:F1306">IF(D1306="","",IFERROR(INDEX(Dados_Evap!$C$2:$N$15,MATCH($B$9,Dados_Evap!$A$2:$A$15,0),C1306),0))</f>
        <v>241.3</v>
      </c>
      <c r="G1306" s="16" t="n">
        <f aca="false">IF(F1306="","",F1306/1000)</f>
        <v>0.2413</v>
      </c>
      <c r="H1306" s="16" t="n">
        <f aca="false">IF(D1306="","",MAX(0,MIN($B$8,IFERROR(LOOKUP(2,1/($U$24:U1305&lt;&gt;""),$U$24:U1305),$B$11))))</f>
        <v>59.2292038412886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7.96498092982459</v>
      </c>
      <c r="J1306" s="16" t="n">
        <f aca="false">IF(D1306="","",$B$12)</f>
        <v>0.432</v>
      </c>
      <c r="K1306" s="16" t="n">
        <f aca="false">IF(J1306="","",J1306*$B$15)</f>
        <v>1.119744</v>
      </c>
      <c r="L1306" s="16" t="n">
        <f aca="false">IF(D1306="","",H1306+E1306-K1306-G1306*I1306)</f>
        <v>56.4740069066158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7.73142174649891</v>
      </c>
      <c r="N1306" s="16" t="n">
        <f aca="false">IF(D1306="","",(I1306+M1306)/2)</f>
        <v>7.84820133816175</v>
      </c>
      <c r="O1306" s="16" t="n">
        <f aca="false">IF(D1306="","",G1306*N1306)</f>
        <v>1.89377098289843</v>
      </c>
      <c r="P1306" s="16" t="n">
        <f aca="false">IF(D1306="","",H1306+E1306-K1306-O1306)</f>
        <v>56.5021858220841</v>
      </c>
      <c r="Q1306" s="16" t="n">
        <f aca="false">IF(D1306="","",IF(P1306&gt;=0,K1306,MAX(0,K1306+P1306)))</f>
        <v>1.119744</v>
      </c>
      <c r="R1306" s="16" t="n">
        <f aca="false">IF(D1306="","",Q1306/$B$15)</f>
        <v>0.432</v>
      </c>
      <c r="S1306" s="16" t="n">
        <f aca="false">IF(D1306="","",MAX(0,J1306-R1306))</f>
        <v>0</v>
      </c>
      <c r="T1306" s="16" t="n">
        <f aca="false">IF(D1306="","",MAX(0,Z1306-$B$8))</f>
        <v>0</v>
      </c>
      <c r="U1306" s="16" t="n">
        <f aca="false">IF(D1306="","",MAX(0,MIN($B$8,Z1306)))</f>
        <v>56.5021858220841</v>
      </c>
      <c r="V1306" s="16" t="str">
        <f aca="false">IF(D1306="","",IF(S1306&gt;0.0000001,"Sim","Não"))</f>
        <v>Não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34.8778924827679</v>
      </c>
      <c r="Z1306" s="18" t="n">
        <f aca="false">IF(D1306="","",MAX(0,IF(P1306&gt;=0,P1306,IF(K1306+P1306&gt;=0,0,P1306+K1306))))</f>
        <v>56.5021858220841</v>
      </c>
      <c r="AA1306" s="18" t="n">
        <f aca="false">IF(D1306="","",IF(H1306&lt;=$B$16,1,IF(H1306&gt;=$B$17,$B$21,MATCH(H1306,Aux_CAV!$A$2:$A$121,1))))</f>
        <v>21</v>
      </c>
      <c r="AB1306" s="18" t="n">
        <f aca="false">IF(D1306="","",IF(L1306&lt;=$B$16,1,IF(L1306&gt;=$B$17,$B$21,MATCH(L1306,Aux_CAV!$A$2:$A$121,1))))</f>
        <v>21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0.159157952372073</v>
      </c>
      <c r="E1307" s="16" t="n">
        <f aca="false">IF(D1307="","",D1307*$B$15)</f>
        <v>0.412537412548413</v>
      </c>
      <c r="F1307" s="16" t="n">
        <f aca="false" t="array" ref="F1307:F1307">IF(D1307="","",IFERROR(INDEX(Dados_Evap!$C$2:$N$15,MATCH($B$9,Dados_Evap!$A$2:$A$15,0),C1307),0))</f>
        <v>241.8</v>
      </c>
      <c r="G1307" s="16" t="n">
        <f aca="false">IF(F1307="","",F1307/1000)</f>
        <v>0.2418</v>
      </c>
      <c r="H1307" s="16" t="n">
        <f aca="false">IF(D1307="","",MAX(0,MIN($B$8,IFERROR(LOOKUP(2,1/($U$24:U1306&lt;&gt;""),$U$24:U1306),$B$11))))</f>
        <v>56.5021858220841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7.73381048481411</v>
      </c>
      <c r="J1307" s="16" t="n">
        <f aca="false">IF(D1307="","",$B$12)</f>
        <v>0.432</v>
      </c>
      <c r="K1307" s="16" t="n">
        <f aca="false">IF(J1307="","",J1307*$B$15)</f>
        <v>1.119744</v>
      </c>
      <c r="L1307" s="16" t="n">
        <f aca="false">IF(D1307="","",H1307+E1307-K1307-G1307*I1307)</f>
        <v>53.9249438594044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7.51533661804218</v>
      </c>
      <c r="N1307" s="16" t="n">
        <f aca="false">IF(D1307="","",(I1307+M1307)/2)</f>
        <v>7.62457355142814</v>
      </c>
      <c r="O1307" s="16" t="n">
        <f aca="false">IF(D1307="","",G1307*N1307)</f>
        <v>1.84362188473533</v>
      </c>
      <c r="P1307" s="16" t="n">
        <f aca="false">IF(D1307="","",H1307+E1307-K1307-O1307)</f>
        <v>53.9513573498971</v>
      </c>
      <c r="Q1307" s="16" t="n">
        <f aca="false">IF(D1307="","",IF(P1307&gt;=0,K1307,MAX(0,K1307+P1307)))</f>
        <v>1.119744</v>
      </c>
      <c r="R1307" s="16" t="n">
        <f aca="false">IF(D1307="","",Q1307/$B$15)</f>
        <v>0.432</v>
      </c>
      <c r="S1307" s="16" t="n">
        <f aca="false">IF(D1307="","",MAX(0,J1307-R1307))</f>
        <v>0</v>
      </c>
      <c r="T1307" s="16" t="n">
        <f aca="false">IF(D1307="","",MAX(0,Z1307-$B$8))</f>
        <v>0</v>
      </c>
      <c r="U1307" s="16" t="n">
        <f aca="false">IF(D1307="","",MAX(0,MIN($B$8,Z1307)))</f>
        <v>53.9513573498971</v>
      </c>
      <c r="V1307" s="16" t="str">
        <f aca="false">IF(D1307="","",IF(S1307&gt;0.0000001,"Sim","Não"))</f>
        <v>Não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33.3033070061094</v>
      </c>
      <c r="Z1307" s="18" t="n">
        <f aca="false">IF(D1307="","",MAX(0,IF(P1307&gt;=0,P1307,IF(K1307+P1307&gt;=0,0,P1307+K1307))))</f>
        <v>53.9513573498971</v>
      </c>
      <c r="AA1307" s="18" t="n">
        <f aca="false">IF(D1307="","",IF(H1307&lt;=$B$16,1,IF(H1307&gt;=$B$17,$B$21,MATCH(H1307,Aux_CAV!$A$2:$A$121,1))))</f>
        <v>21</v>
      </c>
      <c r="AB1307" s="18" t="n">
        <f aca="false">IF(D1307="","",IF(L1307&lt;=$B$16,1,IF(L1307&gt;=$B$17,$B$21,MATCH(L1307,Aux_CAV!$A$2:$A$121,1))))</f>
        <v>21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0.175099244913178</v>
      </c>
      <c r="E1308" s="16" t="n">
        <f aca="false">IF(D1308="","",D1308*$B$15)</f>
        <v>0.453857242814957</v>
      </c>
      <c r="F1308" s="16" t="n">
        <f aca="false" t="array" ref="F1308:F1308">IF(D1308="","",IFERROR(INDEX(Dados_Evap!$C$2:$N$15,MATCH($B$9,Dados_Evap!$A$2:$A$15,0),C1308),0))</f>
        <v>189</v>
      </c>
      <c r="G1308" s="16" t="n">
        <f aca="false">IF(F1308="","",F1308/1000)</f>
        <v>0.189</v>
      </c>
      <c r="H1308" s="16" t="n">
        <f aca="false">IF(D1308="","",MAX(0,MIN($B$8,IFERROR(LOOKUP(2,1/($U$24:U1307&lt;&gt;""),$U$24:U1307),$B$11))))</f>
        <v>53.9513573498971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7.51757570055226</v>
      </c>
      <c r="J1308" s="16" t="n">
        <f aca="false">IF(D1308="","",$B$12)</f>
        <v>0.432</v>
      </c>
      <c r="K1308" s="16" t="n">
        <f aca="false">IF(J1308="","",J1308*$B$15)</f>
        <v>1.119744</v>
      </c>
      <c r="L1308" s="16" t="n">
        <f aca="false">IF(D1308="","",H1308+E1308-K1308-G1308*I1308)</f>
        <v>51.8646487853077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7.34068455275411</v>
      </c>
      <c r="N1308" s="16" t="n">
        <f aca="false">IF(D1308="","",(I1308+M1308)/2)</f>
        <v>7.42913012665319</v>
      </c>
      <c r="O1308" s="16" t="n">
        <f aca="false">IF(D1308="","",G1308*N1308)</f>
        <v>1.40410559393745</v>
      </c>
      <c r="P1308" s="16" t="n">
        <f aca="false">IF(D1308="","",H1308+E1308-K1308-O1308)</f>
        <v>51.8813649987747</v>
      </c>
      <c r="Q1308" s="16" t="n">
        <f aca="false">IF(D1308="","",IF(P1308&gt;=0,K1308,MAX(0,K1308+P1308)))</f>
        <v>1.119744</v>
      </c>
      <c r="R1308" s="16" t="n">
        <f aca="false">IF(D1308="","",Q1308/$B$15)</f>
        <v>0.432</v>
      </c>
      <c r="S1308" s="16" t="n">
        <f aca="false">IF(D1308="","",MAX(0,J1308-R1308))</f>
        <v>0</v>
      </c>
      <c r="T1308" s="16" t="n">
        <f aca="false">IF(D1308="","",MAX(0,Z1308-$B$8))</f>
        <v>0</v>
      </c>
      <c r="U1308" s="16" t="n">
        <f aca="false">IF(D1308="","",MAX(0,MIN($B$8,Z1308)))</f>
        <v>51.8813649987747</v>
      </c>
      <c r="V1308" s="16" t="str">
        <f aca="false">IF(D1308="","",IF(S1308&gt;0.0000001,"Sim","Não"))</f>
        <v>Não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32.0255339498609</v>
      </c>
      <c r="Z1308" s="18" t="n">
        <f aca="false">IF(D1308="","",MAX(0,IF(P1308&gt;=0,P1308,IF(K1308+P1308&gt;=0,0,P1308+K1308))))</f>
        <v>51.8813649987747</v>
      </c>
      <c r="AA1308" s="18" t="n">
        <f aca="false">IF(D1308="","",IF(H1308&lt;=$B$16,1,IF(H1308&gt;=$B$17,$B$21,MATCH(H1308,Aux_CAV!$A$2:$A$121,1))))</f>
        <v>21</v>
      </c>
      <c r="AB1308" s="18" t="n">
        <f aca="false">IF(D1308="","",IF(L1308&lt;=$B$16,1,IF(L1308&gt;=$B$17,$B$21,MATCH(L1308,Aux_CAV!$A$2:$A$121,1))))</f>
        <v>21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0.567358010329431</v>
      </c>
      <c r="E1309" s="16" t="n">
        <f aca="false">IF(D1309="","",D1309*$B$15)</f>
        <v>1.47059196277389</v>
      </c>
      <c r="F1309" s="16" t="n">
        <f aca="false" t="array" ref="F1309:F1309">IF(D1309="","",IFERROR(INDEX(Dados_Evap!$C$2:$N$15,MATCH($B$9,Dados_Evap!$A$2:$A$15,0),C1309),0))</f>
        <v>136.9</v>
      </c>
      <c r="G1309" s="16" t="n">
        <f aca="false">IF(F1309="","",F1309/1000)</f>
        <v>0.1369</v>
      </c>
      <c r="H1309" s="16" t="n">
        <f aca="false">IF(D1309="","",MAX(0,MIN($B$8,IFERROR(LOOKUP(2,1/($U$24:U1308&lt;&gt;""),$U$24:U1308),$B$11))))</f>
        <v>51.8813649987747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7.34210159308125</v>
      </c>
      <c r="J1309" s="16" t="n">
        <f aca="false">IF(D1309="","",$B$12)</f>
        <v>0.432</v>
      </c>
      <c r="K1309" s="16" t="n">
        <f aca="false">IF(J1309="","",J1309*$B$15)</f>
        <v>1.119744</v>
      </c>
      <c r="L1309" s="16" t="n">
        <f aca="false">IF(D1309="","",H1309+E1309-K1309-G1309*I1309)</f>
        <v>51.2270792534557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7.28663751992727</v>
      </c>
      <c r="N1309" s="16" t="n">
        <f aca="false">IF(D1309="","",(I1309+M1309)/2)</f>
        <v>7.31436955650426</v>
      </c>
      <c r="O1309" s="16" t="n">
        <f aca="false">IF(D1309="","",G1309*N1309)</f>
        <v>1.00133719228543</v>
      </c>
      <c r="P1309" s="16" t="n">
        <f aca="false">IF(D1309="","",H1309+E1309-K1309-O1309)</f>
        <v>51.2308757692631</v>
      </c>
      <c r="Q1309" s="16" t="n">
        <f aca="false">IF(D1309="","",IF(P1309&gt;=0,K1309,MAX(0,K1309+P1309)))</f>
        <v>1.119744</v>
      </c>
      <c r="R1309" s="16" t="n">
        <f aca="false">IF(D1309="","",Q1309/$B$15)</f>
        <v>0.432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51.2308757692631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31.623997388434</v>
      </c>
      <c r="Z1309" s="18" t="n">
        <f aca="false">IF(D1309="","",MAX(0,IF(P1309&gt;=0,P1309,IF(K1309+P1309&gt;=0,0,P1309+K1309))))</f>
        <v>51.2308757692631</v>
      </c>
      <c r="AA1309" s="18" t="n">
        <f aca="false">IF(D1309="","",IF(H1309&lt;=$B$16,1,IF(H1309&gt;=$B$17,$B$21,MATCH(H1309,Aux_CAV!$A$2:$A$121,1))))</f>
        <v>21</v>
      </c>
      <c r="AB1309" s="18" t="n">
        <f aca="false">IF(D1309="","",IF(L1309&lt;=$B$16,1,IF(L1309&gt;=$B$17,$B$21,MATCH(L1309,Aux_CAV!$A$2:$A$121,1))))</f>
        <v>21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1.88168210978182</v>
      </c>
      <c r="E1310" s="16" t="n">
        <f aca="false">IF(D1310="","",D1310*$B$15)</f>
        <v>4.87732002855448</v>
      </c>
      <c r="F1310" s="16" t="n">
        <f aca="false" t="array" ref="F1310:F1310">IF(D1310="","",IFERROR(INDEX(Dados_Evap!$C$2:$N$15,MATCH($B$9,Dados_Evap!$A$2:$A$15,0),C1310),0))</f>
        <v>102.9</v>
      </c>
      <c r="G1310" s="16" t="n">
        <f aca="false">IF(F1310="","",F1310/1000)</f>
        <v>0.1029</v>
      </c>
      <c r="H1310" s="16" t="n">
        <f aca="false">IF(D1310="","",MAX(0,MIN($B$8,IFERROR(LOOKUP(2,1/($U$24:U1309&lt;&gt;""),$U$24:U1309),$B$11))))</f>
        <v>51.2308757692631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7.28695935214198</v>
      </c>
      <c r="J1310" s="16" t="n">
        <f aca="false">IF(D1310="","",$B$12)</f>
        <v>0.432</v>
      </c>
      <c r="K1310" s="16" t="n">
        <f aca="false">IF(J1310="","",J1310*$B$15)</f>
        <v>1.119744</v>
      </c>
      <c r="L1310" s="16" t="n">
        <f aca="false">IF(D1310="","",H1310+E1310-K1310-G1310*I1310)</f>
        <v>54.2386236804822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7.54192738617011</v>
      </c>
      <c r="N1310" s="16" t="n">
        <f aca="false">IF(D1310="","",(I1310+M1310)/2)</f>
        <v>7.41444336915604</v>
      </c>
      <c r="O1310" s="16" t="n">
        <f aca="false">IF(D1310="","",G1310*N1310)</f>
        <v>0.762946222686157</v>
      </c>
      <c r="P1310" s="16" t="n">
        <f aca="false">IF(D1310="","",H1310+E1310-K1310-O1310)</f>
        <v>54.2255055751314</v>
      </c>
      <c r="Q1310" s="16" t="n">
        <f aca="false">IF(D1310="","",IF(P1310&gt;=0,K1310,MAX(0,K1310+P1310)))</f>
        <v>1.119744</v>
      </c>
      <c r="R1310" s="16" t="n">
        <f aca="false">IF(D1310="","",Q1310/$B$15)</f>
        <v>0.432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54.2255055751314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33.4725343056367</v>
      </c>
      <c r="Z1310" s="18" t="n">
        <f aca="false">IF(D1310="","",MAX(0,IF(P1310&gt;=0,P1310,IF(K1310+P1310&gt;=0,0,P1310+K1310))))</f>
        <v>54.2255055751314</v>
      </c>
      <c r="AA1310" s="18" t="n">
        <f aca="false">IF(D1310="","",IF(H1310&lt;=$B$16,1,IF(H1310&gt;=$B$17,$B$21,MATCH(H1310,Aux_CAV!$A$2:$A$121,1))))</f>
        <v>21</v>
      </c>
      <c r="AB1310" s="18" t="n">
        <f aca="false">IF(D1310="","",IF(L1310&lt;=$B$16,1,IF(L1310&gt;=$B$17,$B$21,MATCH(L1310,Aux_CAV!$A$2:$A$121,1))))</f>
        <v>21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1.86622241466993</v>
      </c>
      <c r="E1311" s="16" t="n">
        <f aca="false">IF(D1311="","",D1311*$B$15)</f>
        <v>4.83724849882446</v>
      </c>
      <c r="F1311" s="16" t="n">
        <f aca="false" t="array" ref="F1311:F1311">IF(D1311="","",IFERROR(INDEX(Dados_Evap!$C$2:$N$15,MATCH($B$9,Dados_Evap!$A$2:$A$15,0),C1311),0))</f>
        <v>81.8</v>
      </c>
      <c r="G1311" s="16" t="n">
        <f aca="false">IF(F1311="","",F1311/1000)</f>
        <v>0.0818</v>
      </c>
      <c r="H1311" s="16" t="n">
        <f aca="false">IF(D1311="","",MAX(0,MIN($B$8,IFERROR(LOOKUP(2,1/($U$24:U1310&lt;&gt;""),$U$24:U1310),$B$11))))</f>
        <v>54.2255055751314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7.54081535895567</v>
      </c>
      <c r="J1311" s="16" t="n">
        <f aca="false">IF(D1311="","",$B$12)</f>
        <v>0.432</v>
      </c>
      <c r="K1311" s="16" t="n">
        <f aca="false">IF(J1311="","",J1311*$B$15)</f>
        <v>1.119744</v>
      </c>
      <c r="L1311" s="16" t="n">
        <f aca="false">IF(D1311="","",H1311+E1311-K1311-G1311*I1311)</f>
        <v>57.3261713775933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7.80366008104261</v>
      </c>
      <c r="N1311" s="16" t="n">
        <f aca="false">IF(D1311="","",(I1311+M1311)/2)</f>
        <v>7.67223771999914</v>
      </c>
      <c r="O1311" s="16" t="n">
        <f aca="false">IF(D1311="","",G1311*N1311)</f>
        <v>0.62758904549593</v>
      </c>
      <c r="P1311" s="16" t="n">
        <f aca="false">IF(D1311="","",H1311+E1311-K1311-O1311)</f>
        <v>57.31542102846</v>
      </c>
      <c r="Q1311" s="16" t="n">
        <f aca="false">IF(D1311="","",IF(P1311&gt;=0,K1311,MAX(0,K1311+P1311)))</f>
        <v>1.119744</v>
      </c>
      <c r="R1311" s="16" t="n">
        <f aca="false">IF(D1311="","",Q1311/$B$15)</f>
        <v>0.432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57.31542102846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35.3798895237407</v>
      </c>
      <c r="Z1311" s="18" t="n">
        <f aca="false">IF(D1311="","",MAX(0,IF(P1311&gt;=0,P1311,IF(K1311+P1311&gt;=0,0,P1311+K1311))))</f>
        <v>57.31542102846</v>
      </c>
      <c r="AA1311" s="18" t="n">
        <f aca="false">IF(D1311="","",IF(H1311&lt;=$B$16,1,IF(H1311&gt;=$B$17,$B$21,MATCH(H1311,Aux_CAV!$A$2:$A$121,1))))</f>
        <v>21</v>
      </c>
      <c r="AB1311" s="18" t="n">
        <f aca="false">IF(D1311="","",IF(L1311&lt;=$B$16,1,IF(L1311&gt;=$B$17,$B$21,MATCH(L1311,Aux_CAV!$A$2:$A$121,1))))</f>
        <v>21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3.23725830410785</v>
      </c>
      <c r="E1312" s="16" t="n">
        <f aca="false">IF(D1312="","",D1312*$B$15)</f>
        <v>8.39097352424755</v>
      </c>
      <c r="F1312" s="16" t="n">
        <f aca="false" t="array" ref="F1312:F1312">IF(D1312="","",IFERROR(INDEX(Dados_Evap!$C$2:$N$15,MATCH($B$9,Dados_Evap!$A$2:$A$15,0),C1312),0))</f>
        <v>83.6</v>
      </c>
      <c r="G1312" s="16" t="n">
        <f aca="false">IF(F1312="","",F1312/1000)</f>
        <v>0.0836</v>
      </c>
      <c r="H1312" s="16" t="n">
        <f aca="false">IF(D1312="","",MAX(0,MIN($B$8,IFERROR(LOOKUP(2,1/($U$24:U1311&lt;&gt;""),$U$24:U1311),$B$11))))</f>
        <v>57.31542102846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7.8027487695017</v>
      </c>
      <c r="J1312" s="16" t="n">
        <f aca="false">IF(D1312="","",$B$12)</f>
        <v>0.432</v>
      </c>
      <c r="K1312" s="16" t="n">
        <f aca="false">IF(J1312="","",J1312*$B$15)</f>
        <v>1.119744</v>
      </c>
      <c r="L1312" s="16" t="n">
        <f aca="false">IF(D1312="","",H1312+E1312-K1312-G1312*I1312)</f>
        <v>63.9343407555772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8.36383733145138</v>
      </c>
      <c r="N1312" s="16" t="n">
        <f aca="false">IF(D1312="","",(I1312+M1312)/2)</f>
        <v>8.08329305047654</v>
      </c>
      <c r="O1312" s="16" t="n">
        <f aca="false">IF(D1312="","",G1312*N1312)</f>
        <v>0.675763299019839</v>
      </c>
      <c r="P1312" s="16" t="n">
        <f aca="false">IF(D1312="","",H1312+E1312-K1312-O1312)</f>
        <v>63.9108872536877</v>
      </c>
      <c r="Q1312" s="16" t="n">
        <f aca="false">IF(D1312="","",IF(P1312&gt;=0,K1312,MAX(0,K1312+P1312)))</f>
        <v>1.119744</v>
      </c>
      <c r="R1312" s="16" t="n">
        <f aca="false">IF(D1312="","",Q1312/$B$15)</f>
        <v>0.432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63.9108872536877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39.4511649714121</v>
      </c>
      <c r="Z1312" s="18" t="n">
        <f aca="false">IF(D1312="","",MAX(0,IF(P1312&gt;=0,P1312,IF(K1312+P1312&gt;=0,0,P1312+K1312))))</f>
        <v>63.9108872536877</v>
      </c>
      <c r="AA1312" s="18" t="n">
        <f aca="false">IF(D1312="","",IF(H1312&lt;=$B$16,1,IF(H1312&gt;=$B$17,$B$21,MATCH(H1312,Aux_CAV!$A$2:$A$121,1))))</f>
        <v>21</v>
      </c>
      <c r="AB1312" s="18" t="n">
        <f aca="false">IF(D1312="","",IF(L1312&lt;=$B$16,1,IF(L1312&gt;=$B$17,$B$21,MATCH(L1312,Aux_CAV!$A$2:$A$121,1))))</f>
        <v>21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1.49100260362785</v>
      </c>
      <c r="E1313" s="16" t="n">
        <f aca="false">IF(D1313="","",D1313*$B$15)</f>
        <v>3.86467874860339</v>
      </c>
      <c r="F1313" s="16" t="n">
        <f aca="false" t="array" ref="F1313:F1313">IF(D1313="","",IFERROR(INDEX(Dados_Evap!$C$2:$N$15,MATCH($B$9,Dados_Evap!$A$2:$A$15,0),C1313),0))</f>
        <v>108.2</v>
      </c>
      <c r="G1313" s="16" t="n">
        <f aca="false">IF(F1313="","",F1313/1000)</f>
        <v>0.1082</v>
      </c>
      <c r="H1313" s="16" t="n">
        <f aca="false">IF(D1313="","",MAX(0,MIN($B$8,IFERROR(LOOKUP(2,1/($U$24:U1312&lt;&gt;""),$U$24:U1312),$B$11))))</f>
        <v>63.9108872536877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8.36184916839904</v>
      </c>
      <c r="J1313" s="16" t="n">
        <f aca="false">IF(D1313="","",$B$12)</f>
        <v>0.432</v>
      </c>
      <c r="K1313" s="16" t="n">
        <f aca="false">IF(J1313="","",J1313*$B$15)</f>
        <v>1.119744</v>
      </c>
      <c r="L1313" s="16" t="n">
        <f aca="false">IF(D1313="","",H1313+E1313-K1313-G1313*I1313)</f>
        <v>65.7510699222703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8.51784221406322</v>
      </c>
      <c r="N1313" s="16" t="n">
        <f aca="false">IF(D1313="","",(I1313+M1313)/2)</f>
        <v>8.43984569123113</v>
      </c>
      <c r="O1313" s="16" t="n">
        <f aca="false">IF(D1313="","",G1313*N1313)</f>
        <v>0.913191303791208</v>
      </c>
      <c r="P1313" s="16" t="n">
        <f aca="false">IF(D1313="","",H1313+E1313-K1313-O1313)</f>
        <v>65.7426306984999</v>
      </c>
      <c r="Q1313" s="16" t="n">
        <f aca="false">IF(D1313="","",IF(P1313&gt;=0,K1313,MAX(0,K1313+P1313)))</f>
        <v>1.119744</v>
      </c>
      <c r="R1313" s="16" t="n">
        <f aca="false">IF(D1313="","",Q1313/$B$15)</f>
        <v>0.432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65.7426306984999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40.5818708015431</v>
      </c>
      <c r="Z1313" s="18" t="n">
        <f aca="false">IF(D1313="","",MAX(0,IF(P1313&gt;=0,P1313,IF(K1313+P1313&gt;=0,0,P1313+K1313))))</f>
        <v>65.7426306984999</v>
      </c>
      <c r="AA1313" s="18" t="n">
        <f aca="false">IF(D1313="","",IF(H1313&lt;=$B$16,1,IF(H1313&gt;=$B$17,$B$21,MATCH(H1313,Aux_CAV!$A$2:$A$121,1))))</f>
        <v>21</v>
      </c>
      <c r="AB1313" s="18" t="n">
        <f aca="false">IF(D1313="","",IF(L1313&lt;=$B$16,1,IF(L1313&gt;=$B$17,$B$21,MATCH(L1313,Aux_CAV!$A$2:$A$121,1))))</f>
        <v>21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1.87177509646628</v>
      </c>
      <c r="E1314" s="16" t="n">
        <f aca="false">IF(D1314="","",D1314*$B$15)</f>
        <v>4.8516410500406</v>
      </c>
      <c r="F1314" s="16" t="n">
        <f aca="false" t="array" ref="F1314:F1314">IF(D1314="","",IFERROR(INDEX(Dados_Evap!$C$2:$N$15,MATCH($B$9,Dados_Evap!$A$2:$A$15,0),C1314),0))</f>
        <v>149</v>
      </c>
      <c r="G1314" s="16" t="n">
        <f aca="false">IF(F1314="","",F1314/1000)</f>
        <v>0.149</v>
      </c>
      <c r="H1314" s="16" t="n">
        <f aca="false">IF(D1314="","",MAX(0,MIN($B$8,IFERROR(LOOKUP(2,1/($U$24:U1313&lt;&gt;""),$U$24:U1313),$B$11))))</f>
        <v>65.7426306984999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8.51712681757489</v>
      </c>
      <c r="J1314" s="16" t="n">
        <f aca="false">IF(D1314="","",$B$12)</f>
        <v>0.432</v>
      </c>
      <c r="K1314" s="16" t="n">
        <f aca="false">IF(J1314="","",J1314*$B$15)</f>
        <v>1.119744</v>
      </c>
      <c r="L1314" s="16" t="n">
        <f aca="false">IF(D1314="","",H1314+E1314-K1314-G1314*I1314)</f>
        <v>68.2054758527218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8.72590321959495</v>
      </c>
      <c r="N1314" s="16" t="n">
        <f aca="false">IF(D1314="","",(I1314+M1314)/2)</f>
        <v>8.62151501858492</v>
      </c>
      <c r="O1314" s="16" t="n">
        <f aca="false">IF(D1314="","",G1314*N1314)</f>
        <v>1.28460573776915</v>
      </c>
      <c r="P1314" s="16" t="n">
        <f aca="false">IF(D1314="","",H1314+E1314-K1314-O1314)</f>
        <v>68.1899220107713</v>
      </c>
      <c r="Q1314" s="16" t="n">
        <f aca="false">IF(D1314="","",IF(P1314&gt;=0,K1314,MAX(0,K1314+P1314)))</f>
        <v>1.119744</v>
      </c>
      <c r="R1314" s="16" t="n">
        <f aca="false">IF(D1314="","",Q1314/$B$15)</f>
        <v>0.432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68.1899220107713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42.0925444510934</v>
      </c>
      <c r="Z1314" s="18" t="n">
        <f aca="false">IF(D1314="","",MAX(0,IF(P1314&gt;=0,P1314,IF(K1314+P1314&gt;=0,0,P1314+K1314))))</f>
        <v>68.1899220107713</v>
      </c>
      <c r="AA1314" s="18" t="n">
        <f aca="false">IF(D1314="","",IF(H1314&lt;=$B$16,1,IF(H1314&gt;=$B$17,$B$21,MATCH(H1314,Aux_CAV!$A$2:$A$121,1))))</f>
        <v>21</v>
      </c>
      <c r="AB1314" s="18" t="n">
        <f aca="false">IF(D1314="","",IF(L1314&lt;=$B$16,1,IF(L1314&gt;=$B$17,$B$21,MATCH(L1314,Aux_CAV!$A$2:$A$121,1))))</f>
        <v>21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0.194019011196243</v>
      </c>
      <c r="E1315" s="16" t="n">
        <f aca="false">IF(D1315="","",D1315*$B$15)</f>
        <v>0.502897277020662</v>
      </c>
      <c r="F1315" s="16" t="n">
        <f aca="false" t="array" ref="F1315:F1315">IF(D1315="","",IFERROR(INDEX(Dados_Evap!$C$2:$N$15,MATCH($B$9,Dados_Evap!$A$2:$A$15,0),C1315),0))</f>
        <v>206.8</v>
      </c>
      <c r="G1315" s="16" t="n">
        <f aca="false">IF(F1315="","",F1315/1000)</f>
        <v>0.2068</v>
      </c>
      <c r="H1315" s="16" t="n">
        <f aca="false">IF(D1315="","",MAX(0,MIN($B$8,IFERROR(LOOKUP(2,1/($U$24:U1314&lt;&gt;""),$U$24:U1314),$B$11))))</f>
        <v>68.1899220107713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8.72458471398186</v>
      </c>
      <c r="J1315" s="16" t="n">
        <f aca="false">IF(D1315="","",$B$12)</f>
        <v>0.432</v>
      </c>
      <c r="K1315" s="16" t="n">
        <f aca="false">IF(J1315="","",J1315*$B$15)</f>
        <v>1.119744</v>
      </c>
      <c r="L1315" s="16" t="n">
        <f aca="false">IF(D1315="","",H1315+E1315-K1315-G1315*I1315)</f>
        <v>65.7688311689405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8.51934784228708</v>
      </c>
      <c r="N1315" s="16" t="n">
        <f aca="false">IF(D1315="","",(I1315+M1315)/2)</f>
        <v>8.62196627813447</v>
      </c>
      <c r="O1315" s="16" t="n">
        <f aca="false">IF(D1315="","",G1315*N1315)</f>
        <v>1.78302262631821</v>
      </c>
      <c r="P1315" s="16" t="n">
        <f aca="false">IF(D1315="","",H1315+E1315-K1315-O1315)</f>
        <v>65.7900526614738</v>
      </c>
      <c r="Q1315" s="16" t="n">
        <f aca="false">IF(D1315="","",IF(P1315&gt;=0,K1315,MAX(0,K1315+P1315)))</f>
        <v>1.119744</v>
      </c>
      <c r="R1315" s="16" t="n">
        <f aca="false">IF(D1315="","",Q1315/$B$15)</f>
        <v>0.432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65.7900526614738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40.6111436181937</v>
      </c>
      <c r="Z1315" s="18" t="n">
        <f aca="false">IF(D1315="","",MAX(0,IF(P1315&gt;=0,P1315,IF(K1315+P1315&gt;=0,0,P1315+K1315))))</f>
        <v>65.7900526614738</v>
      </c>
      <c r="AA1315" s="18" t="n">
        <f aca="false">IF(D1315="","",IF(H1315&lt;=$B$16,1,IF(H1315&gt;=$B$17,$B$21,MATCH(H1315,Aux_CAV!$A$2:$A$121,1))))</f>
        <v>21</v>
      </c>
      <c r="AB1315" s="18" t="n">
        <f aca="false">IF(D1315="","",IF(L1315&lt;=$B$16,1,IF(L1315&gt;=$B$17,$B$21,MATCH(L1315,Aux_CAV!$A$2:$A$121,1))))</f>
        <v>21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0.183147640848389</v>
      </c>
      <c r="E1316" s="16" t="n">
        <f aca="false">IF(D1316="","",D1316*$B$15)</f>
        <v>0.474718685079024</v>
      </c>
      <c r="F1316" s="16" t="n">
        <f aca="false" t="array" ref="F1316:F1316">IF(D1316="","",IFERROR(INDEX(Dados_Evap!$C$2:$N$15,MATCH($B$9,Dados_Evap!$A$2:$A$15,0),C1316),0))</f>
        <v>245.9</v>
      </c>
      <c r="G1316" s="16" t="n">
        <f aca="false">IF(F1316="","",F1316/1000)</f>
        <v>0.2459</v>
      </c>
      <c r="H1316" s="16" t="n">
        <f aca="false">IF(D1316="","",MAX(0,MIN($B$8,IFERROR(LOOKUP(2,1/($U$24:U1315&lt;&gt;""),$U$24:U1315),$B$11))))</f>
        <v>65.7900526614738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8.52114679698344</v>
      </c>
      <c r="J1316" s="16" t="n">
        <f aca="false">IF(D1316="","",$B$12)</f>
        <v>0.432</v>
      </c>
      <c r="K1316" s="16" t="n">
        <f aca="false">IF(J1316="","",J1316*$B$15)</f>
        <v>1.119744</v>
      </c>
      <c r="L1316" s="16" t="n">
        <f aca="false">IF(D1316="","",H1316+E1316-K1316-G1316*I1316)</f>
        <v>63.0496773491746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8.28884404871457</v>
      </c>
      <c r="N1316" s="16" t="n">
        <f aca="false">IF(D1316="","",(I1316+M1316)/2)</f>
        <v>8.40499542284901</v>
      </c>
      <c r="O1316" s="16" t="n">
        <f aca="false">IF(D1316="","",G1316*N1316)</f>
        <v>2.06678837447857</v>
      </c>
      <c r="P1316" s="16" t="n">
        <f aca="false">IF(D1316="","",H1316+E1316-K1316-O1316)</f>
        <v>63.0782389720742</v>
      </c>
      <c r="Q1316" s="16" t="n">
        <f aca="false">IF(D1316="","",IF(P1316&gt;=0,K1316,MAX(0,K1316+P1316)))</f>
        <v>1.119744</v>
      </c>
      <c r="R1316" s="16" t="n">
        <f aca="false">IF(D1316="","",Q1316/$B$15)</f>
        <v>0.432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63.0782389720742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38.9371845506631</v>
      </c>
      <c r="Z1316" s="18" t="n">
        <f aca="false">IF(D1316="","",MAX(0,IF(P1316&gt;=0,P1316,IF(K1316+P1316&gt;=0,0,P1316+K1316))))</f>
        <v>63.0782389720742</v>
      </c>
      <c r="AA1316" s="18" t="n">
        <f aca="false">IF(D1316="","",IF(H1316&lt;=$B$16,1,IF(H1316&gt;=$B$17,$B$21,MATCH(H1316,Aux_CAV!$A$2:$A$121,1))))</f>
        <v>21</v>
      </c>
      <c r="AB1316" s="18" t="n">
        <f aca="false">IF(D1316="","",IF(L1316&lt;=$B$16,1,IF(L1316&gt;=$B$17,$B$21,MATCH(L1316,Aux_CAV!$A$2:$A$121,1))))</f>
        <v>21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0.24506158669452</v>
      </c>
      <c r="E1317" s="16" t="n">
        <f aca="false">IF(D1317="","",D1317*$B$15)</f>
        <v>0.635199632712196</v>
      </c>
      <c r="F1317" s="16" t="n">
        <f aca="false" t="array" ref="F1317:F1317">IF(D1317="","",IFERROR(INDEX(Dados_Evap!$C$2:$N$15,MATCH($B$9,Dados_Evap!$A$2:$A$15,0),C1317),0))</f>
        <v>282.3</v>
      </c>
      <c r="G1317" s="16" t="n">
        <f aca="false">IF(F1317="","",F1317/1000)</f>
        <v>0.2823</v>
      </c>
      <c r="H1317" s="16" t="n">
        <f aca="false">IF(D1317="","",MAX(0,MIN($B$8,IFERROR(LOOKUP(2,1/($U$24:U1316&lt;&gt;""),$U$24:U1316),$B$11))))</f>
        <v>63.0782389720742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8.29126522929696</v>
      </c>
      <c r="J1317" s="16" t="n">
        <f aca="false">IF(D1317="","",$B$12)</f>
        <v>0.432</v>
      </c>
      <c r="K1317" s="16" t="n">
        <f aca="false">IF(J1317="","",J1317*$B$15)</f>
        <v>1.119744</v>
      </c>
      <c r="L1317" s="16" t="n">
        <f aca="false">IF(D1317="","",H1317+E1317-K1317-G1317*I1317)</f>
        <v>60.2530704305559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8.05177452392828</v>
      </c>
      <c r="N1317" s="16" t="n">
        <f aca="false">IF(D1317="","",(I1317+M1317)/2)</f>
        <v>8.17151987661262</v>
      </c>
      <c r="O1317" s="16" t="n">
        <f aca="false">IF(D1317="","",G1317*N1317)</f>
        <v>2.30682006116774</v>
      </c>
      <c r="P1317" s="16" t="n">
        <f aca="false">IF(D1317="","",H1317+E1317-K1317-O1317)</f>
        <v>60.2868745436187</v>
      </c>
      <c r="Q1317" s="16" t="n">
        <f aca="false">IF(D1317="","",IF(P1317&gt;=0,K1317,MAX(0,K1317+P1317)))</f>
        <v>1.119744</v>
      </c>
      <c r="R1317" s="16" t="n">
        <f aca="false">IF(D1317="","",Q1317/$B$15)</f>
        <v>0.432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60.2868745436187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37.2141200886535</v>
      </c>
      <c r="Z1317" s="18" t="n">
        <f aca="false">IF(D1317="","",MAX(0,IF(P1317&gt;=0,P1317,IF(K1317+P1317&gt;=0,0,P1317+K1317))))</f>
        <v>60.2868745436187</v>
      </c>
      <c r="AA1317" s="18" t="n">
        <f aca="false">IF(D1317="","",IF(H1317&lt;=$B$16,1,IF(H1317&gt;=$B$17,$B$21,MATCH(H1317,Aux_CAV!$A$2:$A$121,1))))</f>
        <v>21</v>
      </c>
      <c r="AB1317" s="18" t="n">
        <f aca="false">IF(D1317="","",IF(L1317&lt;=$B$16,1,IF(L1317&gt;=$B$17,$B$21,MATCH(L1317,Aux_CAV!$A$2:$A$121,1))))</f>
        <v>21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0.181618949584097</v>
      </c>
      <c r="E1318" s="16" t="n">
        <f aca="false">IF(D1318="","",D1318*$B$15)</f>
        <v>0.470756317321979</v>
      </c>
      <c r="F1318" s="16" t="n">
        <f aca="false" t="array" ref="F1318:F1318">IF(D1318="","",IFERROR(INDEX(Dados_Evap!$C$2:$N$15,MATCH($B$9,Dados_Evap!$A$2:$A$15,0),C1318),0))</f>
        <v>241.3</v>
      </c>
      <c r="G1318" s="16" t="n">
        <f aca="false">IF(F1318="","",F1318/1000)</f>
        <v>0.2413</v>
      </c>
      <c r="H1318" s="16" t="n">
        <f aca="false">IF(D1318="","",MAX(0,MIN($B$8,IFERROR(LOOKUP(2,1/($U$24:U1317&lt;&gt;""),$U$24:U1317),$B$11))))</f>
        <v>60.2868745436187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8.05464011256938</v>
      </c>
      <c r="J1318" s="16" t="n">
        <f aca="false">IF(D1318="","",$B$12)</f>
        <v>0.432</v>
      </c>
      <c r="K1318" s="16" t="n">
        <f aca="false">IF(J1318="","",J1318*$B$15)</f>
        <v>1.119744</v>
      </c>
      <c r="L1318" s="16" t="n">
        <f aca="false">IF(D1318="","",H1318+E1318-K1318-G1318*I1318)</f>
        <v>57.6943022017777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7.83486668321739</v>
      </c>
      <c r="N1318" s="16" t="n">
        <f aca="false">IF(D1318="","",(I1318+M1318)/2)</f>
        <v>7.94475339789338</v>
      </c>
      <c r="O1318" s="16" t="n">
        <f aca="false">IF(D1318="","",G1318*N1318)</f>
        <v>1.91706899491167</v>
      </c>
      <c r="P1318" s="16" t="n">
        <f aca="false">IF(D1318="","",H1318+E1318-K1318-O1318)</f>
        <v>57.720817866029</v>
      </c>
      <c r="Q1318" s="16" t="n">
        <f aca="false">IF(D1318="","",IF(P1318&gt;=0,K1318,MAX(0,K1318+P1318)))</f>
        <v>1.119744</v>
      </c>
      <c r="R1318" s="16" t="n">
        <f aca="false">IF(D1318="","",Q1318/$B$15)</f>
        <v>0.432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57.720817866029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35.6301344852031</v>
      </c>
      <c r="Z1318" s="18" t="n">
        <f aca="false">IF(D1318="","",MAX(0,IF(P1318&gt;=0,P1318,IF(K1318+P1318&gt;=0,0,P1318+K1318))))</f>
        <v>57.720817866029</v>
      </c>
      <c r="AA1318" s="18" t="n">
        <f aca="false">IF(D1318="","",IF(H1318&lt;=$B$16,1,IF(H1318&gt;=$B$17,$B$21,MATCH(H1318,Aux_CAV!$A$2:$A$121,1))))</f>
        <v>21</v>
      </c>
      <c r="AB1318" s="18" t="n">
        <f aca="false">IF(D1318="","",IF(L1318&lt;=$B$16,1,IF(L1318&gt;=$B$17,$B$21,MATCH(L1318,Aux_CAV!$A$2:$A$121,1))))</f>
        <v>21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0.315244819512069</v>
      </c>
      <c r="E1319" s="16" t="n">
        <f aca="false">IF(D1319="","",D1319*$B$15)</f>
        <v>0.817114572175283</v>
      </c>
      <c r="F1319" s="16" t="n">
        <f aca="false" t="array" ref="F1319:F1319">IF(D1319="","",IFERROR(INDEX(Dados_Evap!$C$2:$N$15,MATCH($B$9,Dados_Evap!$A$2:$A$15,0),C1319),0))</f>
        <v>241.8</v>
      </c>
      <c r="G1319" s="16" t="n">
        <f aca="false">IF(F1319="","",F1319/1000)</f>
        <v>0.2418</v>
      </c>
      <c r="H1319" s="16" t="n">
        <f aca="false">IF(D1319="","",MAX(0,MIN($B$8,IFERROR(LOOKUP(2,1/($U$24:U1318&lt;&gt;""),$U$24:U1318),$B$11))))</f>
        <v>57.720817866029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7.83711442703923</v>
      </c>
      <c r="J1319" s="16" t="n">
        <f aca="false">IF(D1319="","",$B$12)</f>
        <v>0.432</v>
      </c>
      <c r="K1319" s="16" t="n">
        <f aca="false">IF(J1319="","",J1319*$B$15)</f>
        <v>1.119744</v>
      </c>
      <c r="L1319" s="16" t="n">
        <f aca="false">IF(D1319="","",H1319+E1319-K1319-G1319*I1319)</f>
        <v>55.5231741697462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7.65081926225981</v>
      </c>
      <c r="N1319" s="16" t="n">
        <f aca="false">IF(D1319="","",(I1319+M1319)/2)</f>
        <v>7.74396684464952</v>
      </c>
      <c r="O1319" s="16" t="n">
        <f aca="false">IF(D1319="","",G1319*N1319)</f>
        <v>1.87249118303625</v>
      </c>
      <c r="P1319" s="16" t="n">
        <f aca="false">IF(D1319="","",H1319+E1319-K1319-O1319)</f>
        <v>55.545697255168</v>
      </c>
      <c r="Q1319" s="16" t="n">
        <f aca="false">IF(D1319="","",IF(P1319&gt;=0,K1319,MAX(0,K1319+P1319)))</f>
        <v>1.119744</v>
      </c>
      <c r="R1319" s="16" t="n">
        <f aca="false">IF(D1319="","",Q1319/$B$15)</f>
        <v>0.432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55.545697255168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34.2874674414617</v>
      </c>
      <c r="Z1319" s="18" t="n">
        <f aca="false">IF(D1319="","",MAX(0,IF(P1319&gt;=0,P1319,IF(K1319+P1319&gt;=0,0,P1319+K1319))))</f>
        <v>55.545697255168</v>
      </c>
      <c r="AA1319" s="18" t="n">
        <f aca="false">IF(D1319="","",IF(H1319&lt;=$B$16,1,IF(H1319&gt;=$B$17,$B$21,MATCH(H1319,Aux_CAV!$A$2:$A$121,1))))</f>
        <v>21</v>
      </c>
      <c r="AB1319" s="18" t="n">
        <f aca="false">IF(D1319="","",IF(L1319&lt;=$B$16,1,IF(L1319&gt;=$B$17,$B$21,MATCH(L1319,Aux_CAV!$A$2:$A$121,1))))</f>
        <v>21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0.639436067976189</v>
      </c>
      <c r="E1320" s="16" t="n">
        <f aca="false">IF(D1320="","",D1320*$B$15)</f>
        <v>1.65741828819428</v>
      </c>
      <c r="F1320" s="16" t="n">
        <f aca="false" t="array" ref="F1320:F1320">IF(D1320="","",IFERROR(INDEX(Dados_Evap!$C$2:$N$15,MATCH($B$9,Dados_Evap!$A$2:$A$15,0),C1320),0))</f>
        <v>189</v>
      </c>
      <c r="G1320" s="16" t="n">
        <f aca="false">IF(F1320="","",F1320/1000)</f>
        <v>0.189</v>
      </c>
      <c r="H1320" s="16" t="n">
        <f aca="false">IF(D1320="","",MAX(0,MIN($B$8,IFERROR(LOOKUP(2,1/($U$24:U1319&lt;&gt;""),$U$24:U1319),$B$11))))</f>
        <v>55.545697255168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7.65272855352349</v>
      </c>
      <c r="J1320" s="16" t="n">
        <f aca="false">IF(D1320="","",$B$12)</f>
        <v>0.432</v>
      </c>
      <c r="K1320" s="16" t="n">
        <f aca="false">IF(J1320="","",J1320*$B$15)</f>
        <v>1.119744</v>
      </c>
      <c r="L1320" s="16" t="n">
        <f aca="false">IF(D1320="","",H1320+E1320-K1320-G1320*I1320)</f>
        <v>54.6370058467464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7.57569840712082</v>
      </c>
      <c r="N1320" s="16" t="n">
        <f aca="false">IF(D1320="","",(I1320+M1320)/2)</f>
        <v>7.61421348032216</v>
      </c>
      <c r="O1320" s="16" t="n">
        <f aca="false">IF(D1320="","",G1320*N1320)</f>
        <v>1.43908634778089</v>
      </c>
      <c r="P1320" s="16" t="n">
        <f aca="false">IF(D1320="","",H1320+E1320-K1320-O1320)</f>
        <v>54.6442851955814</v>
      </c>
      <c r="Q1320" s="16" t="n">
        <f aca="false">IF(D1320="","",IF(P1320&gt;=0,K1320,MAX(0,K1320+P1320)))</f>
        <v>1.119744</v>
      </c>
      <c r="R1320" s="16" t="n">
        <f aca="false">IF(D1320="","",Q1320/$B$15)</f>
        <v>0.432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54.6442851955814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33.7310402441861</v>
      </c>
      <c r="Z1320" s="18" t="n">
        <f aca="false">IF(D1320="","",MAX(0,IF(P1320&gt;=0,P1320,IF(K1320+P1320&gt;=0,0,P1320+K1320))))</f>
        <v>54.6442851955814</v>
      </c>
      <c r="AA1320" s="18" t="n">
        <f aca="false">IF(D1320="","",IF(H1320&lt;=$B$16,1,IF(H1320&gt;=$B$17,$B$21,MATCH(H1320,Aux_CAV!$A$2:$A$121,1))))</f>
        <v>21</v>
      </c>
      <c r="AB1320" s="18" t="n">
        <f aca="false">IF(D1320="","",IF(L1320&lt;=$B$16,1,IF(L1320&gt;=$B$17,$B$21,MATCH(L1320,Aux_CAV!$A$2:$A$121,1))))</f>
        <v>21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1.37119621043791</v>
      </c>
      <c r="E1321" s="16" t="n">
        <f aca="false">IF(D1321="","",D1321*$B$15)</f>
        <v>3.55414057745506</v>
      </c>
      <c r="F1321" s="16" t="n">
        <f aca="false" t="array" ref="F1321:F1321">IF(D1321="","",IFERROR(INDEX(Dados_Evap!$C$2:$N$15,MATCH($B$9,Dados_Evap!$A$2:$A$15,0),C1321),0))</f>
        <v>136.9</v>
      </c>
      <c r="G1321" s="16" t="n">
        <f aca="false">IF(F1321="","",F1321/1000)</f>
        <v>0.1369</v>
      </c>
      <c r="H1321" s="16" t="n">
        <f aca="false">IF(D1321="","",MAX(0,MIN($B$8,IFERROR(LOOKUP(2,1/($U$24:U1320&lt;&gt;""),$U$24:U1320),$B$11))))</f>
        <v>54.6442851955814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7.57631548053131</v>
      </c>
      <c r="J1321" s="16" t="n">
        <f aca="false">IF(D1321="","",$B$12)</f>
        <v>0.432</v>
      </c>
      <c r="K1321" s="16" t="n">
        <f aca="false">IF(J1321="","",J1321*$B$15)</f>
        <v>1.119744</v>
      </c>
      <c r="L1321" s="16" t="n">
        <f aca="false">IF(D1321="","",H1321+E1321-K1321-G1321*I1321)</f>
        <v>56.0414841837517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7.69475661644935</v>
      </c>
      <c r="N1321" s="16" t="n">
        <f aca="false">IF(D1321="","",(I1321+M1321)/2)</f>
        <v>7.63553604849033</v>
      </c>
      <c r="O1321" s="16" t="n">
        <f aca="false">IF(D1321="","",G1321*N1321)</f>
        <v>1.04530488503833</v>
      </c>
      <c r="P1321" s="16" t="n">
        <f aca="false">IF(D1321="","",H1321+E1321-K1321-O1321)</f>
        <v>56.0333768879981</v>
      </c>
      <c r="Q1321" s="16" t="n">
        <f aca="false">IF(D1321="","",IF(P1321&gt;=0,K1321,MAX(0,K1321+P1321)))</f>
        <v>1.119744</v>
      </c>
      <c r="R1321" s="16" t="n">
        <f aca="false">IF(D1321="","",Q1321/$B$15)</f>
        <v>0.432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56.0333768879981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34.5885042518507</v>
      </c>
      <c r="Z1321" s="18" t="n">
        <f aca="false">IF(D1321="","",MAX(0,IF(P1321&gt;=0,P1321,IF(K1321+P1321&gt;=0,0,P1321+K1321))))</f>
        <v>56.0333768879981</v>
      </c>
      <c r="AA1321" s="18" t="n">
        <f aca="false">IF(D1321="","",IF(H1321&lt;=$B$16,1,IF(H1321&gt;=$B$17,$B$21,MATCH(H1321,Aux_CAV!$A$2:$A$121,1))))</f>
        <v>21</v>
      </c>
      <c r="AB1321" s="18" t="n">
        <f aca="false">IF(D1321="","",IF(L1321&lt;=$B$16,1,IF(L1321&gt;=$B$17,$B$21,MATCH(L1321,Aux_CAV!$A$2:$A$121,1))))</f>
        <v>21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2.57510247644179</v>
      </c>
      <c r="E1322" s="16" t="n">
        <f aca="false">IF(D1322="","",D1322*$B$15)</f>
        <v>6.67466561893712</v>
      </c>
      <c r="F1322" s="16" t="n">
        <f aca="false" t="array" ref="F1322:F1322">IF(D1322="","",IFERROR(INDEX(Dados_Evap!$C$2:$N$15,MATCH($B$9,Dados_Evap!$A$2:$A$15,0),C1322),0))</f>
        <v>102.9</v>
      </c>
      <c r="G1322" s="16" t="n">
        <f aca="false">IF(F1322="","",F1322/1000)</f>
        <v>0.1029</v>
      </c>
      <c r="H1322" s="16" t="n">
        <f aca="false">IF(D1322="","",MAX(0,MIN($B$8,IFERROR(LOOKUP(2,1/($U$24:U1321&lt;&gt;""),$U$24:U1321),$B$11))))</f>
        <v>56.0333768879981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7.69406935763625</v>
      </c>
      <c r="J1322" s="16" t="n">
        <f aca="false">IF(D1322="","",$B$12)</f>
        <v>0.432</v>
      </c>
      <c r="K1322" s="16" t="n">
        <f aca="false">IF(J1322="","",J1322*$B$15)</f>
        <v>1.119744</v>
      </c>
      <c r="L1322" s="16" t="n">
        <f aca="false">IF(D1322="","",H1322+E1322-K1322-G1322*I1322)</f>
        <v>60.7965787700345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8.09784795058676</v>
      </c>
      <c r="N1322" s="16" t="n">
        <f aca="false">IF(D1322="","",(I1322+M1322)/2)</f>
        <v>7.8959586541115</v>
      </c>
      <c r="O1322" s="16" t="n">
        <f aca="false">IF(D1322="","",G1322*N1322)</f>
        <v>0.812494145508074</v>
      </c>
      <c r="P1322" s="16" t="n">
        <f aca="false">IF(D1322="","",H1322+E1322-K1322-O1322)</f>
        <v>60.7758043614272</v>
      </c>
      <c r="Q1322" s="16" t="n">
        <f aca="false">IF(D1322="","",IF(P1322&gt;=0,K1322,MAX(0,K1322+P1322)))</f>
        <v>1.119744</v>
      </c>
      <c r="R1322" s="16" t="n">
        <f aca="false">IF(D1322="","",Q1322/$B$15)</f>
        <v>0.432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60.7758043614272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37.5159286181649</v>
      </c>
      <c r="Z1322" s="18" t="n">
        <f aca="false">IF(D1322="","",MAX(0,IF(P1322&gt;=0,P1322,IF(K1322+P1322&gt;=0,0,P1322+K1322))))</f>
        <v>60.7758043614272</v>
      </c>
      <c r="AA1322" s="18" t="n">
        <f aca="false">IF(D1322="","",IF(H1322&lt;=$B$16,1,IF(H1322&gt;=$B$17,$B$21,MATCH(H1322,Aux_CAV!$A$2:$A$121,1))))</f>
        <v>21</v>
      </c>
      <c r="AB1322" s="18" t="n">
        <f aca="false">IF(D1322="","",IF(L1322&lt;=$B$16,1,IF(L1322&gt;=$B$17,$B$21,MATCH(L1322,Aux_CAV!$A$2:$A$121,1))))</f>
        <v>21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6.74799024538077</v>
      </c>
      <c r="E1323" s="16" t="n">
        <f aca="false">IF(D1323="","",D1323*$B$15)</f>
        <v>17.490790716027</v>
      </c>
      <c r="F1323" s="16" t="n">
        <f aca="false" t="array" ref="F1323:F1323">IF(D1323="","",IFERROR(INDEX(Dados_Evap!$C$2:$N$15,MATCH($B$9,Dados_Evap!$A$2:$A$15,0),C1323),0))</f>
        <v>81.8</v>
      </c>
      <c r="G1323" s="16" t="n">
        <f aca="false">IF(F1323="","",F1323/1000)</f>
        <v>0.0818</v>
      </c>
      <c r="H1323" s="16" t="n">
        <f aca="false">IF(D1323="","",MAX(0,MIN($B$8,IFERROR(LOOKUP(2,1/($U$24:U1322&lt;&gt;""),$U$24:U1322),$B$11))))</f>
        <v>60.7758043614272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8.09608689537966</v>
      </c>
      <c r="J1323" s="16" t="n">
        <f aca="false">IF(D1323="","",$B$12)</f>
        <v>0.432</v>
      </c>
      <c r="K1323" s="16" t="n">
        <f aca="false">IF(J1323="","",J1323*$B$15)</f>
        <v>1.119744</v>
      </c>
      <c r="L1323" s="16" t="n">
        <f aca="false">IF(D1323="","",H1323+E1323-K1323-G1323*I1323)</f>
        <v>76.4845911694121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9.42772724810308</v>
      </c>
      <c r="N1323" s="16" t="n">
        <f aca="false">IF(D1323="","",(I1323+M1323)/2)</f>
        <v>8.76190707174137</v>
      </c>
      <c r="O1323" s="16" t="n">
        <f aca="false">IF(D1323="","",G1323*N1323)</f>
        <v>0.716723998468444</v>
      </c>
      <c r="P1323" s="16" t="n">
        <f aca="false">IF(D1323="","",H1323+E1323-K1323-O1323)</f>
        <v>76.4301270789857</v>
      </c>
      <c r="Q1323" s="16" t="n">
        <f aca="false">IF(D1323="","",IF(P1323&gt;=0,K1323,MAX(0,K1323+P1323)))</f>
        <v>1.119744</v>
      </c>
      <c r="R1323" s="16" t="n">
        <f aca="false">IF(D1323="","",Q1323/$B$15)</f>
        <v>0.432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76.4301270789857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47.1790907894973</v>
      </c>
      <c r="Z1323" s="18" t="n">
        <f aca="false">IF(D1323="","",MAX(0,IF(P1323&gt;=0,P1323,IF(K1323+P1323&gt;=0,0,P1323+K1323))))</f>
        <v>76.4301270789857</v>
      </c>
      <c r="AA1323" s="18" t="n">
        <f aca="false">IF(D1323="","",IF(H1323&lt;=$B$16,1,IF(H1323&gt;=$B$17,$B$21,MATCH(H1323,Aux_CAV!$A$2:$A$121,1))))</f>
        <v>21</v>
      </c>
      <c r="AB1323" s="18" t="n">
        <f aca="false">IF(D1323="","",IF(L1323&lt;=$B$16,1,IF(L1323&gt;=$B$17,$B$21,MATCH(L1323,Aux_CAV!$A$2:$A$121,1))))</f>
        <v>21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3.86940000549797</v>
      </c>
      <c r="E1324" s="16" t="n">
        <f aca="false">IF(D1324="","",D1324*$B$15)</f>
        <v>10.0294848142507</v>
      </c>
      <c r="F1324" s="16" t="n">
        <f aca="false" t="array" ref="F1324:F1324">IF(D1324="","",IFERROR(INDEX(Dados_Evap!$C$2:$N$15,MATCH($B$9,Dados_Evap!$A$2:$A$15,0),C1324),0))</f>
        <v>83.6</v>
      </c>
      <c r="G1324" s="16" t="n">
        <f aca="false">IF(F1324="","",F1324/1000)</f>
        <v>0.0836</v>
      </c>
      <c r="H1324" s="16" t="n">
        <f aca="false">IF(D1324="","",MAX(0,MIN($B$8,IFERROR(LOOKUP(2,1/($U$24:U1323&lt;&gt;""),$U$24:U1323),$B$11))))</f>
        <v>76.4301270789857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9.42311030463872</v>
      </c>
      <c r="J1324" s="16" t="n">
        <f aca="false">IF(D1324="","",$B$12)</f>
        <v>0.432</v>
      </c>
      <c r="K1324" s="16" t="n">
        <f aca="false">IF(J1324="","",J1324*$B$15)</f>
        <v>1.119744</v>
      </c>
      <c r="L1324" s="16" t="n">
        <f aca="false">IF(D1324="","",H1324+E1324-K1324-G1324*I1324)</f>
        <v>84.5520958717686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10.1116129573409</v>
      </c>
      <c r="N1324" s="16" t="n">
        <f aca="false">IF(D1324="","",(I1324+M1324)/2)</f>
        <v>9.7673616309898</v>
      </c>
      <c r="O1324" s="16" t="n">
        <f aca="false">IF(D1324="","",G1324*N1324)</f>
        <v>0.816551432350747</v>
      </c>
      <c r="P1324" s="16" t="n">
        <f aca="false">IF(D1324="","",H1324+E1324-K1324-O1324)</f>
        <v>84.5233164608857</v>
      </c>
      <c r="Q1324" s="16" t="n">
        <f aca="false">IF(D1324="","",IF(P1324&gt;=0,K1324,MAX(0,K1324+P1324)))</f>
        <v>1.119744</v>
      </c>
      <c r="R1324" s="16" t="n">
        <f aca="false">IF(D1324="","",Q1324/$B$15)</f>
        <v>0.432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84.5233164608857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52.1748867042504</v>
      </c>
      <c r="Z1324" s="18" t="n">
        <f aca="false">IF(D1324="","",MAX(0,IF(P1324&gt;=0,P1324,IF(K1324+P1324&gt;=0,0,P1324+K1324))))</f>
        <v>84.5233164608857</v>
      </c>
      <c r="AA1324" s="18" t="n">
        <f aca="false">IF(D1324="","",IF(H1324&lt;=$B$16,1,IF(H1324&gt;=$B$17,$B$21,MATCH(H1324,Aux_CAV!$A$2:$A$121,1))))</f>
        <v>21</v>
      </c>
      <c r="AB1324" s="18" t="n">
        <f aca="false">IF(D1324="","",IF(L1324&lt;=$B$16,1,IF(L1324&gt;=$B$17,$B$21,MATCH(L1324,Aux_CAV!$A$2:$A$121,1))))</f>
        <v>21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1.04925523500713</v>
      </c>
      <c r="E1325" s="16" t="n">
        <f aca="false">IF(D1325="","",D1325*$B$15)</f>
        <v>2.71966956913848</v>
      </c>
      <c r="F1325" s="16" t="n">
        <f aca="false" t="array" ref="F1325:F1325">IF(D1325="","",IFERROR(INDEX(Dados_Evap!$C$2:$N$15,MATCH($B$9,Dados_Evap!$A$2:$A$15,0),C1325),0))</f>
        <v>108.2</v>
      </c>
      <c r="G1325" s="16" t="n">
        <f aca="false">IF(F1325="","",F1325/1000)</f>
        <v>0.1082</v>
      </c>
      <c r="H1325" s="16" t="n">
        <f aca="false">IF(D1325="","",MAX(0,MIN($B$8,IFERROR(LOOKUP(2,1/($U$24:U1324&lt;&gt;""),$U$24:U1324),$B$11))))</f>
        <v>84.5233164608857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10.1091733147811</v>
      </c>
      <c r="J1325" s="16" t="n">
        <f aca="false">IF(D1325="","",$B$12)</f>
        <v>0.432</v>
      </c>
      <c r="K1325" s="16" t="n">
        <f aca="false">IF(J1325="","",J1325*$B$15)</f>
        <v>1.119744</v>
      </c>
      <c r="L1325" s="16" t="n">
        <f aca="false">IF(D1325="","",H1325+E1325-K1325-G1325*I1325)</f>
        <v>85.0294294773649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10.1520767244473</v>
      </c>
      <c r="N1325" s="16" t="n">
        <f aca="false">IF(D1325="","",(I1325+M1325)/2)</f>
        <v>10.1306250196142</v>
      </c>
      <c r="O1325" s="16" t="n">
        <f aca="false">IF(D1325="","",G1325*N1325)</f>
        <v>1.09613362712226</v>
      </c>
      <c r="P1325" s="16" t="n">
        <f aca="false">IF(D1325="","",H1325+E1325-K1325-O1325)</f>
        <v>85.0271084029019</v>
      </c>
      <c r="Q1325" s="16" t="n">
        <f aca="false">IF(D1325="","",IF(P1325&gt;=0,K1325,MAX(0,K1325+P1325)))</f>
        <v>1.119744</v>
      </c>
      <c r="R1325" s="16" t="n">
        <f aca="false">IF(D1325="","",Q1325/$B$15)</f>
        <v>0.432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85.0271084029019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52.4858693845074</v>
      </c>
      <c r="Z1325" s="18" t="n">
        <f aca="false">IF(D1325="","",MAX(0,IF(P1325&gt;=0,P1325,IF(K1325+P1325&gt;=0,0,P1325+K1325))))</f>
        <v>85.0271084029019</v>
      </c>
      <c r="AA1325" s="18" t="n">
        <f aca="false">IF(D1325="","",IF(H1325&lt;=$B$16,1,IF(H1325&gt;=$B$17,$B$21,MATCH(H1325,Aux_CAV!$A$2:$A$121,1))))</f>
        <v>21</v>
      </c>
      <c r="AB1325" s="18" t="n">
        <f aca="false">IF(D1325="","",IF(L1325&lt;=$B$16,1,IF(L1325&gt;=$B$17,$B$21,MATCH(L1325,Aux_CAV!$A$2:$A$121,1))))</f>
        <v>21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1.15532200204128</v>
      </c>
      <c r="E1326" s="16" t="n">
        <f aca="false">IF(D1326="","",D1326*$B$15)</f>
        <v>2.994594629291</v>
      </c>
      <c r="F1326" s="16" t="n">
        <f aca="false" t="array" ref="F1326:F1326">IF(D1326="","",IFERROR(INDEX(Dados_Evap!$C$2:$N$15,MATCH($B$9,Dados_Evap!$A$2:$A$15,0),C1326),0))</f>
        <v>149</v>
      </c>
      <c r="G1326" s="16" t="n">
        <f aca="false">IF(F1326="","",F1326/1000)</f>
        <v>0.149</v>
      </c>
      <c r="H1326" s="16" t="n">
        <f aca="false">IF(D1326="","",MAX(0,MIN($B$8,IFERROR(LOOKUP(2,1/($U$24:U1325&lt;&gt;""),$U$24:U1325),$B$11))))</f>
        <v>85.0271084029019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10.1518799660054</v>
      </c>
      <c r="J1326" s="16" t="n">
        <f aca="false">IF(D1326="","",$B$12)</f>
        <v>0.432</v>
      </c>
      <c r="K1326" s="16" t="n">
        <f aca="false">IF(J1326="","",J1326*$B$15)</f>
        <v>1.119744</v>
      </c>
      <c r="L1326" s="16" t="n">
        <f aca="false">IF(D1326="","",H1326+E1326-K1326-G1326*I1326)</f>
        <v>85.3893289172581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10.1825855487723</v>
      </c>
      <c r="N1326" s="16" t="n">
        <f aca="false">IF(D1326="","",(I1326+M1326)/2)</f>
        <v>10.1672327573889</v>
      </c>
      <c r="O1326" s="16" t="n">
        <f aca="false">IF(D1326="","",G1326*N1326)</f>
        <v>1.51491768085094</v>
      </c>
      <c r="P1326" s="16" t="n">
        <f aca="false">IF(D1326="","",H1326+E1326-K1326-O1326)</f>
        <v>85.387041351342</v>
      </c>
      <c r="Q1326" s="16" t="n">
        <f aca="false">IF(D1326="","",IF(P1326&gt;=0,K1326,MAX(0,K1326+P1326)))</f>
        <v>1.119744</v>
      </c>
      <c r="R1326" s="16" t="n">
        <f aca="false">IF(D1326="","",Q1326/$B$15)</f>
        <v>0.432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85.387041351342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52.7080502168778</v>
      </c>
      <c r="Z1326" s="18" t="n">
        <f aca="false">IF(D1326="","",MAX(0,IF(P1326&gt;=0,P1326,IF(K1326+P1326&gt;=0,0,P1326+K1326))))</f>
        <v>85.387041351342</v>
      </c>
      <c r="AA1326" s="18" t="n">
        <f aca="false">IF(D1326="","",IF(H1326&lt;=$B$16,1,IF(H1326&gt;=$B$17,$B$21,MATCH(H1326,Aux_CAV!$A$2:$A$121,1))))</f>
        <v>21</v>
      </c>
      <c r="AB1326" s="18" t="n">
        <f aca="false">IF(D1326="","",IF(L1326&lt;=$B$16,1,IF(L1326&gt;=$B$17,$B$21,MATCH(L1326,Aux_CAV!$A$2:$A$121,1))))</f>
        <v>21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0.533094826664384</v>
      </c>
      <c r="E1327" s="16" t="n">
        <f aca="false">IF(D1327="","",D1327*$B$15)</f>
        <v>1.38178179071408</v>
      </c>
      <c r="F1327" s="16" t="n">
        <f aca="false" t="array" ref="F1327:F1327">IF(D1327="","",IFERROR(INDEX(Dados_Evap!$C$2:$N$15,MATCH($B$9,Dados_Evap!$A$2:$A$15,0),C1327),0))</f>
        <v>206.8</v>
      </c>
      <c r="G1327" s="16" t="n">
        <f aca="false">IF(F1327="","",F1327/1000)</f>
        <v>0.2068</v>
      </c>
      <c r="H1327" s="16" t="n">
        <f aca="false">IF(D1327="","",MAX(0,MIN($B$8,IFERROR(LOOKUP(2,1/($U$24:U1326&lt;&gt;""),$U$24:U1326),$B$11))))</f>
        <v>85.387041351342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10.1823916308638</v>
      </c>
      <c r="J1327" s="16" t="n">
        <f aca="false">IF(D1327="","",$B$12)</f>
        <v>0.432</v>
      </c>
      <c r="K1327" s="16" t="n">
        <f aca="false">IF(J1327="","",J1327*$B$15)</f>
        <v>1.119744</v>
      </c>
      <c r="L1327" s="16" t="n">
        <f aca="false">IF(D1327="","",H1327+E1327-K1327-G1327*I1327)</f>
        <v>83.5433605527934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10.0261020472761</v>
      </c>
      <c r="N1327" s="16" t="n">
        <f aca="false">IF(D1327="","",(I1327+M1327)/2)</f>
        <v>10.1042468390699</v>
      </c>
      <c r="O1327" s="16" t="n">
        <f aca="false">IF(D1327="","",G1327*N1327)</f>
        <v>2.08955824631966</v>
      </c>
      <c r="P1327" s="16" t="n">
        <f aca="false">IF(D1327="","",H1327+E1327-K1327-O1327)</f>
        <v>83.5595208957364</v>
      </c>
      <c r="Q1327" s="16" t="n">
        <f aca="false">IF(D1327="","",IF(P1327&gt;=0,K1327,MAX(0,K1327+P1327)))</f>
        <v>1.119744</v>
      </c>
      <c r="R1327" s="16" t="n">
        <f aca="false">IF(D1327="","",Q1327/$B$15)</f>
        <v>0.432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83.5595208957364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51.5799511702077</v>
      </c>
      <c r="Z1327" s="18" t="n">
        <f aca="false">IF(D1327="","",MAX(0,IF(P1327&gt;=0,P1327,IF(K1327+P1327&gt;=0,0,P1327+K1327))))</f>
        <v>83.5595208957364</v>
      </c>
      <c r="AA1327" s="18" t="n">
        <f aca="false">IF(D1327="","",IF(H1327&lt;=$B$16,1,IF(H1327&gt;=$B$17,$B$21,MATCH(H1327,Aux_CAV!$A$2:$A$121,1))))</f>
        <v>21</v>
      </c>
      <c r="AB1327" s="18" t="n">
        <f aca="false">IF(D1327="","",IF(L1327&lt;=$B$16,1,IF(L1327&gt;=$B$17,$B$21,MATCH(L1327,Aux_CAV!$A$2:$A$121,1))))</f>
        <v>21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0.296919634908881</v>
      </c>
      <c r="E1328" s="16" t="n">
        <f aca="false">IF(D1328="","",D1328*$B$15)</f>
        <v>0.76961569368382</v>
      </c>
      <c r="F1328" s="16" t="n">
        <f aca="false" t="array" ref="F1328:F1328">IF(D1328="","",IFERROR(INDEX(Dados_Evap!$C$2:$N$15,MATCH($B$9,Dados_Evap!$A$2:$A$15,0),C1328),0))</f>
        <v>245.9</v>
      </c>
      <c r="G1328" s="16" t="n">
        <f aca="false">IF(F1328="","",F1328/1000)</f>
        <v>0.2459</v>
      </c>
      <c r="H1328" s="16" t="n">
        <f aca="false">IF(D1328="","",MAX(0,MIN($B$8,IFERROR(LOOKUP(2,1/($U$24:U1327&lt;&gt;""),$U$24:U1327),$B$11))))</f>
        <v>83.5595208957364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10.0274719662291</v>
      </c>
      <c r="J1328" s="16" t="n">
        <f aca="false">IF(D1328="","",$B$12)</f>
        <v>0.432</v>
      </c>
      <c r="K1328" s="16" t="n">
        <f aca="false">IF(J1328="","",J1328*$B$15)</f>
        <v>1.119744</v>
      </c>
      <c r="L1328" s="16" t="n">
        <f aca="false">IF(D1328="","",H1328+E1328-K1328-G1328*I1328)</f>
        <v>80.7436372329245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9.78876834386728</v>
      </c>
      <c r="N1328" s="16" t="n">
        <f aca="false">IF(D1328="","",(I1328+M1328)/2)</f>
        <v>9.90812015504817</v>
      </c>
      <c r="O1328" s="16" t="n">
        <f aca="false">IF(D1328="","",G1328*N1328)</f>
        <v>2.43640674612634</v>
      </c>
      <c r="P1328" s="16" t="n">
        <f aca="false">IF(D1328="","",H1328+E1328-K1328-O1328)</f>
        <v>80.7729858432939</v>
      </c>
      <c r="Q1328" s="16" t="n">
        <f aca="false">IF(D1328="","",IF(P1328&gt;=0,K1328,MAX(0,K1328+P1328)))</f>
        <v>1.119744</v>
      </c>
      <c r="R1328" s="16" t="n">
        <f aca="false">IF(D1328="","",Q1328/$B$15)</f>
        <v>0.432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80.7729858432939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49.8598678045024</v>
      </c>
      <c r="Z1328" s="18" t="n">
        <f aca="false">IF(D1328="","",MAX(0,IF(P1328&gt;=0,P1328,IF(K1328+P1328&gt;=0,0,P1328+K1328))))</f>
        <v>80.7729858432939</v>
      </c>
      <c r="AA1328" s="18" t="n">
        <f aca="false">IF(D1328="","",IF(H1328&lt;=$B$16,1,IF(H1328&gt;=$B$17,$B$21,MATCH(H1328,Aux_CAV!$A$2:$A$121,1))))</f>
        <v>21</v>
      </c>
      <c r="AB1328" s="18" t="n">
        <f aca="false">IF(D1328="","",IF(L1328&lt;=$B$16,1,IF(L1328&gt;=$B$17,$B$21,MATCH(L1328,Aux_CAV!$A$2:$A$121,1))))</f>
        <v>21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0.312472187843478</v>
      </c>
      <c r="E1329" s="16" t="n">
        <f aca="false">IF(D1329="","",D1329*$B$15)</f>
        <v>0.809927910890295</v>
      </c>
      <c r="F1329" s="16" t="n">
        <f aca="false" t="array" ref="F1329:F1329">IF(D1329="","",IFERROR(INDEX(Dados_Evap!$C$2:$N$15,MATCH($B$9,Dados_Evap!$A$2:$A$15,0),C1329),0))</f>
        <v>282.3</v>
      </c>
      <c r="G1329" s="16" t="n">
        <f aca="false">IF(F1329="","",F1329/1000)</f>
        <v>0.2823</v>
      </c>
      <c r="H1329" s="16" t="n">
        <f aca="false">IF(D1329="","",MAX(0,MIN($B$8,IFERROR(LOOKUP(2,1/($U$24:U1328&lt;&gt;""),$U$24:U1328),$B$11))))</f>
        <v>80.7729858432939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9.79125623770287</v>
      </c>
      <c r="J1329" s="16" t="n">
        <f aca="false">IF(D1329="","",$B$12)</f>
        <v>0.432</v>
      </c>
      <c r="K1329" s="16" t="n">
        <f aca="false">IF(J1329="","",J1329*$B$15)</f>
        <v>1.119744</v>
      </c>
      <c r="L1329" s="16" t="n">
        <f aca="false">IF(D1329="","",H1329+E1329-K1329-G1329*I1329)</f>
        <v>77.6990981182807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9.53068150431301</v>
      </c>
      <c r="N1329" s="16" t="n">
        <f aca="false">IF(D1329="","",(I1329+M1329)/2)</f>
        <v>9.66096887100794</v>
      </c>
      <c r="O1329" s="16" t="n">
        <f aca="false">IF(D1329="","",G1329*N1329)</f>
        <v>2.72729151228554</v>
      </c>
      <c r="P1329" s="16" t="n">
        <f aca="false">IF(D1329="","",H1329+E1329-K1329-O1329)</f>
        <v>77.7358782418986</v>
      </c>
      <c r="Q1329" s="16" t="n">
        <f aca="false">IF(D1329="","",IF(P1329&gt;=0,K1329,MAX(0,K1329+P1329)))</f>
        <v>1.119744</v>
      </c>
      <c r="R1329" s="16" t="n">
        <f aca="false">IF(D1329="","",Q1329/$B$15)</f>
        <v>0.432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77.7358782418986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47.9851100258634</v>
      </c>
      <c r="Z1329" s="18" t="n">
        <f aca="false">IF(D1329="","",MAX(0,IF(P1329&gt;=0,P1329,IF(K1329+P1329&gt;=0,0,P1329+K1329))))</f>
        <v>77.7358782418986</v>
      </c>
      <c r="AA1329" s="18" t="n">
        <f aca="false">IF(D1329="","",IF(H1329&lt;=$B$16,1,IF(H1329&gt;=$B$17,$B$21,MATCH(H1329,Aux_CAV!$A$2:$A$121,1))))</f>
        <v>21</v>
      </c>
      <c r="AB1329" s="18" t="n">
        <f aca="false">IF(D1329="","",IF(L1329&lt;=$B$16,1,IF(L1329&gt;=$B$17,$B$21,MATCH(L1329,Aux_CAV!$A$2:$A$121,1))))</f>
        <v>21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0.283803301487192</v>
      </c>
      <c r="E1330" s="16" t="n">
        <f aca="false">IF(D1330="","",D1330*$B$15)</f>
        <v>0.735618157454802</v>
      </c>
      <c r="F1330" s="16" t="n">
        <f aca="false" t="array" ref="F1330:F1330">IF(D1330="","",IFERROR(INDEX(Dados_Evap!$C$2:$N$15,MATCH($B$9,Dados_Evap!$A$2:$A$15,0),C1330),0))</f>
        <v>241.3</v>
      </c>
      <c r="G1330" s="16" t="n">
        <f aca="false">IF(F1330="","",F1330/1000)</f>
        <v>0.2413</v>
      </c>
      <c r="H1330" s="16" t="n">
        <f aca="false">IF(D1330="","",MAX(0,MIN($B$8,IFERROR(LOOKUP(2,1/($U$24:U1329&lt;&gt;""),$U$24:U1329),$B$11))))</f>
        <v>77.7358782418986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9.53379937059934</v>
      </c>
      <c r="J1330" s="16" t="n">
        <f aca="false">IF(D1330="","",$B$12)</f>
        <v>0.432</v>
      </c>
      <c r="K1330" s="16" t="n">
        <f aca="false">IF(J1330="","",J1330*$B$15)</f>
        <v>1.119744</v>
      </c>
      <c r="L1330" s="16" t="n">
        <f aca="false">IF(D1330="","",H1330+E1330-K1330-G1330*I1330)</f>
        <v>75.0512466112278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9.30622203727009</v>
      </c>
      <c r="N1330" s="16" t="n">
        <f aca="false">IF(D1330="","",(I1330+M1330)/2)</f>
        <v>9.42001070393472</v>
      </c>
      <c r="O1330" s="16" t="n">
        <f aca="false">IF(D1330="","",G1330*N1330)</f>
        <v>2.27304858285945</v>
      </c>
      <c r="P1330" s="16" t="n">
        <f aca="false">IF(D1330="","",H1330+E1330-K1330-O1330)</f>
        <v>75.078703816494</v>
      </c>
      <c r="Q1330" s="16" t="n">
        <f aca="false">IF(D1330="","",IF(P1330&gt;=0,K1330,MAX(0,K1330+P1330)))</f>
        <v>1.119744</v>
      </c>
      <c r="R1330" s="16" t="n">
        <f aca="false">IF(D1330="","",Q1330/$B$15)</f>
        <v>0.432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75.078703816494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46.3448788990704</v>
      </c>
      <c r="Z1330" s="18" t="n">
        <f aca="false">IF(D1330="","",MAX(0,IF(P1330&gt;=0,P1330,IF(K1330+P1330&gt;=0,0,P1330+K1330))))</f>
        <v>75.078703816494</v>
      </c>
      <c r="AA1330" s="18" t="n">
        <f aca="false">IF(D1330="","",IF(H1330&lt;=$B$16,1,IF(H1330&gt;=$B$17,$B$21,MATCH(H1330,Aux_CAV!$A$2:$A$121,1))))</f>
        <v>21</v>
      </c>
      <c r="AB1330" s="18" t="n">
        <f aca="false">IF(D1330="","",IF(L1330&lt;=$B$16,1,IF(L1330&gt;=$B$17,$B$21,MATCH(L1330,Aux_CAV!$A$2:$A$121,1))))</f>
        <v>21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0.536712883829157</v>
      </c>
      <c r="E1331" s="16" t="n">
        <f aca="false">IF(D1331="","",D1331*$B$15)</f>
        <v>1.39115979488518</v>
      </c>
      <c r="F1331" s="16" t="n">
        <f aca="false" t="array" ref="F1331:F1331">IF(D1331="","",IFERROR(INDEX(Dados_Evap!$C$2:$N$15,MATCH($B$9,Dados_Evap!$A$2:$A$15,0),C1331),0))</f>
        <v>241.8</v>
      </c>
      <c r="G1331" s="16" t="n">
        <f aca="false">IF(F1331="","",F1331/1000)</f>
        <v>0.2418</v>
      </c>
      <c r="H1331" s="16" t="n">
        <f aca="false">IF(D1331="","",MAX(0,MIN($B$8,IFERROR(LOOKUP(2,1/($U$24:U1330&lt;&gt;""),$U$24:U1330),$B$11))))</f>
        <v>75.078703816494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9.30854959591306</v>
      </c>
      <c r="J1331" s="16" t="n">
        <f aca="false">IF(D1331="","",$B$12)</f>
        <v>0.432</v>
      </c>
      <c r="K1331" s="16" t="n">
        <f aca="false">IF(J1331="","",J1331*$B$15)</f>
        <v>1.119744</v>
      </c>
      <c r="L1331" s="16" t="n">
        <f aca="false">IF(D1331="","",H1331+E1331-K1331-G1331*I1331)</f>
        <v>73.0993123190874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9.14075576027169</v>
      </c>
      <c r="N1331" s="16" t="n">
        <f aca="false">IF(D1331="","",(I1331+M1331)/2)</f>
        <v>9.22465267809238</v>
      </c>
      <c r="O1331" s="16" t="n">
        <f aca="false">IF(D1331="","",G1331*N1331)</f>
        <v>2.23052101756274</v>
      </c>
      <c r="P1331" s="16" t="n">
        <f aca="false">IF(D1331="","",H1331+E1331-K1331-O1331)</f>
        <v>73.1195985938164</v>
      </c>
      <c r="Q1331" s="16" t="n">
        <f aca="false">IF(D1331="","",IF(P1331&gt;=0,K1331,MAX(0,K1331+P1331)))</f>
        <v>1.119744</v>
      </c>
      <c r="R1331" s="16" t="n">
        <f aca="false">IF(D1331="","",Q1331/$B$15)</f>
        <v>0.432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73.1195985938164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45.135554687541</v>
      </c>
      <c r="Z1331" s="18" t="n">
        <f aca="false">IF(D1331="","",MAX(0,IF(P1331&gt;=0,P1331,IF(K1331+P1331&gt;=0,0,P1331+K1331))))</f>
        <v>73.1195985938164</v>
      </c>
      <c r="AA1331" s="18" t="n">
        <f aca="false">IF(D1331="","",IF(H1331&lt;=$B$16,1,IF(H1331&gt;=$B$17,$B$21,MATCH(H1331,Aux_CAV!$A$2:$A$121,1))))</f>
        <v>21</v>
      </c>
      <c r="AB1331" s="18" t="n">
        <f aca="false">IF(D1331="","",IF(L1331&lt;=$B$16,1,IF(L1331&gt;=$B$17,$B$21,MATCH(L1331,Aux_CAV!$A$2:$A$121,1))))</f>
        <v>21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1.27495973345526</v>
      </c>
      <c r="E1332" s="16" t="n">
        <f aca="false">IF(D1332="","",D1332*$B$15)</f>
        <v>3.30469562911603</v>
      </c>
      <c r="F1332" s="16" t="n">
        <f aca="false" t="array" ref="F1332:F1332">IF(D1332="","",IFERROR(INDEX(Dados_Evap!$C$2:$N$15,MATCH($B$9,Dados_Evap!$A$2:$A$15,0),C1332),0))</f>
        <v>189</v>
      </c>
      <c r="G1332" s="16" t="n">
        <f aca="false">IF(F1332="","",F1332/1000)</f>
        <v>0.189</v>
      </c>
      <c r="H1332" s="16" t="n">
        <f aca="false">IF(D1332="","",MAX(0,MIN($B$8,IFERROR(LOOKUP(2,1/($U$24:U1331&lt;&gt;""),$U$24:U1331),$B$11))))</f>
        <v>73.1195985938164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9.14247543616811</v>
      </c>
      <c r="J1332" s="16" t="n">
        <f aca="false">IF(D1332="","",$B$12)</f>
        <v>0.432</v>
      </c>
      <c r="K1332" s="16" t="n">
        <f aca="false">IF(J1332="","",J1332*$B$15)</f>
        <v>1.119744</v>
      </c>
      <c r="L1332" s="16" t="n">
        <f aca="false">IF(D1332="","",H1332+E1332-K1332-G1332*I1332)</f>
        <v>73.5766223654967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9.18121753025611</v>
      </c>
      <c r="N1332" s="16" t="n">
        <f aca="false">IF(D1332="","",(I1332+M1332)/2)</f>
        <v>9.16184648321211</v>
      </c>
      <c r="O1332" s="16" t="n">
        <f aca="false">IF(D1332="","",G1332*N1332)</f>
        <v>1.73158898532709</v>
      </c>
      <c r="P1332" s="16" t="n">
        <f aca="false">IF(D1332="","",H1332+E1332-K1332-O1332)</f>
        <v>73.5729612376054</v>
      </c>
      <c r="Q1332" s="16" t="n">
        <f aca="false">IF(D1332="","",IF(P1332&gt;=0,K1332,MAX(0,K1332+P1332)))</f>
        <v>1.119744</v>
      </c>
      <c r="R1332" s="16" t="n">
        <f aca="false">IF(D1332="","",Q1332/$B$15)</f>
        <v>0.432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73.5729612376054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45.4154081713614</v>
      </c>
      <c r="Z1332" s="18" t="n">
        <f aca="false">IF(D1332="","",MAX(0,IF(P1332&gt;=0,P1332,IF(K1332+P1332&gt;=0,0,P1332+K1332))))</f>
        <v>73.5729612376054</v>
      </c>
      <c r="AA1332" s="18" t="n">
        <f aca="false">IF(D1332="","",IF(H1332&lt;=$B$16,1,IF(H1332&gt;=$B$17,$B$21,MATCH(H1332,Aux_CAV!$A$2:$A$121,1))))</f>
        <v>21</v>
      </c>
      <c r="AB1332" s="18" t="n">
        <f aca="false">IF(D1332="","",IF(L1332&lt;=$B$16,1,IF(L1332&gt;=$B$17,$B$21,MATCH(L1332,Aux_CAV!$A$2:$A$121,1))))</f>
        <v>21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2.62640143288347</v>
      </c>
      <c r="E1333" s="16" t="n">
        <f aca="false">IF(D1333="","",D1333*$B$15)</f>
        <v>6.80763251403395</v>
      </c>
      <c r="F1333" s="16" t="n">
        <f aca="false" t="array" ref="F1333:F1333">IF(D1333="","",IFERROR(INDEX(Dados_Evap!$C$2:$N$15,MATCH($B$9,Dados_Evap!$A$2:$A$15,0),C1333),0))</f>
        <v>136.9</v>
      </c>
      <c r="G1333" s="16" t="n">
        <f aca="false">IF(F1333="","",F1333/1000)</f>
        <v>0.1369</v>
      </c>
      <c r="H1333" s="16" t="n">
        <f aca="false">IF(D1333="","",MAX(0,MIN($B$8,IFERROR(LOOKUP(2,1/($U$24:U1332&lt;&gt;""),$U$24:U1332),$B$11))))</f>
        <v>73.5729612376054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9.18090717493102</v>
      </c>
      <c r="J1333" s="16" t="n">
        <f aca="false">IF(D1333="","",$B$12)</f>
        <v>0.432</v>
      </c>
      <c r="K1333" s="16" t="n">
        <f aca="false">IF(J1333="","",J1333*$B$15)</f>
        <v>1.119744</v>
      </c>
      <c r="L1333" s="16" t="n">
        <f aca="false">IF(D1333="","",H1333+E1333-K1333-G1333*I1333)</f>
        <v>78.0039835593913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9.55652676921497</v>
      </c>
      <c r="N1333" s="16" t="n">
        <f aca="false">IF(D1333="","",(I1333+M1333)/2)</f>
        <v>9.368716972073</v>
      </c>
      <c r="O1333" s="16" t="n">
        <f aca="false">IF(D1333="","",G1333*N1333)</f>
        <v>1.28257735347679</v>
      </c>
      <c r="P1333" s="16" t="n">
        <f aca="false">IF(D1333="","",H1333+E1333-K1333-O1333)</f>
        <v>77.9782723981626</v>
      </c>
      <c r="Q1333" s="16" t="n">
        <f aca="false">IF(D1333="","",IF(P1333&gt;=0,K1333,MAX(0,K1333+P1333)))</f>
        <v>1.119744</v>
      </c>
      <c r="R1333" s="16" t="n">
        <f aca="false">IF(D1333="","",Q1333/$B$15)</f>
        <v>0.432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77.9782723981626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48.1347360482485</v>
      </c>
      <c r="Z1333" s="18" t="n">
        <f aca="false">IF(D1333="","",MAX(0,IF(P1333&gt;=0,P1333,IF(K1333+P1333&gt;=0,0,P1333+K1333))))</f>
        <v>77.9782723981626</v>
      </c>
      <c r="AA1333" s="18" t="n">
        <f aca="false">IF(D1333="","",IF(H1333&lt;=$B$16,1,IF(H1333&gt;=$B$17,$B$21,MATCH(H1333,Aux_CAV!$A$2:$A$121,1))))</f>
        <v>21</v>
      </c>
      <c r="AB1333" s="18" t="n">
        <f aca="false">IF(D1333="","",IF(L1333&lt;=$B$16,1,IF(L1333&gt;=$B$17,$B$21,MATCH(L1333,Aux_CAV!$A$2:$A$121,1))))</f>
        <v>21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6.87922276513561</v>
      </c>
      <c r="E1334" s="16" t="n">
        <f aca="false">IF(D1334="","",D1334*$B$15)</f>
        <v>17.8309454072315</v>
      </c>
      <c r="F1334" s="16" t="n">
        <f aca="false" t="array" ref="F1334:F1334">IF(D1334="","",IFERROR(INDEX(Dados_Evap!$C$2:$N$15,MATCH($B$9,Dados_Evap!$A$2:$A$15,0),C1334),0))</f>
        <v>102.9</v>
      </c>
      <c r="G1334" s="16" t="n">
        <f aca="false">IF(F1334="","",F1334/1000)</f>
        <v>0.1029</v>
      </c>
      <c r="H1334" s="16" t="n">
        <f aca="false">IF(D1334="","",MAX(0,MIN($B$8,IFERROR(LOOKUP(2,1/($U$24:U1333&lt;&gt;""),$U$24:U1333),$B$11))))</f>
        <v>77.9782723981626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9.55434722344698</v>
      </c>
      <c r="J1334" s="16" t="n">
        <f aca="false">IF(D1334="","",$B$12)</f>
        <v>0.432</v>
      </c>
      <c r="K1334" s="16" t="n">
        <f aca="false">IF(J1334="","",J1334*$B$15)</f>
        <v>1.119744</v>
      </c>
      <c r="L1334" s="16" t="n">
        <f aca="false">IF(D1334="","",H1334+E1334-K1334-G1334*I1334)</f>
        <v>93.7063314761014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10.8107588939987</v>
      </c>
      <c r="N1334" s="16" t="n">
        <f aca="false">IF(D1334="","",(I1334+M1334)/2)</f>
        <v>10.1825530587229</v>
      </c>
      <c r="O1334" s="16" t="n">
        <f aca="false">IF(D1334="","",G1334*N1334)</f>
        <v>1.04778470974258</v>
      </c>
      <c r="P1334" s="16" t="n">
        <f aca="false">IF(D1334="","",H1334+E1334-K1334-O1334)</f>
        <v>93.6416890956515</v>
      </c>
      <c r="Q1334" s="16" t="n">
        <f aca="false">IF(D1334="","",IF(P1334&gt;=0,K1334,MAX(0,K1334+P1334)))</f>
        <v>1.119744</v>
      </c>
      <c r="R1334" s="16" t="n">
        <f aca="false">IF(D1334="","",Q1334/$B$15)</f>
        <v>0.432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93.6416890956515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57.8035117874392</v>
      </c>
      <c r="Z1334" s="18" t="n">
        <f aca="false">IF(D1334="","",MAX(0,IF(P1334&gt;=0,P1334,IF(K1334+P1334&gt;=0,0,P1334+K1334))))</f>
        <v>93.6416890956515</v>
      </c>
      <c r="AA1334" s="18" t="n">
        <f aca="false">IF(D1334="","",IF(H1334&lt;=$B$16,1,IF(H1334&gt;=$B$17,$B$21,MATCH(H1334,Aux_CAV!$A$2:$A$121,1))))</f>
        <v>21</v>
      </c>
      <c r="AB1334" s="18" t="n">
        <f aca="false">IF(D1334="","",IF(L1334&lt;=$B$16,1,IF(L1334&gt;=$B$17,$B$21,MATCH(L1334,Aux_CAV!$A$2:$A$121,1))))</f>
        <v>22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8.83270942723397</v>
      </c>
      <c r="E1335" s="16" t="n">
        <f aca="false">IF(D1335="","",D1335*$B$15)</f>
        <v>22.8943828353905</v>
      </c>
      <c r="F1335" s="16" t="n">
        <f aca="false" t="array" ref="F1335:F1335">IF(D1335="","",IFERROR(INDEX(Dados_Evap!$C$2:$N$15,MATCH($B$9,Dados_Evap!$A$2:$A$15,0),C1335),0))</f>
        <v>81.8</v>
      </c>
      <c r="G1335" s="16" t="n">
        <f aca="false">IF(F1335="","",F1335/1000)</f>
        <v>0.0818</v>
      </c>
      <c r="H1335" s="16" t="n">
        <f aca="false">IF(D1335="","",MAX(0,MIN($B$8,IFERROR(LOOKUP(2,1/($U$24:U1334&lt;&gt;""),$U$24:U1334),$B$11))))</f>
        <v>93.6416890956515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10.8060524913671</v>
      </c>
      <c r="J1335" s="16" t="n">
        <f aca="false">IF(D1335="","",$B$12)</f>
        <v>0.432</v>
      </c>
      <c r="K1335" s="16" t="n">
        <f aca="false">IF(J1335="","",J1335*$B$15)</f>
        <v>1.119744</v>
      </c>
      <c r="L1335" s="16" t="n">
        <f aca="false">IF(D1335="","",H1335+E1335-K1335-G1335*I1335)</f>
        <v>114.532392837248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12.3270370587859</v>
      </c>
      <c r="N1335" s="16" t="n">
        <f aca="false">IF(D1335="","",(I1335+M1335)/2)</f>
        <v>11.5665447750765</v>
      </c>
      <c r="O1335" s="16" t="n">
        <f aca="false">IF(D1335="","",G1335*N1335)</f>
        <v>0.946143362601258</v>
      </c>
      <c r="P1335" s="16" t="n">
        <f aca="false">IF(D1335="","",H1335+E1335-K1335-O1335)</f>
        <v>114.470184568441</v>
      </c>
      <c r="Q1335" s="16" t="n">
        <f aca="false">IF(D1335="","",IF(P1335&gt;=0,K1335,MAX(0,K1335+P1335)))</f>
        <v>1.119744</v>
      </c>
      <c r="R1335" s="16" t="n">
        <f aca="false">IF(D1335="","",Q1335/$B$15)</f>
        <v>0.432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114.470184568441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70.6606077582967</v>
      </c>
      <c r="Z1335" s="18" t="n">
        <f aca="false">IF(D1335="","",MAX(0,IF(P1335&gt;=0,P1335,IF(K1335+P1335&gt;=0,0,P1335+K1335))))</f>
        <v>114.470184568441</v>
      </c>
      <c r="AA1335" s="18" t="n">
        <f aca="false">IF(D1335="","",IF(H1335&lt;=$B$16,1,IF(H1335&gt;=$B$17,$B$21,MATCH(H1335,Aux_CAV!$A$2:$A$121,1))))</f>
        <v>22</v>
      </c>
      <c r="AB1335" s="18" t="n">
        <f aca="false">IF(D1335="","",IF(L1335&lt;=$B$16,1,IF(L1335&gt;=$B$17,$B$21,MATCH(L1335,Aux_CAV!$A$2:$A$121,1))))</f>
        <v>22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6.65581723079254</v>
      </c>
      <c r="E1336" s="16" t="n">
        <f aca="false">IF(D1336="","",D1336*$B$15)</f>
        <v>17.2518782622143</v>
      </c>
      <c r="F1336" s="16" t="n">
        <f aca="false" t="array" ref="F1336:F1336">IF(D1336="","",IFERROR(INDEX(Dados_Evap!$C$2:$N$15,MATCH($B$9,Dados_Evap!$A$2:$A$15,0),C1336),0))</f>
        <v>83.6</v>
      </c>
      <c r="G1336" s="16" t="n">
        <f aca="false">IF(F1336="","",F1336/1000)</f>
        <v>0.0836</v>
      </c>
      <c r="H1336" s="16" t="n">
        <f aca="false">IF(D1336="","",MAX(0,MIN($B$8,IFERROR(LOOKUP(2,1/($U$24:U1335&lt;&gt;""),$U$24:U1335),$B$11))))</f>
        <v>114.470184568441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12.3225078759497</v>
      </c>
      <c r="J1336" s="16" t="n">
        <f aca="false">IF(D1336="","",$B$12)</f>
        <v>0.432</v>
      </c>
      <c r="K1336" s="16" t="n">
        <f aca="false">IF(J1336="","",J1336*$B$15)</f>
        <v>1.119744</v>
      </c>
      <c r="L1336" s="16" t="n">
        <f aca="false">IF(D1336="","",H1336+E1336-K1336-G1336*I1336)</f>
        <v>129.572157172226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13.4220336531594</v>
      </c>
      <c r="N1336" s="16" t="n">
        <f aca="false">IF(D1336="","",(I1336+M1336)/2)</f>
        <v>12.8722707645546</v>
      </c>
      <c r="O1336" s="16" t="n">
        <f aca="false">IF(D1336="","",G1336*N1336)</f>
        <v>1.07612183591676</v>
      </c>
      <c r="P1336" s="16" t="n">
        <f aca="false">IF(D1336="","",H1336+E1336-K1336-O1336)</f>
        <v>129.526196994738</v>
      </c>
      <c r="Q1336" s="16" t="n">
        <f aca="false">IF(D1336="","",IF(P1336&gt;=0,K1336,MAX(0,K1336+P1336)))</f>
        <v>1.119744</v>
      </c>
      <c r="R1336" s="16" t="n">
        <f aca="false">IF(D1336="","",Q1336/$B$15)</f>
        <v>0.432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129.526196994738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79.9544425893446</v>
      </c>
      <c r="Z1336" s="18" t="n">
        <f aca="false">IF(D1336="","",MAX(0,IF(P1336&gt;=0,P1336,IF(K1336+P1336&gt;=0,0,P1336+K1336))))</f>
        <v>129.526196994738</v>
      </c>
      <c r="AA1336" s="18" t="n">
        <f aca="false">IF(D1336="","",IF(H1336&lt;=$B$16,1,IF(H1336&gt;=$B$17,$B$21,MATCH(H1336,Aux_CAV!$A$2:$A$121,1))))</f>
        <v>22</v>
      </c>
      <c r="AB1336" s="18" t="n">
        <f aca="false">IF(D1336="","",IF(L1336&lt;=$B$16,1,IF(L1336&gt;=$B$17,$B$21,MATCH(L1336,Aux_CAV!$A$2:$A$121,1))))</f>
        <v>22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4.06569359353343</v>
      </c>
      <c r="E1337" s="16" t="n">
        <f aca="false">IF(D1337="","",D1337*$B$15)</f>
        <v>10.5382777944387</v>
      </c>
      <c r="F1337" s="16" t="n">
        <f aca="false" t="array" ref="F1337:F1337">IF(D1337="","",IFERROR(INDEX(Dados_Evap!$C$2:$N$15,MATCH($B$9,Dados_Evap!$A$2:$A$15,0),C1337),0))</f>
        <v>108.2</v>
      </c>
      <c r="G1337" s="16" t="n">
        <f aca="false">IF(F1337="","",F1337/1000)</f>
        <v>0.1082</v>
      </c>
      <c r="H1337" s="16" t="n">
        <f aca="false">IF(D1337="","",MAX(0,MIN($B$8,IFERROR(LOOKUP(2,1/($U$24:U1336&lt;&gt;""),$U$24:U1336),$B$11))))</f>
        <v>129.526196994738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13.418687441297</v>
      </c>
      <c r="J1337" s="16" t="n">
        <f aca="false">IF(D1337="","",$B$12)</f>
        <v>0.432</v>
      </c>
      <c r="K1337" s="16" t="n">
        <f aca="false">IF(J1337="","",J1337*$B$15)</f>
        <v>1.119744</v>
      </c>
      <c r="L1337" s="16" t="n">
        <f aca="false">IF(D1337="","",H1337+E1337-K1337-G1337*I1337)</f>
        <v>137.492828808028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13.998712135161</v>
      </c>
      <c r="N1337" s="16" t="n">
        <f aca="false">IF(D1337="","",(I1337+M1337)/2)</f>
        <v>13.708699788229</v>
      </c>
      <c r="O1337" s="16" t="n">
        <f aca="false">IF(D1337="","",G1337*N1337)</f>
        <v>1.48328131708638</v>
      </c>
      <c r="P1337" s="16" t="n">
        <f aca="false">IF(D1337="","",H1337+E1337-K1337-O1337)</f>
        <v>137.46144947209</v>
      </c>
      <c r="Q1337" s="16" t="n">
        <f aca="false">IF(D1337="","",IF(P1337&gt;=0,K1337,MAX(0,K1337+P1337)))</f>
        <v>1.119744</v>
      </c>
      <c r="R1337" s="16" t="n">
        <f aca="false">IF(D1337="","",Q1337/$B$15)</f>
        <v>0.432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137.46144947209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84.8527465877101</v>
      </c>
      <c r="Z1337" s="18" t="n">
        <f aca="false">IF(D1337="","",MAX(0,IF(P1337&gt;=0,P1337,IF(K1337+P1337&gt;=0,0,P1337+K1337))))</f>
        <v>137.46144947209</v>
      </c>
      <c r="AA1337" s="18" t="n">
        <f aca="false">IF(D1337="","",IF(H1337&lt;=$B$16,1,IF(H1337&gt;=$B$17,$B$21,MATCH(H1337,Aux_CAV!$A$2:$A$121,1))))</f>
        <v>22</v>
      </c>
      <c r="AB1337" s="18" t="n">
        <f aca="false">IF(D1337="","",IF(L1337&lt;=$B$16,1,IF(L1337&gt;=$B$17,$B$21,MATCH(L1337,Aux_CAV!$A$2:$A$121,1))))</f>
        <v>22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2.58963505390108</v>
      </c>
      <c r="E1338" s="16" t="n">
        <f aca="false">IF(D1338="","",D1338*$B$15)</f>
        <v>6.7123340597116</v>
      </c>
      <c r="F1338" s="16" t="n">
        <f aca="false" t="array" ref="F1338:F1338">IF(D1338="","",IFERROR(INDEX(Dados_Evap!$C$2:$N$15,MATCH($B$9,Dados_Evap!$A$2:$A$15,0),C1338),0))</f>
        <v>149</v>
      </c>
      <c r="G1338" s="16" t="n">
        <f aca="false">IF(F1338="","",F1338/1000)</f>
        <v>0.149</v>
      </c>
      <c r="H1338" s="16" t="n">
        <f aca="false">IF(D1338="","",MAX(0,MIN($B$8,IFERROR(LOOKUP(2,1/($U$24:U1337&lt;&gt;""),$U$24:U1337),$B$11))))</f>
        <v>137.46144947209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13.9964275072093</v>
      </c>
      <c r="J1338" s="16" t="n">
        <f aca="false">IF(D1338="","",$B$12)</f>
        <v>0.432</v>
      </c>
      <c r="K1338" s="16" t="n">
        <f aca="false">IF(J1338="","",J1338*$B$15)</f>
        <v>1.119744</v>
      </c>
      <c r="L1338" s="16" t="n">
        <f aca="false">IF(D1338="","",H1338+E1338-K1338-G1338*I1338)</f>
        <v>140.968571833228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14.2517697423643</v>
      </c>
      <c r="N1338" s="16" t="n">
        <f aca="false">IF(D1338="","",(I1338+M1338)/2)</f>
        <v>14.1240986247868</v>
      </c>
      <c r="O1338" s="16" t="n">
        <f aca="false">IF(D1338="","",G1338*N1338)</f>
        <v>2.10449069509323</v>
      </c>
      <c r="P1338" s="16" t="n">
        <f aca="false">IF(D1338="","",H1338+E1338-K1338-O1338)</f>
        <v>140.949548836709</v>
      </c>
      <c r="Q1338" s="16" t="n">
        <f aca="false">IF(D1338="","",IF(P1338&gt;=0,K1338,MAX(0,K1338+P1338)))</f>
        <v>1.119744</v>
      </c>
      <c r="R1338" s="16" t="n">
        <f aca="false">IF(D1338="","",Q1338/$B$15)</f>
        <v>0.432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140.949548836709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87.0058943436474</v>
      </c>
      <c r="Z1338" s="18" t="n">
        <f aca="false">IF(D1338="","",MAX(0,IF(P1338&gt;=0,P1338,IF(K1338+P1338&gt;=0,0,P1338+K1338))))</f>
        <v>140.949548836709</v>
      </c>
      <c r="AA1338" s="18" t="n">
        <f aca="false">IF(D1338="","",IF(H1338&lt;=$B$16,1,IF(H1338&gt;=$B$17,$B$21,MATCH(H1338,Aux_CAV!$A$2:$A$121,1))))</f>
        <v>22</v>
      </c>
      <c r="AB1338" s="18" t="n">
        <f aca="false">IF(D1338="","",IF(L1338&lt;=$B$16,1,IF(L1338&gt;=$B$17,$B$21,MATCH(L1338,Aux_CAV!$A$2:$A$121,1))))</f>
        <v>22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0.672831602741313</v>
      </c>
      <c r="E1339" s="16" t="n">
        <f aca="false">IF(D1339="","",D1339*$B$15)</f>
        <v>1.74397951430548</v>
      </c>
      <c r="F1339" s="16" t="n">
        <f aca="false" t="array" ref="F1339:F1339">IF(D1339="","",IFERROR(INDEX(Dados_Evap!$C$2:$N$15,MATCH($B$9,Dados_Evap!$A$2:$A$15,0),C1339),0))</f>
        <v>206.8</v>
      </c>
      <c r="G1339" s="16" t="n">
        <f aca="false">IF(F1339="","",F1339/1000)</f>
        <v>0.2068</v>
      </c>
      <c r="H1339" s="16" t="n">
        <f aca="false">IF(D1339="","",MAX(0,MIN($B$8,IFERROR(LOOKUP(2,1/($U$24:U1338&lt;&gt;""),$U$24:U1338),$B$11))))</f>
        <v>140.949548836709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14.2503847395186</v>
      </c>
      <c r="J1339" s="16" t="n">
        <f aca="false">IF(D1339="","",$B$12)</f>
        <v>0.432</v>
      </c>
      <c r="K1339" s="16" t="n">
        <f aca="false">IF(J1339="","",J1339*$B$15)</f>
        <v>1.119744</v>
      </c>
      <c r="L1339" s="16" t="n">
        <f aca="false">IF(D1339="","",H1339+E1339-K1339-G1339*I1339)</f>
        <v>138.626804786882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14.0812732582803</v>
      </c>
      <c r="N1339" s="16" t="n">
        <f aca="false">IF(D1339="","",(I1339+M1339)/2)</f>
        <v>14.1658289988994</v>
      </c>
      <c r="O1339" s="16" t="n">
        <f aca="false">IF(D1339="","",G1339*N1339)</f>
        <v>2.9294934369724</v>
      </c>
      <c r="P1339" s="16" t="n">
        <f aca="false">IF(D1339="","",H1339+E1339-K1339-O1339)</f>
        <v>138.644290914042</v>
      </c>
      <c r="Q1339" s="16" t="n">
        <f aca="false">IF(D1339="","",IF(P1339&gt;=0,K1339,MAX(0,K1339+P1339)))</f>
        <v>1.119744</v>
      </c>
      <c r="R1339" s="16" t="n">
        <f aca="false">IF(D1339="","",Q1339/$B$15)</f>
        <v>0.432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138.644290914042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85.5828956259518</v>
      </c>
      <c r="Z1339" s="18" t="n">
        <f aca="false">IF(D1339="","",MAX(0,IF(P1339&gt;=0,P1339,IF(K1339+P1339&gt;=0,0,P1339+K1339))))</f>
        <v>138.644290914042</v>
      </c>
      <c r="AA1339" s="18" t="n">
        <f aca="false">IF(D1339="","",IF(H1339&lt;=$B$16,1,IF(H1339&gt;=$B$17,$B$21,MATCH(H1339,Aux_CAV!$A$2:$A$121,1))))</f>
        <v>22</v>
      </c>
      <c r="AB1339" s="18" t="n">
        <f aca="false">IF(D1339="","",IF(L1339&lt;=$B$16,1,IF(L1339&gt;=$B$17,$B$21,MATCH(L1339,Aux_CAV!$A$2:$A$121,1))))</f>
        <v>22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0.485307569342156</v>
      </c>
      <c r="E1340" s="16" t="n">
        <f aca="false">IF(D1340="","",D1340*$B$15)</f>
        <v>1.25791721973487</v>
      </c>
      <c r="F1340" s="16" t="n">
        <f aca="false" t="array" ref="F1340:F1340">IF(D1340="","",IFERROR(INDEX(Dados_Evap!$C$2:$N$15,MATCH($B$9,Dados_Evap!$A$2:$A$15,0),C1340),0))</f>
        <v>245.9</v>
      </c>
      <c r="G1340" s="16" t="n">
        <f aca="false">IF(F1340="","",F1340/1000)</f>
        <v>0.2459</v>
      </c>
      <c r="H1340" s="16" t="n">
        <f aca="false">IF(D1340="","",MAX(0,MIN($B$8,IFERROR(LOOKUP(2,1/($U$24:U1339&lt;&gt;""),$U$24:U1339),$B$11))))</f>
        <v>138.644290914042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14.0825463666391</v>
      </c>
      <c r="J1340" s="16" t="n">
        <f aca="false">IF(D1340="","",$B$12)</f>
        <v>0.432</v>
      </c>
      <c r="K1340" s="16" t="n">
        <f aca="false">IF(J1340="","",J1340*$B$15)</f>
        <v>1.119744</v>
      </c>
      <c r="L1340" s="16" t="n">
        <f aca="false">IF(D1340="","",H1340+E1340-K1340-G1340*I1340)</f>
        <v>135.31956598222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13.8404838983392</v>
      </c>
      <c r="N1340" s="16" t="n">
        <f aca="false">IF(D1340="","",(I1340+M1340)/2)</f>
        <v>13.9615151324891</v>
      </c>
      <c r="O1340" s="16" t="n">
        <f aca="false">IF(D1340="","",G1340*N1340)</f>
        <v>3.43313657107908</v>
      </c>
      <c r="P1340" s="16" t="n">
        <f aca="false">IF(D1340="","",H1340+E1340-K1340-O1340)</f>
        <v>135.349327562698</v>
      </c>
      <c r="Q1340" s="16" t="n">
        <f aca="false">IF(D1340="","",IF(P1340&gt;=0,K1340,MAX(0,K1340+P1340)))</f>
        <v>1.119744</v>
      </c>
      <c r="R1340" s="16" t="n">
        <f aca="false">IF(D1340="","",Q1340/$B$15)</f>
        <v>0.432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135.349327562698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83.5489676312949</v>
      </c>
      <c r="Z1340" s="18" t="n">
        <f aca="false">IF(D1340="","",MAX(0,IF(P1340&gt;=0,P1340,IF(K1340+P1340&gt;=0,0,P1340+K1340))))</f>
        <v>135.349327562698</v>
      </c>
      <c r="AA1340" s="18" t="n">
        <f aca="false">IF(D1340="","",IF(H1340&lt;=$B$16,1,IF(H1340&gt;=$B$17,$B$21,MATCH(H1340,Aux_CAV!$A$2:$A$121,1))))</f>
        <v>22</v>
      </c>
      <c r="AB1340" s="18" t="n">
        <f aca="false">IF(D1340="","",IF(L1340&lt;=$B$16,1,IF(L1340&gt;=$B$17,$B$21,MATCH(L1340,Aux_CAV!$A$2:$A$121,1))))</f>
        <v>22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0.444627601795919</v>
      </c>
      <c r="E1341" s="16" t="n">
        <f aca="false">IF(D1341="","",D1341*$B$15)</f>
        <v>1.15247474385502</v>
      </c>
      <c r="F1341" s="16" t="n">
        <f aca="false" t="array" ref="F1341:F1341">IF(D1341="","",IFERROR(INDEX(Dados_Evap!$C$2:$N$15,MATCH($B$9,Dados_Evap!$A$2:$A$15,0),C1341),0))</f>
        <v>282.3</v>
      </c>
      <c r="G1341" s="16" t="n">
        <f aca="false">IF(F1341="","",F1341/1000)</f>
        <v>0.2823</v>
      </c>
      <c r="H1341" s="16" t="n">
        <f aca="false">IF(D1341="","",MAX(0,MIN($B$8,IFERROR(LOOKUP(2,1/($U$24:U1340&lt;&gt;""),$U$24:U1340),$B$11))))</f>
        <v>135.349327562698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13.8426507427485</v>
      </c>
      <c r="J1341" s="16" t="n">
        <f aca="false">IF(D1341="","",$B$12)</f>
        <v>0.432</v>
      </c>
      <c r="K1341" s="16" t="n">
        <f aca="false">IF(J1341="","",J1341*$B$15)</f>
        <v>1.119744</v>
      </c>
      <c r="L1341" s="16" t="n">
        <f aca="false">IF(D1341="","",H1341+E1341-K1341-G1341*I1341)</f>
        <v>131.474278001875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13.560520918263</v>
      </c>
      <c r="N1341" s="16" t="n">
        <f aca="false">IF(D1341="","",(I1341+M1341)/2)</f>
        <v>13.7015858305057</v>
      </c>
      <c r="O1341" s="16" t="n">
        <f aca="false">IF(D1341="","",G1341*N1341)</f>
        <v>3.86795767995177</v>
      </c>
      <c r="P1341" s="16" t="n">
        <f aca="false">IF(D1341="","",H1341+E1341-K1341-O1341)</f>
        <v>131.514100626601</v>
      </c>
      <c r="Q1341" s="16" t="n">
        <f aca="false">IF(D1341="","",IF(P1341&gt;=0,K1341,MAX(0,K1341+P1341)))</f>
        <v>1.119744</v>
      </c>
      <c r="R1341" s="16" t="n">
        <f aca="false">IF(D1341="","",Q1341/$B$15)</f>
        <v>0.432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131.514100626601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81.1815435966673</v>
      </c>
      <c r="Z1341" s="18" t="n">
        <f aca="false">IF(D1341="","",MAX(0,IF(P1341&gt;=0,P1341,IF(K1341+P1341&gt;=0,0,P1341+K1341))))</f>
        <v>131.514100626601</v>
      </c>
      <c r="AA1341" s="18" t="n">
        <f aca="false">IF(D1341="","",IF(H1341&lt;=$B$16,1,IF(H1341&gt;=$B$17,$B$21,MATCH(H1341,Aux_CAV!$A$2:$A$121,1))))</f>
        <v>22</v>
      </c>
      <c r="AB1341" s="18" t="n">
        <f aca="false">IF(D1341="","",IF(L1341&lt;=$B$16,1,IF(L1341&gt;=$B$17,$B$21,MATCH(L1341,Aux_CAV!$A$2:$A$121,1))))</f>
        <v>22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0.391198498576503</v>
      </c>
      <c r="E1342" s="16" t="n">
        <f aca="false">IF(D1342="","",D1342*$B$15)</f>
        <v>1.0139865083103</v>
      </c>
      <c r="F1342" s="16" t="n">
        <f aca="false" t="array" ref="F1342:F1342">IF(D1342="","",IFERROR(INDEX(Dados_Evap!$C$2:$N$15,MATCH($B$9,Dados_Evap!$A$2:$A$15,0),C1342),0))</f>
        <v>241.3</v>
      </c>
      <c r="G1342" s="16" t="n">
        <f aca="false">IF(F1342="","",F1342/1000)</f>
        <v>0.2413</v>
      </c>
      <c r="H1342" s="16" t="n">
        <f aca="false">IF(D1342="","",MAX(0,MIN($B$8,IFERROR(LOOKUP(2,1/($U$24:U1341&lt;&gt;""),$U$24:U1341),$B$11))))</f>
        <v>131.514100626601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13.5634202747611</v>
      </c>
      <c r="J1342" s="16" t="n">
        <f aca="false">IF(D1342="","",$B$12)</f>
        <v>0.432</v>
      </c>
      <c r="K1342" s="16" t="n">
        <f aca="false">IF(J1342="","",J1342*$B$15)</f>
        <v>1.119744</v>
      </c>
      <c r="L1342" s="16" t="n">
        <f aca="false">IF(D1342="","",H1342+E1342-K1342-G1342*I1342)</f>
        <v>128.135489822611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13.3174345504051</v>
      </c>
      <c r="N1342" s="16" t="n">
        <f aca="false">IF(D1342="","",(I1342+M1342)/2)</f>
        <v>13.4404274125831</v>
      </c>
      <c r="O1342" s="16" t="n">
        <f aca="false">IF(D1342="","",G1342*N1342)</f>
        <v>3.2431751346563</v>
      </c>
      <c r="P1342" s="16" t="n">
        <f aca="false">IF(D1342="","",H1342+E1342-K1342-O1342)</f>
        <v>128.165168000255</v>
      </c>
      <c r="Q1342" s="16" t="n">
        <f aca="false">IF(D1342="","",IF(P1342&gt;=0,K1342,MAX(0,K1342+P1342)))</f>
        <v>1.119744</v>
      </c>
      <c r="R1342" s="16" t="n">
        <f aca="false">IF(D1342="","",Q1342/$B$15)</f>
        <v>0.432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128.165168000255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79.1143012347253</v>
      </c>
      <c r="Z1342" s="18" t="n">
        <f aca="false">IF(D1342="","",MAX(0,IF(P1342&gt;=0,P1342,IF(K1342+P1342&gt;=0,0,P1342+K1342))))</f>
        <v>128.165168000255</v>
      </c>
      <c r="AA1342" s="18" t="n">
        <f aca="false">IF(D1342="","",IF(H1342&lt;=$B$16,1,IF(H1342&gt;=$B$17,$B$21,MATCH(H1342,Aux_CAV!$A$2:$A$121,1))))</f>
        <v>22</v>
      </c>
      <c r="AB1342" s="18" t="n">
        <f aca="false">IF(D1342="","",IF(L1342&lt;=$B$16,1,IF(L1342&gt;=$B$17,$B$21,MATCH(L1342,Aux_CAV!$A$2:$A$121,1))))</f>
        <v>22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0.408856759583384</v>
      </c>
      <c r="E1343" s="16" t="n">
        <f aca="false">IF(D1343="","",D1343*$B$15)</f>
        <v>1.05975672084013</v>
      </c>
      <c r="F1343" s="16" t="n">
        <f aca="false" t="array" ref="F1343:F1343">IF(D1343="","",IFERROR(INDEX(Dados_Evap!$C$2:$N$15,MATCH($B$9,Dados_Evap!$A$2:$A$15,0),C1343),0))</f>
        <v>241.8</v>
      </c>
      <c r="G1343" s="16" t="n">
        <f aca="false">IF(F1343="","",F1343/1000)</f>
        <v>0.2418</v>
      </c>
      <c r="H1343" s="16" t="n">
        <f aca="false">IF(D1343="","",MAX(0,MIN($B$8,IFERROR(LOOKUP(2,1/($U$24:U1342&lt;&gt;""),$U$24:U1342),$B$11))))</f>
        <v>128.165168000255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13.3195953225238</v>
      </c>
      <c r="J1343" s="16" t="n">
        <f aca="false">IF(D1343="","",$B$12)</f>
        <v>0.432</v>
      </c>
      <c r="K1343" s="16" t="n">
        <f aca="false">IF(J1343="","",J1343*$B$15)</f>
        <v>1.119744</v>
      </c>
      <c r="L1343" s="16" t="n">
        <f aca="false">IF(D1343="","",H1343+E1343-K1343-G1343*I1343)</f>
        <v>124.884502572109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13.0807406841739</v>
      </c>
      <c r="N1343" s="16" t="n">
        <f aca="false">IF(D1343="","",(I1343+M1343)/2)</f>
        <v>13.2001680033489</v>
      </c>
      <c r="O1343" s="16" t="n">
        <f aca="false">IF(D1343="","",G1343*N1343)</f>
        <v>3.19180062320976</v>
      </c>
      <c r="P1343" s="16" t="n">
        <f aca="false">IF(D1343="","",H1343+E1343-K1343-O1343)</f>
        <v>124.913380097885</v>
      </c>
      <c r="Q1343" s="16" t="n">
        <f aca="false">IF(D1343="","",IF(P1343&gt;=0,K1343,MAX(0,K1343+P1343)))</f>
        <v>1.119744</v>
      </c>
      <c r="R1343" s="16" t="n">
        <f aca="false">IF(D1343="","",Q1343/$B$15)</f>
        <v>0.432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124.913380097885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77.1070247517811</v>
      </c>
      <c r="Z1343" s="18" t="n">
        <f aca="false">IF(D1343="","",MAX(0,IF(P1343&gt;=0,P1343,IF(K1343+P1343&gt;=0,0,P1343+K1343))))</f>
        <v>124.913380097885</v>
      </c>
      <c r="AA1343" s="18" t="n">
        <f aca="false">IF(D1343="","",IF(H1343&lt;=$B$16,1,IF(H1343&gt;=$B$17,$B$21,MATCH(H1343,Aux_CAV!$A$2:$A$121,1))))</f>
        <v>22</v>
      </c>
      <c r="AB1343" s="18" t="n">
        <f aca="false">IF(D1343="","",IF(L1343&lt;=$B$16,1,IF(L1343&gt;=$B$17,$B$21,MATCH(L1343,Aux_CAV!$A$2:$A$121,1))))</f>
        <v>22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1.64794367060284</v>
      </c>
      <c r="E1344" s="16" t="n">
        <f aca="false">IF(D1344="","",D1344*$B$15)</f>
        <v>4.27146999420256</v>
      </c>
      <c r="F1344" s="16" t="n">
        <f aca="false" t="array" ref="F1344:F1344">IF(D1344="","",IFERROR(INDEX(Dados_Evap!$C$2:$N$15,MATCH($B$9,Dados_Evap!$A$2:$A$15,0),C1344),0))</f>
        <v>189</v>
      </c>
      <c r="G1344" s="16" t="n">
        <f aca="false">IF(F1344="","",F1344/1000)</f>
        <v>0.189</v>
      </c>
      <c r="H1344" s="16" t="n">
        <f aca="false">IF(D1344="","",MAX(0,MIN($B$8,IFERROR(LOOKUP(2,1/($U$24:U1343&lt;&gt;""),$U$24:U1343),$B$11))))</f>
        <v>124.913380097885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13.0828431634199</v>
      </c>
      <c r="J1344" s="16" t="n">
        <f aca="false">IF(D1344="","",$B$12)</f>
        <v>0.432</v>
      </c>
      <c r="K1344" s="16" t="n">
        <f aca="false">IF(J1344="","",J1344*$B$15)</f>
        <v>1.119744</v>
      </c>
      <c r="L1344" s="16" t="n">
        <f aca="false">IF(D1344="","",H1344+E1344-K1344-G1344*I1344)</f>
        <v>125.592448734202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13.1322839543493</v>
      </c>
      <c r="N1344" s="16" t="n">
        <f aca="false">IF(D1344="","",(I1344+M1344)/2)</f>
        <v>13.1075635588846</v>
      </c>
      <c r="O1344" s="16" t="n">
        <f aca="false">IF(D1344="","",G1344*N1344)</f>
        <v>2.47732951262919</v>
      </c>
      <c r="P1344" s="16" t="n">
        <f aca="false">IF(D1344="","",H1344+E1344-K1344-O1344)</f>
        <v>125.587776579459</v>
      </c>
      <c r="Q1344" s="16" t="n">
        <f aca="false">IF(D1344="","",IF(P1344&gt;=0,K1344,MAX(0,K1344+P1344)))</f>
        <v>1.119744</v>
      </c>
      <c r="R1344" s="16" t="n">
        <f aca="false">IF(D1344="","",Q1344/$B$15)</f>
        <v>0.432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125.587776579459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77.5233188762091</v>
      </c>
      <c r="Z1344" s="18" t="n">
        <f aca="false">IF(D1344="","",MAX(0,IF(P1344&gt;=0,P1344,IF(K1344+P1344&gt;=0,0,P1344+K1344))))</f>
        <v>125.587776579459</v>
      </c>
      <c r="AA1344" s="18" t="n">
        <f aca="false">IF(D1344="","",IF(H1344&lt;=$B$16,1,IF(H1344&gt;=$B$17,$B$21,MATCH(H1344,Aux_CAV!$A$2:$A$121,1))))</f>
        <v>22</v>
      </c>
      <c r="AB1344" s="18" t="n">
        <f aca="false">IF(D1344="","",IF(L1344&lt;=$B$16,1,IF(L1344&gt;=$B$17,$B$21,MATCH(L1344,Aux_CAV!$A$2:$A$121,1))))</f>
        <v>22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3.07704939018885</v>
      </c>
      <c r="E1345" s="16" t="n">
        <f aca="false">IF(D1345="","",D1345*$B$15)</f>
        <v>7.9757120193695</v>
      </c>
      <c r="F1345" s="16" t="n">
        <f aca="false" t="array" ref="F1345:F1345">IF(D1345="","",IFERROR(INDEX(Dados_Evap!$C$2:$N$15,MATCH($B$9,Dados_Evap!$A$2:$A$15,0),C1345),0))</f>
        <v>136.9</v>
      </c>
      <c r="G1345" s="16" t="n">
        <f aca="false">IF(F1345="","",F1345/1000)</f>
        <v>0.1369</v>
      </c>
      <c r="H1345" s="16" t="n">
        <f aca="false">IF(D1345="","",MAX(0,MIN($B$8,IFERROR(LOOKUP(2,1/($U$24:U1344&lt;&gt;""),$U$24:U1344),$B$11))))</f>
        <v>125.587776579459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13.1319437898747</v>
      </c>
      <c r="J1345" s="16" t="n">
        <f aca="false">IF(D1345="","",$B$12)</f>
        <v>0.432</v>
      </c>
      <c r="K1345" s="16" t="n">
        <f aca="false">IF(J1345="","",J1345*$B$15)</f>
        <v>1.119744</v>
      </c>
      <c r="L1345" s="16" t="n">
        <f aca="false">IF(D1345="","",H1345+E1345-K1345-G1345*I1345)</f>
        <v>130.645981493994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13.50021532869</v>
      </c>
      <c r="N1345" s="16" t="n">
        <f aca="false">IF(D1345="","",(I1345+M1345)/2)</f>
        <v>13.3160795592823</v>
      </c>
      <c r="O1345" s="16" t="n">
        <f aca="false">IF(D1345="","",G1345*N1345)</f>
        <v>1.82297129166575</v>
      </c>
      <c r="P1345" s="16" t="n">
        <f aca="false">IF(D1345="","",H1345+E1345-K1345-O1345)</f>
        <v>130.620773307162</v>
      </c>
      <c r="Q1345" s="16" t="n">
        <f aca="false">IF(D1345="","",IF(P1345&gt;=0,K1345,MAX(0,K1345+P1345)))</f>
        <v>1.119744</v>
      </c>
      <c r="R1345" s="16" t="n">
        <f aca="false">IF(D1345="","",Q1345/$B$15)</f>
        <v>0.432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130.620773307162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80.6301069797299</v>
      </c>
      <c r="Z1345" s="18" t="n">
        <f aca="false">IF(D1345="","",MAX(0,IF(P1345&gt;=0,P1345,IF(K1345+P1345&gt;=0,0,P1345+K1345))))</f>
        <v>130.620773307162</v>
      </c>
      <c r="AA1345" s="18" t="n">
        <f aca="false">IF(D1345="","",IF(H1345&lt;=$B$16,1,IF(H1345&gt;=$B$17,$B$21,MATCH(H1345,Aux_CAV!$A$2:$A$121,1))))</f>
        <v>22</v>
      </c>
      <c r="AB1345" s="18" t="n">
        <f aca="false">IF(D1345="","",IF(L1345&lt;=$B$16,1,IF(L1345&gt;=$B$17,$B$21,MATCH(L1345,Aux_CAV!$A$2:$A$121,1))))</f>
        <v>22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4.88933576154326</v>
      </c>
      <c r="E1346" s="16" t="n">
        <f aca="false">IF(D1346="","",D1346*$B$15)</f>
        <v>12.6731582939201</v>
      </c>
      <c r="F1346" s="16" t="n">
        <f aca="false" t="array" ref="F1346:F1346">IF(D1346="","",IFERROR(INDEX(Dados_Evap!$C$2:$N$15,MATCH($B$9,Dados_Evap!$A$2:$A$15,0),C1346),0))</f>
        <v>102.9</v>
      </c>
      <c r="G1346" s="16" t="n">
        <f aca="false">IF(F1346="","",F1346/1000)</f>
        <v>0.1029</v>
      </c>
      <c r="H1346" s="16" t="n">
        <f aca="false">IF(D1346="","",MAX(0,MIN($B$8,IFERROR(LOOKUP(2,1/($U$24:U1345&lt;&gt;""),$U$24:U1345),$B$11))))</f>
        <v>130.620773307162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13.4983800021438</v>
      </c>
      <c r="J1346" s="16" t="n">
        <f aca="false">IF(D1346="","",$B$12)</f>
        <v>0.432</v>
      </c>
      <c r="K1346" s="16" t="n">
        <f aca="false">IF(J1346="","",J1346*$B$15)</f>
        <v>1.119744</v>
      </c>
      <c r="L1346" s="16" t="n">
        <f aca="false">IF(D1346="","",H1346+E1346-K1346-G1346*I1346)</f>
        <v>140.785204298862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14.2384193452984</v>
      </c>
      <c r="N1346" s="16" t="n">
        <f aca="false">IF(D1346="","",(I1346+M1346)/2)</f>
        <v>13.8683996737211</v>
      </c>
      <c r="O1346" s="16" t="n">
        <f aca="false">IF(D1346="","",G1346*N1346)</f>
        <v>1.4270583264259</v>
      </c>
      <c r="P1346" s="16" t="n">
        <f aca="false">IF(D1346="","",H1346+E1346-K1346-O1346)</f>
        <v>140.747129274657</v>
      </c>
      <c r="Q1346" s="16" t="n">
        <f aca="false">IF(D1346="","",IF(P1346&gt;=0,K1346,MAX(0,K1346+P1346)))</f>
        <v>1.119744</v>
      </c>
      <c r="R1346" s="16" t="n">
        <f aca="false">IF(D1346="","",Q1346/$B$15)</f>
        <v>0.432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140.747129274657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86.8809439967017</v>
      </c>
      <c r="Z1346" s="18" t="n">
        <f aca="false">IF(D1346="","",MAX(0,IF(P1346&gt;=0,P1346,IF(K1346+P1346&gt;=0,0,P1346+K1346))))</f>
        <v>140.747129274657</v>
      </c>
      <c r="AA1346" s="18" t="n">
        <f aca="false">IF(D1346="","",IF(H1346&lt;=$B$16,1,IF(H1346&gt;=$B$17,$B$21,MATCH(H1346,Aux_CAV!$A$2:$A$121,1))))</f>
        <v>22</v>
      </c>
      <c r="AB1346" s="18" t="n">
        <f aca="false">IF(D1346="","",IF(L1346&lt;=$B$16,1,IF(L1346&gt;=$B$17,$B$21,MATCH(L1346,Aux_CAV!$A$2:$A$121,1))))</f>
        <v>22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11.4093922714776</v>
      </c>
      <c r="E1347" s="16" t="n">
        <f aca="false">IF(D1347="","",D1347*$B$15)</f>
        <v>29.5731447676699</v>
      </c>
      <c r="F1347" s="16" t="n">
        <f aca="false" t="array" ref="F1347:F1347">IF(D1347="","",IFERROR(INDEX(Dados_Evap!$C$2:$N$15,MATCH($B$9,Dados_Evap!$A$2:$A$15,0),C1347),0))</f>
        <v>81.8</v>
      </c>
      <c r="G1347" s="16" t="n">
        <f aca="false">IF(F1347="","",F1347/1000)</f>
        <v>0.0818</v>
      </c>
      <c r="H1347" s="16" t="n">
        <f aca="false">IF(D1347="","",MAX(0,MIN($B$8,IFERROR(LOOKUP(2,1/($U$24:U1346&lt;&gt;""),$U$24:U1346),$B$11))))</f>
        <v>140.747129274657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14.2356472259415</v>
      </c>
      <c r="J1347" s="16" t="n">
        <f aca="false">IF(D1347="","",$B$12)</f>
        <v>0.432</v>
      </c>
      <c r="K1347" s="16" t="n">
        <f aca="false">IF(J1347="","",J1347*$B$15)</f>
        <v>1.119744</v>
      </c>
      <c r="L1347" s="16" t="n">
        <f aca="false">IF(D1347="","",H1347+E1347-K1347-G1347*I1347)</f>
        <v>168.036054099245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16.1440135213643</v>
      </c>
      <c r="N1347" s="16" t="n">
        <f aca="false">IF(D1347="","",(I1347+M1347)/2)</f>
        <v>15.1898303736529</v>
      </c>
      <c r="O1347" s="16" t="n">
        <f aca="false">IF(D1347="","",G1347*N1347)</f>
        <v>1.24252812456481</v>
      </c>
      <c r="P1347" s="16" t="n">
        <f aca="false">IF(D1347="","",H1347+E1347-K1347-O1347)</f>
        <v>167.958001917762</v>
      </c>
      <c r="Q1347" s="16" t="n">
        <f aca="false">IF(D1347="","",IF(P1347&gt;=0,K1347,MAX(0,K1347+P1347)))</f>
        <v>1.119744</v>
      </c>
      <c r="R1347" s="16" t="n">
        <f aca="false">IF(D1347="","",Q1347/$B$15)</f>
        <v>0.432</v>
      </c>
      <c r="S1347" s="16" t="n">
        <f aca="false">IF(D1347="","",MAX(0,J1347-R1347))</f>
        <v>0</v>
      </c>
      <c r="T1347" s="16" t="n">
        <f aca="false">IF(D1347="","",MAX(0,Z1347-$B$8))</f>
        <v>5.95800191776181</v>
      </c>
      <c r="U1347" s="16" t="n">
        <f aca="false">IF(D1347="","",MAX(0,MIN($B$8,Z1347)))</f>
        <v>162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100</v>
      </c>
      <c r="Z1347" s="18" t="n">
        <f aca="false">IF(D1347="","",MAX(0,IF(P1347&gt;=0,P1347,IF(K1347+P1347&gt;=0,0,P1347+K1347))))</f>
        <v>167.958001917762</v>
      </c>
      <c r="AA1347" s="18" t="n">
        <f aca="false">IF(D1347="","",IF(H1347&lt;=$B$16,1,IF(H1347&gt;=$B$17,$B$21,MATCH(H1347,Aux_CAV!$A$2:$A$121,1))))</f>
        <v>22</v>
      </c>
      <c r="AB1347" s="18" t="n">
        <f aca="false">IF(D1347="","",IF(L1347&lt;=$B$16,1,IF(L1347&gt;=$B$17,$B$21,MATCH(L1347,Aux_CAV!$A$2:$A$121,1))))</f>
        <v>23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9.62616753222317</v>
      </c>
      <c r="E1348" s="16" t="n">
        <f aca="false">IF(D1348="","",D1348*$B$15)</f>
        <v>24.9510262435225</v>
      </c>
      <c r="F1348" s="16" t="n">
        <f aca="false" t="array" ref="F1348:F1348">IF(D1348="","",IFERROR(INDEX(Dados_Evap!$C$2:$N$15,MATCH($B$9,Dados_Evap!$A$2:$A$15,0),C1348),0))</f>
        <v>83.6</v>
      </c>
      <c r="G1348" s="16" t="n">
        <f aca="false">IF(F1348="","",F1348/1000)</f>
        <v>0.0836</v>
      </c>
      <c r="H1348" s="16" t="n">
        <f aca="false">IF(D1348="","",MAX(0,MIN($B$8,IFERROR(LOOKUP(2,1/($U$24:U1347&lt;&gt;""),$U$24:U1347),$B$11))))</f>
        <v>162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15.783</v>
      </c>
      <c r="J1348" s="16" t="n">
        <f aca="false">IF(D1348="","",$B$12)</f>
        <v>0.432</v>
      </c>
      <c r="K1348" s="16" t="n">
        <f aca="false">IF(J1348="","",J1348*$B$15)</f>
        <v>1.119744</v>
      </c>
      <c r="L1348" s="16" t="n">
        <f aca="false">IF(D1348="","",H1348+E1348-K1348-G1348*I1348)</f>
        <v>184.511823443522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17.1294214402412</v>
      </c>
      <c r="N1348" s="16" t="n">
        <f aca="false">IF(D1348="","",(I1348+M1348)/2)</f>
        <v>16.4562107201206</v>
      </c>
      <c r="O1348" s="16" t="n">
        <f aca="false">IF(D1348="","",G1348*N1348)</f>
        <v>1.37573921620208</v>
      </c>
      <c r="P1348" s="16" t="n">
        <f aca="false">IF(D1348="","",H1348+E1348-K1348-O1348)</f>
        <v>184.45554302732</v>
      </c>
      <c r="Q1348" s="16" t="n">
        <f aca="false">IF(D1348="","",IF(P1348&gt;=0,K1348,MAX(0,K1348+P1348)))</f>
        <v>1.119744</v>
      </c>
      <c r="R1348" s="16" t="n">
        <f aca="false">IF(D1348="","",Q1348/$B$15)</f>
        <v>0.432</v>
      </c>
      <c r="S1348" s="16" t="n">
        <f aca="false">IF(D1348="","",MAX(0,J1348-R1348))</f>
        <v>0</v>
      </c>
      <c r="T1348" s="16" t="n">
        <f aca="false">IF(D1348="","",MAX(0,Z1348-$B$8))</f>
        <v>22.4555430273204</v>
      </c>
      <c r="U1348" s="16" t="n">
        <f aca="false">IF(D1348="","",MAX(0,MIN($B$8,Z1348)))</f>
        <v>162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184.45554302732</v>
      </c>
      <c r="AA1348" s="18" t="n">
        <f aca="false">IF(D1348="","",IF(H1348&lt;=$B$16,1,IF(H1348&gt;=$B$17,$B$21,MATCH(H1348,Aux_CAV!$A$2:$A$121,1))))</f>
        <v>23</v>
      </c>
      <c r="AB1348" s="18" t="n">
        <f aca="false">IF(D1348="","",IF(L1348&lt;=$B$16,1,IF(L1348&gt;=$B$17,$B$21,MATCH(L1348,Aux_CAV!$A$2:$A$121,1))))</f>
        <v>23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5.81061207223314</v>
      </c>
      <c r="E1349" s="16" t="n">
        <f aca="false">IF(D1349="","",D1349*$B$15)</f>
        <v>15.0611064912283</v>
      </c>
      <c r="F1349" s="16" t="n">
        <f aca="false" t="array" ref="F1349:F1349">IF(D1349="","",IFERROR(INDEX(Dados_Evap!$C$2:$N$15,MATCH($B$9,Dados_Evap!$A$2:$A$15,0),C1349),0))</f>
        <v>108.2</v>
      </c>
      <c r="G1349" s="16" t="n">
        <f aca="false">IF(F1349="","",F1349/1000)</f>
        <v>0.1082</v>
      </c>
      <c r="H1349" s="16" t="n">
        <f aca="false">IF(D1349="","",MAX(0,MIN($B$8,IFERROR(LOOKUP(2,1/($U$24:U1348&lt;&gt;""),$U$24:U1348),$B$11))))</f>
        <v>162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15.783</v>
      </c>
      <c r="J1349" s="16" t="n">
        <f aca="false">IF(D1349="","",$B$12)</f>
        <v>0.432</v>
      </c>
      <c r="K1349" s="16" t="n">
        <f aca="false">IF(J1349="","",J1349*$B$15)</f>
        <v>1.119744</v>
      </c>
      <c r="L1349" s="16" t="n">
        <f aca="false">IF(D1349="","",H1349+E1349-K1349-G1349*I1349)</f>
        <v>174.233641891228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16.5146882959706</v>
      </c>
      <c r="N1349" s="16" t="n">
        <f aca="false">IF(D1349="","",(I1349+M1349)/2)</f>
        <v>16.1488441479853</v>
      </c>
      <c r="O1349" s="16" t="n">
        <f aca="false">IF(D1349="","",G1349*N1349)</f>
        <v>1.74730493681201</v>
      </c>
      <c r="P1349" s="16" t="n">
        <f aca="false">IF(D1349="","",H1349+E1349-K1349-O1349)</f>
        <v>174.194057554416</v>
      </c>
      <c r="Q1349" s="16" t="n">
        <f aca="false">IF(D1349="","",IF(P1349&gt;=0,K1349,MAX(0,K1349+P1349)))</f>
        <v>1.119744</v>
      </c>
      <c r="R1349" s="16" t="n">
        <f aca="false">IF(D1349="","",Q1349/$B$15)</f>
        <v>0.432</v>
      </c>
      <c r="S1349" s="16" t="n">
        <f aca="false">IF(D1349="","",MAX(0,J1349-R1349))</f>
        <v>0</v>
      </c>
      <c r="T1349" s="16" t="n">
        <f aca="false">IF(D1349="","",MAX(0,Z1349-$B$8))</f>
        <v>12.1940575544163</v>
      </c>
      <c r="U1349" s="16" t="n">
        <f aca="false">IF(D1349="","",MAX(0,MIN($B$8,Z1349)))</f>
        <v>162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100</v>
      </c>
      <c r="Z1349" s="18" t="n">
        <f aca="false">IF(D1349="","",MAX(0,IF(P1349&gt;=0,P1349,IF(K1349+P1349&gt;=0,0,P1349+K1349))))</f>
        <v>174.194057554416</v>
      </c>
      <c r="AA1349" s="18" t="n">
        <f aca="false">IF(D1349="","",IF(H1349&lt;=$B$16,1,IF(H1349&gt;=$B$17,$B$21,MATCH(H1349,Aux_CAV!$A$2:$A$121,1))))</f>
        <v>23</v>
      </c>
      <c r="AB1349" s="18" t="n">
        <f aca="false">IF(D1349="","",IF(L1349&lt;=$B$16,1,IF(L1349&gt;=$B$17,$B$21,MATCH(L1349,Aux_CAV!$A$2:$A$121,1))))</f>
        <v>23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5.70258443866773</v>
      </c>
      <c r="E1350" s="16" t="n">
        <f aca="false">IF(D1350="","",D1350*$B$15)</f>
        <v>14.7810988650268</v>
      </c>
      <c r="F1350" s="16" t="n">
        <f aca="false" t="array" ref="F1350:F1350">IF(D1350="","",IFERROR(INDEX(Dados_Evap!$C$2:$N$15,MATCH($B$9,Dados_Evap!$A$2:$A$15,0),C1350),0))</f>
        <v>149</v>
      </c>
      <c r="G1350" s="16" t="n">
        <f aca="false">IF(F1350="","",F1350/1000)</f>
        <v>0.149</v>
      </c>
      <c r="H1350" s="16" t="n">
        <f aca="false">IF(D1350="","",MAX(0,MIN($B$8,IFERROR(LOOKUP(2,1/($U$24:U1349&lt;&gt;""),$U$24:U1349),$B$11))))</f>
        <v>162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15.783</v>
      </c>
      <c r="J1350" s="16" t="n">
        <f aca="false">IF(D1350="","",$B$12)</f>
        <v>0.432</v>
      </c>
      <c r="K1350" s="16" t="n">
        <f aca="false">IF(J1350="","",J1350*$B$15)</f>
        <v>1.119744</v>
      </c>
      <c r="L1350" s="16" t="n">
        <f aca="false">IF(D1350="","",H1350+E1350-K1350-G1350*I1350)</f>
        <v>173.309687865027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16.4594270456416</v>
      </c>
      <c r="N1350" s="16" t="n">
        <f aca="false">IF(D1350="","",(I1350+M1350)/2)</f>
        <v>16.1212135228208</v>
      </c>
      <c r="O1350" s="16" t="n">
        <f aca="false">IF(D1350="","",G1350*N1350)</f>
        <v>2.4020608149003</v>
      </c>
      <c r="P1350" s="16" t="n">
        <f aca="false">IF(D1350="","",H1350+E1350-K1350-O1350)</f>
        <v>173.259294050126</v>
      </c>
      <c r="Q1350" s="16" t="n">
        <f aca="false">IF(D1350="","",IF(P1350&gt;=0,K1350,MAX(0,K1350+P1350)))</f>
        <v>1.119744</v>
      </c>
      <c r="R1350" s="16" t="n">
        <f aca="false">IF(D1350="","",Q1350/$B$15)</f>
        <v>0.432</v>
      </c>
      <c r="S1350" s="16" t="n">
        <f aca="false">IF(D1350="","",MAX(0,J1350-R1350))</f>
        <v>0</v>
      </c>
      <c r="T1350" s="16" t="n">
        <f aca="false">IF(D1350="","",MAX(0,Z1350-$B$8))</f>
        <v>11.2592940501265</v>
      </c>
      <c r="U1350" s="16" t="n">
        <f aca="false">IF(D1350="","",MAX(0,MIN($B$8,Z1350)))</f>
        <v>162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100</v>
      </c>
      <c r="Z1350" s="18" t="n">
        <f aca="false">IF(D1350="","",MAX(0,IF(P1350&gt;=0,P1350,IF(K1350+P1350&gt;=0,0,P1350+K1350))))</f>
        <v>173.259294050126</v>
      </c>
      <c r="AA1350" s="18" t="n">
        <f aca="false">IF(D1350="","",IF(H1350&lt;=$B$16,1,IF(H1350&gt;=$B$17,$B$21,MATCH(H1350,Aux_CAV!$A$2:$A$121,1))))</f>
        <v>23</v>
      </c>
      <c r="AB1350" s="18" t="n">
        <f aca="false">IF(D1350="","",IF(L1350&lt;=$B$16,1,IF(L1350&gt;=$B$17,$B$21,MATCH(L1350,Aux_CAV!$A$2:$A$121,1))))</f>
        <v>23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0.552273048748767</v>
      </c>
      <c r="E1351" s="16" t="n">
        <f aca="false">IF(D1351="","",D1351*$B$15)</f>
        <v>1.4314917423568</v>
      </c>
      <c r="F1351" s="16" t="n">
        <f aca="false" t="array" ref="F1351:F1351">IF(D1351="","",IFERROR(INDEX(Dados_Evap!$C$2:$N$15,MATCH($B$9,Dados_Evap!$A$2:$A$15,0),C1351),0))</f>
        <v>206.8</v>
      </c>
      <c r="G1351" s="16" t="n">
        <f aca="false">IF(F1351="","",F1351/1000)</f>
        <v>0.2068</v>
      </c>
      <c r="H1351" s="16" t="n">
        <f aca="false">IF(D1351="","",MAX(0,MIN($B$8,IFERROR(LOOKUP(2,1/($U$24:U1350&lt;&gt;""),$U$24:U1350),$B$11))))</f>
        <v>162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15.783</v>
      </c>
      <c r="J1351" s="16" t="n">
        <f aca="false">IF(D1351="","",$B$12)</f>
        <v>0.432</v>
      </c>
      <c r="K1351" s="16" t="n">
        <f aca="false">IF(J1351="","",J1351*$B$15)</f>
        <v>1.119744</v>
      </c>
      <c r="L1351" s="16" t="n">
        <f aca="false">IF(D1351="","",H1351+E1351-K1351-G1351*I1351)</f>
        <v>159.047823342357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15.5680615665173</v>
      </c>
      <c r="N1351" s="16" t="n">
        <f aca="false">IF(D1351="","",(I1351+M1351)/2)</f>
        <v>15.6755307832587</v>
      </c>
      <c r="O1351" s="16" t="n">
        <f aca="false">IF(D1351="","",G1351*N1351)</f>
        <v>3.24169976597789</v>
      </c>
      <c r="P1351" s="16" t="n">
        <f aca="false">IF(D1351="","",H1351+E1351-K1351-O1351)</f>
        <v>159.070047976379</v>
      </c>
      <c r="Q1351" s="16" t="n">
        <f aca="false">IF(D1351="","",IF(P1351&gt;=0,K1351,MAX(0,K1351+P1351)))</f>
        <v>1.119744</v>
      </c>
      <c r="R1351" s="16" t="n">
        <f aca="false">IF(D1351="","",Q1351/$B$15)</f>
        <v>0.432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159.070047976379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98.1913876397401</v>
      </c>
      <c r="Z1351" s="18" t="n">
        <f aca="false">IF(D1351="","",MAX(0,IF(P1351&gt;=0,P1351,IF(K1351+P1351&gt;=0,0,P1351+K1351))))</f>
        <v>159.070047976379</v>
      </c>
      <c r="AA1351" s="18" t="n">
        <f aca="false">IF(D1351="","",IF(H1351&lt;=$B$16,1,IF(H1351&gt;=$B$17,$B$21,MATCH(H1351,Aux_CAV!$A$2:$A$121,1))))</f>
        <v>23</v>
      </c>
      <c r="AB1351" s="18" t="n">
        <f aca="false">IF(D1351="","",IF(L1351&lt;=$B$16,1,IF(L1351&gt;=$B$17,$B$21,MATCH(L1351,Aux_CAV!$A$2:$A$121,1))))</f>
        <v>22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0.555745098797723</v>
      </c>
      <c r="E1352" s="16" t="n">
        <f aca="false">IF(D1352="","",D1352*$B$15)</f>
        <v>1.4404912960837</v>
      </c>
      <c r="F1352" s="16" t="n">
        <f aca="false" t="array" ref="F1352:F1352">IF(D1352="","",IFERROR(INDEX(Dados_Evap!$C$2:$N$15,MATCH($B$9,Dados_Evap!$A$2:$A$15,0),C1352),0))</f>
        <v>245.9</v>
      </c>
      <c r="G1352" s="16" t="n">
        <f aca="false">IF(F1352="","",F1352/1000)</f>
        <v>0.2459</v>
      </c>
      <c r="H1352" s="16" t="n">
        <f aca="false">IF(D1352="","",MAX(0,MIN($B$8,IFERROR(LOOKUP(2,1/($U$24:U1351&lt;&gt;""),$U$24:U1351),$B$11))))</f>
        <v>159.070047976379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15.5696796702338</v>
      </c>
      <c r="J1352" s="16" t="n">
        <f aca="false">IF(D1352="","",$B$12)</f>
        <v>0.432</v>
      </c>
      <c r="K1352" s="16" t="n">
        <f aca="false">IF(J1352="","",J1352*$B$15)</f>
        <v>1.119744</v>
      </c>
      <c r="L1352" s="16" t="n">
        <f aca="false">IF(D1352="","",H1352+E1352-K1352-G1352*I1352)</f>
        <v>155.562211041552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15.3142854092799</v>
      </c>
      <c r="N1352" s="16" t="n">
        <f aca="false">IF(D1352="","",(I1352+M1352)/2)</f>
        <v>15.4419825397568</v>
      </c>
      <c r="O1352" s="16" t="n">
        <f aca="false">IF(D1352="","",G1352*N1352)</f>
        <v>3.79718350652621</v>
      </c>
      <c r="P1352" s="16" t="n">
        <f aca="false">IF(D1352="","",H1352+E1352-K1352-O1352)</f>
        <v>155.593611765936</v>
      </c>
      <c r="Q1352" s="16" t="n">
        <f aca="false">IF(D1352="","",IF(P1352&gt;=0,K1352,MAX(0,K1352+P1352)))</f>
        <v>1.119744</v>
      </c>
      <c r="R1352" s="16" t="n">
        <f aca="false">IF(D1352="","",Q1352/$B$15)</f>
        <v>0.432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155.593611765936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96.0454393616891</v>
      </c>
      <c r="Z1352" s="18" t="n">
        <f aca="false">IF(D1352="","",MAX(0,IF(P1352&gt;=0,P1352,IF(K1352+P1352&gt;=0,0,P1352+K1352))))</f>
        <v>155.593611765936</v>
      </c>
      <c r="AA1352" s="18" t="n">
        <f aca="false">IF(D1352="","",IF(H1352&lt;=$B$16,1,IF(H1352&gt;=$B$17,$B$21,MATCH(H1352,Aux_CAV!$A$2:$A$121,1))))</f>
        <v>22</v>
      </c>
      <c r="AB1352" s="18" t="n">
        <f aca="false">IF(D1352="","",IF(L1352&lt;=$B$16,1,IF(L1352&gt;=$B$17,$B$21,MATCH(L1352,Aux_CAV!$A$2:$A$121,1))))</f>
        <v>22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0.546195165740862</v>
      </c>
      <c r="E1353" s="16" t="n">
        <f aca="false">IF(D1353="","",D1353*$B$15)</f>
        <v>1.41573786960031</v>
      </c>
      <c r="F1353" s="16" t="n">
        <f aca="false" t="array" ref="F1353:F1353">IF(D1353="","",IFERROR(INDEX(Dados_Evap!$C$2:$N$15,MATCH($B$9,Dados_Evap!$A$2:$A$15,0),C1353),0))</f>
        <v>282.3</v>
      </c>
      <c r="G1353" s="16" t="n">
        <f aca="false">IF(F1353="","",F1353/1000)</f>
        <v>0.2823</v>
      </c>
      <c r="H1353" s="16" t="n">
        <f aca="false">IF(D1353="","",MAX(0,MIN($B$8,IFERROR(LOOKUP(2,1/($U$24:U1352&lt;&gt;""),$U$24:U1352),$B$11))))</f>
        <v>155.593611765936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15.3165715944551</v>
      </c>
      <c r="J1353" s="16" t="n">
        <f aca="false">IF(D1353="","",$B$12)</f>
        <v>0.432</v>
      </c>
      <c r="K1353" s="16" t="n">
        <f aca="false">IF(J1353="","",J1353*$B$15)</f>
        <v>1.119744</v>
      </c>
      <c r="L1353" s="16" t="n">
        <f aca="false">IF(D1353="","",H1353+E1353-K1353-G1353*I1353)</f>
        <v>151.565737474422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15.0233150956471</v>
      </c>
      <c r="N1353" s="16" t="n">
        <f aca="false">IF(D1353="","",(I1353+M1353)/2)</f>
        <v>15.1699433450511</v>
      </c>
      <c r="O1353" s="16" t="n">
        <f aca="false">IF(D1353="","",G1353*N1353)</f>
        <v>4.28247500630792</v>
      </c>
      <c r="P1353" s="16" t="n">
        <f aca="false">IF(D1353="","",H1353+E1353-K1353-O1353)</f>
        <v>151.607130629229</v>
      </c>
      <c r="Q1353" s="16" t="n">
        <f aca="false">IF(D1353="","",IF(P1353&gt;=0,K1353,MAX(0,K1353+P1353)))</f>
        <v>1.119744</v>
      </c>
      <c r="R1353" s="16" t="n">
        <f aca="false">IF(D1353="","",Q1353/$B$15)</f>
        <v>0.432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151.607130629229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93.584648536561</v>
      </c>
      <c r="Z1353" s="18" t="n">
        <f aca="false">IF(D1353="","",MAX(0,IF(P1353&gt;=0,P1353,IF(K1353+P1353&gt;=0,0,P1353+K1353))))</f>
        <v>151.607130629229</v>
      </c>
      <c r="AA1353" s="18" t="n">
        <f aca="false">IF(D1353="","",IF(H1353&lt;=$B$16,1,IF(H1353&gt;=$B$17,$B$21,MATCH(H1353,Aux_CAV!$A$2:$A$121,1))))</f>
        <v>22</v>
      </c>
      <c r="AB1353" s="18" t="n">
        <f aca="false">IF(D1353="","",IF(L1353&lt;=$B$16,1,IF(L1353&gt;=$B$17,$B$21,MATCH(L1353,Aux_CAV!$A$2:$A$121,1))))</f>
        <v>22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0.573445039351592</v>
      </c>
      <c r="E1354" s="16" t="n">
        <f aca="false">IF(D1354="","",D1354*$B$15)</f>
        <v>1.48636954199933</v>
      </c>
      <c r="F1354" s="16" t="n">
        <f aca="false" t="array" ref="F1354:F1354">IF(D1354="","",IFERROR(INDEX(Dados_Evap!$C$2:$N$15,MATCH($B$9,Dados_Evap!$A$2:$A$15,0),C1354),0))</f>
        <v>241.3</v>
      </c>
      <c r="G1354" s="16" t="n">
        <f aca="false">IF(F1354="","",F1354/1000)</f>
        <v>0.2413</v>
      </c>
      <c r="H1354" s="16" t="n">
        <f aca="false">IF(D1354="","",MAX(0,MIN($B$8,IFERROR(LOOKUP(2,1/($U$24:U1353&lt;&gt;""),$U$24:U1353),$B$11))))</f>
        <v>151.607130629229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15.0263287973604</v>
      </c>
      <c r="J1354" s="16" t="n">
        <f aca="false">IF(D1354="","",$B$12)</f>
        <v>0.432</v>
      </c>
      <c r="K1354" s="16" t="n">
        <f aca="false">IF(J1354="","",J1354*$B$15)</f>
        <v>1.119744</v>
      </c>
      <c r="L1354" s="16" t="n">
        <f aca="false">IF(D1354="","",H1354+E1354-K1354-G1354*I1354)</f>
        <v>148.347903032425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14.7890349781688</v>
      </c>
      <c r="N1354" s="16" t="n">
        <f aca="false">IF(D1354="","",(I1354+M1354)/2)</f>
        <v>14.9076818877646</v>
      </c>
      <c r="O1354" s="16" t="n">
        <f aca="false">IF(D1354="","",G1354*N1354)</f>
        <v>3.59722363951759</v>
      </c>
      <c r="P1354" s="16" t="n">
        <f aca="false">IF(D1354="","",H1354+E1354-K1354-O1354)</f>
        <v>148.376532531711</v>
      </c>
      <c r="Q1354" s="16" t="n">
        <f aca="false">IF(D1354="","",IF(P1354&gt;=0,K1354,MAX(0,K1354+P1354)))</f>
        <v>1.119744</v>
      </c>
      <c r="R1354" s="16" t="n">
        <f aca="false">IF(D1354="","",Q1354/$B$15)</f>
        <v>0.432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148.376532531711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91.5904521800682</v>
      </c>
      <c r="Z1354" s="18" t="n">
        <f aca="false">IF(D1354="","",MAX(0,IF(P1354&gt;=0,P1354,IF(K1354+P1354&gt;=0,0,P1354+K1354))))</f>
        <v>148.376532531711</v>
      </c>
      <c r="AA1354" s="18" t="n">
        <f aca="false">IF(D1354="","",IF(H1354&lt;=$B$16,1,IF(H1354&gt;=$B$17,$B$21,MATCH(H1354,Aux_CAV!$A$2:$A$121,1))))</f>
        <v>22</v>
      </c>
      <c r="AB1354" s="18" t="n">
        <f aca="false">IF(D1354="","",IF(L1354&lt;=$B$16,1,IF(L1354&gt;=$B$17,$B$21,MATCH(L1354,Aux_CAV!$A$2:$A$121,1))))</f>
        <v>22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0.616655514927854</v>
      </c>
      <c r="E1355" s="16" t="n">
        <f aca="false">IF(D1355="","",D1355*$B$15)</f>
        <v>1.598371094693</v>
      </c>
      <c r="F1355" s="16" t="n">
        <f aca="false" t="array" ref="F1355:F1355">IF(D1355="","",IFERROR(INDEX(Dados_Evap!$C$2:$N$15,MATCH($B$9,Dados_Evap!$A$2:$A$15,0),C1355),0))</f>
        <v>241.8</v>
      </c>
      <c r="G1355" s="16" t="n">
        <f aca="false">IF(F1355="","",F1355/1000)</f>
        <v>0.2418</v>
      </c>
      <c r="H1355" s="16" t="n">
        <f aca="false">IF(D1355="","",MAX(0,MIN($B$8,IFERROR(LOOKUP(2,1/($U$24:U1354&lt;&gt;""),$U$24:U1354),$B$11))))</f>
        <v>148.376532531711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14.7911193994082</v>
      </c>
      <c r="J1355" s="16" t="n">
        <f aca="false">IF(D1355="","",$B$12)</f>
        <v>0.432</v>
      </c>
      <c r="K1355" s="16" t="n">
        <f aca="false">IF(J1355="","",J1355*$B$15)</f>
        <v>1.119744</v>
      </c>
      <c r="L1355" s="16" t="n">
        <f aca="false">IF(D1355="","",H1355+E1355-K1355-G1355*I1355)</f>
        <v>145.278666955627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14.5655738270119</v>
      </c>
      <c r="N1355" s="16" t="n">
        <f aca="false">IF(D1355="","",(I1355+M1355)/2)</f>
        <v>14.67834661321</v>
      </c>
      <c r="O1355" s="16" t="n">
        <f aca="false">IF(D1355="","",G1355*N1355)</f>
        <v>3.54922421107419</v>
      </c>
      <c r="P1355" s="16" t="n">
        <f aca="false">IF(D1355="","",H1355+E1355-K1355-O1355)</f>
        <v>145.305935415329</v>
      </c>
      <c r="Q1355" s="16" t="n">
        <f aca="false">IF(D1355="","",IF(P1355&gt;=0,K1355,MAX(0,K1355+P1355)))</f>
        <v>1.119744</v>
      </c>
      <c r="R1355" s="16" t="n">
        <f aca="false">IF(D1355="","",Q1355/$B$15)</f>
        <v>0.432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145.305935415329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89.6950218613144</v>
      </c>
      <c r="Z1355" s="18" t="n">
        <f aca="false">IF(D1355="","",MAX(0,IF(P1355&gt;=0,P1355,IF(K1355+P1355&gt;=0,0,P1355+K1355))))</f>
        <v>145.305935415329</v>
      </c>
      <c r="AA1355" s="18" t="n">
        <f aca="false">IF(D1355="","",IF(H1355&lt;=$B$16,1,IF(H1355&gt;=$B$17,$B$21,MATCH(H1355,Aux_CAV!$A$2:$A$121,1))))</f>
        <v>22</v>
      </c>
      <c r="AB1355" s="18" t="n">
        <f aca="false">IF(D1355="","",IF(L1355&lt;=$B$16,1,IF(L1355&gt;=$B$17,$B$21,MATCH(L1355,Aux_CAV!$A$2:$A$121,1))))</f>
        <v>22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1.08230330894106</v>
      </c>
      <c r="E1356" s="16" t="n">
        <f aca="false">IF(D1356="","",D1356*$B$15)</f>
        <v>2.80533017677523</v>
      </c>
      <c r="F1356" s="16" t="n">
        <f aca="false" t="array" ref="F1356:F1356">IF(D1356="","",IFERROR(INDEX(Dados_Evap!$C$2:$N$15,MATCH($B$9,Dados_Evap!$A$2:$A$15,0),C1356),0))</f>
        <v>189</v>
      </c>
      <c r="G1356" s="16" t="n">
        <f aca="false">IF(F1356="","",F1356/1000)</f>
        <v>0.189</v>
      </c>
      <c r="H1356" s="16" t="n">
        <f aca="false">IF(D1356="","",MAX(0,MIN($B$8,IFERROR(LOOKUP(2,1/($U$24:U1355&lt;&gt;""),$U$24:U1355),$B$11))))</f>
        <v>145.305935415329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14.5675591553616</v>
      </c>
      <c r="J1356" s="16" t="n">
        <f aca="false">IF(D1356="","",$B$12)</f>
        <v>0.432</v>
      </c>
      <c r="K1356" s="16" t="n">
        <f aca="false">IF(J1356="","",J1356*$B$15)</f>
        <v>1.119744</v>
      </c>
      <c r="L1356" s="16" t="n">
        <f aca="false">IF(D1356="","",H1356+E1356-K1356-G1356*I1356)</f>
        <v>144.238252911741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14.4898246457469</v>
      </c>
      <c r="N1356" s="16" t="n">
        <f aca="false">IF(D1356="","",(I1356+M1356)/2)</f>
        <v>14.5286919005543</v>
      </c>
      <c r="O1356" s="16" t="n">
        <f aca="false">IF(D1356="","",G1356*N1356)</f>
        <v>2.74592276920475</v>
      </c>
      <c r="P1356" s="16" t="n">
        <f aca="false">IF(D1356="","",H1356+E1356-K1356-O1356)</f>
        <v>144.2455988229</v>
      </c>
      <c r="Q1356" s="16" t="n">
        <f aca="false">IF(D1356="","",IF(P1356&gt;=0,K1356,MAX(0,K1356+P1356)))</f>
        <v>1.119744</v>
      </c>
      <c r="R1356" s="16" t="n">
        <f aca="false">IF(D1356="","",Q1356/$B$15)</f>
        <v>0.432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144.2455988229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89.0404931005555</v>
      </c>
      <c r="Z1356" s="18" t="n">
        <f aca="false">IF(D1356="","",MAX(0,IF(P1356&gt;=0,P1356,IF(K1356+P1356&gt;=0,0,P1356+K1356))))</f>
        <v>144.2455988229</v>
      </c>
      <c r="AA1356" s="18" t="n">
        <f aca="false">IF(D1356="","",IF(H1356&lt;=$B$16,1,IF(H1356&gt;=$B$17,$B$21,MATCH(H1356,Aux_CAV!$A$2:$A$121,1))))</f>
        <v>22</v>
      </c>
      <c r="AB1356" s="18" t="n">
        <f aca="false">IF(D1356="","",IF(L1356&lt;=$B$16,1,IF(L1356&gt;=$B$17,$B$21,MATCH(L1356,Aux_CAV!$A$2:$A$121,1))))</f>
        <v>22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1.21031936469238</v>
      </c>
      <c r="E1357" s="16" t="n">
        <f aca="false">IF(D1357="","",D1357*$B$15)</f>
        <v>3.13714779328265</v>
      </c>
      <c r="F1357" s="16" t="n">
        <f aca="false" t="array" ref="F1357:F1357">IF(D1357="","",IFERROR(INDEX(Dados_Evap!$C$2:$N$15,MATCH($B$9,Dados_Evap!$A$2:$A$15,0),C1357),0))</f>
        <v>136.9</v>
      </c>
      <c r="G1357" s="16" t="n">
        <f aca="false">IF(F1357="","",F1357/1000)</f>
        <v>0.1369</v>
      </c>
      <c r="H1357" s="16" t="n">
        <f aca="false">IF(D1357="","",MAX(0,MIN($B$8,IFERROR(LOOKUP(2,1/($U$24:U1356&lt;&gt;""),$U$24:U1356),$B$11))))</f>
        <v>144.2455988229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14.4903594777776</v>
      </c>
      <c r="J1357" s="16" t="n">
        <f aca="false">IF(D1357="","",$B$12)</f>
        <v>0.432</v>
      </c>
      <c r="K1357" s="16" t="n">
        <f aca="false">IF(J1357="","",J1357*$B$15)</f>
        <v>1.119744</v>
      </c>
      <c r="L1357" s="16" t="n">
        <f aca="false">IF(D1357="","",H1357+E1357-K1357-G1357*I1357)</f>
        <v>144.279272403675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14.492811142275</v>
      </c>
      <c r="N1357" s="16" t="n">
        <f aca="false">IF(D1357="","",(I1357+M1357)/2)</f>
        <v>14.4915853100263</v>
      </c>
      <c r="O1357" s="16" t="n">
        <f aca="false">IF(D1357="","",G1357*N1357)</f>
        <v>1.9838980289426</v>
      </c>
      <c r="P1357" s="16" t="n">
        <f aca="false">IF(D1357="","",H1357+E1357-K1357-O1357)</f>
        <v>144.27910458724</v>
      </c>
      <c r="Q1357" s="16" t="n">
        <f aca="false">IF(D1357="","",IF(P1357&gt;=0,K1357,MAX(0,K1357+P1357)))</f>
        <v>1.119744</v>
      </c>
      <c r="R1357" s="16" t="n">
        <f aca="false">IF(D1357="","",Q1357/$B$15)</f>
        <v>0.432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144.27910458724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89.0611756711357</v>
      </c>
      <c r="Z1357" s="18" t="n">
        <f aca="false">IF(D1357="","",MAX(0,IF(P1357&gt;=0,P1357,IF(K1357+P1357&gt;=0,0,P1357+K1357))))</f>
        <v>144.27910458724</v>
      </c>
      <c r="AA1357" s="18" t="n">
        <f aca="false">IF(D1357="","",IF(H1357&lt;=$B$16,1,IF(H1357&gt;=$B$17,$B$21,MATCH(H1357,Aux_CAV!$A$2:$A$121,1))))</f>
        <v>22</v>
      </c>
      <c r="AB1357" s="18" t="n">
        <f aca="false">IF(D1357="","",IF(L1357&lt;=$B$16,1,IF(L1357&gt;=$B$17,$B$21,MATCH(L1357,Aux_CAV!$A$2:$A$121,1))))</f>
        <v>22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3.83410310658038</v>
      </c>
      <c r="E1358" s="16" t="n">
        <f aca="false">IF(D1358="","",D1358*$B$15)</f>
        <v>9.93799525225635</v>
      </c>
      <c r="F1358" s="16" t="n">
        <f aca="false" t="array" ref="F1358:F1358">IF(D1358="","",IFERROR(INDEX(Dados_Evap!$C$2:$N$15,MATCH($B$9,Dados_Evap!$A$2:$A$15,0),C1358),0))</f>
        <v>102.9</v>
      </c>
      <c r="G1358" s="16" t="n">
        <f aca="false">IF(F1358="","",F1358/1000)</f>
        <v>0.1029</v>
      </c>
      <c r="H1358" s="16" t="n">
        <f aca="false">IF(D1358="","",MAX(0,MIN($B$8,IFERROR(LOOKUP(2,1/($U$24:U1357&lt;&gt;""),$U$24:U1357),$B$11))))</f>
        <v>144.27910458724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14.4927989241032</v>
      </c>
      <c r="J1358" s="16" t="n">
        <f aca="false">IF(D1358="","",$B$12)</f>
        <v>0.432</v>
      </c>
      <c r="K1358" s="16" t="n">
        <f aca="false">IF(J1358="","",J1358*$B$15)</f>
        <v>1.119744</v>
      </c>
      <c r="L1358" s="16" t="n">
        <f aca="false">IF(D1358="","",H1358+E1358-K1358-G1358*I1358)</f>
        <v>151.606046830206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15.0262498894591</v>
      </c>
      <c r="N1358" s="16" t="n">
        <f aca="false">IF(D1358="","",(I1358+M1358)/2)</f>
        <v>14.7595244067812</v>
      </c>
      <c r="O1358" s="16" t="n">
        <f aca="false">IF(D1358="","",G1358*N1358)</f>
        <v>1.51875506145778</v>
      </c>
      <c r="P1358" s="16" t="n">
        <f aca="false">IF(D1358="","",H1358+E1358-K1358-O1358)</f>
        <v>151.578600778038</v>
      </c>
      <c r="Q1358" s="16" t="n">
        <f aca="false">IF(D1358="","",IF(P1358&gt;=0,K1358,MAX(0,K1358+P1358)))</f>
        <v>1.119744</v>
      </c>
      <c r="R1358" s="16" t="n">
        <f aca="false">IF(D1358="","",Q1358/$B$15)</f>
        <v>0.432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151.578600778038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93.5670375173077</v>
      </c>
      <c r="Z1358" s="18" t="n">
        <f aca="false">IF(D1358="","",MAX(0,IF(P1358&gt;=0,P1358,IF(K1358+P1358&gt;=0,0,P1358+K1358))))</f>
        <v>151.578600778038</v>
      </c>
      <c r="AA1358" s="18" t="n">
        <f aca="false">IF(D1358="","",IF(H1358&lt;=$B$16,1,IF(H1358&gt;=$B$17,$B$21,MATCH(H1358,Aux_CAV!$A$2:$A$121,1))))</f>
        <v>22</v>
      </c>
      <c r="AB1358" s="18" t="n">
        <f aca="false">IF(D1358="","",IF(L1358&lt;=$B$16,1,IF(L1358&gt;=$B$17,$B$21,MATCH(L1358,Aux_CAV!$A$2:$A$121,1))))</f>
        <v>22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5.94868010390226</v>
      </c>
      <c r="E1359" s="16" t="n">
        <f aca="false">IF(D1359="","",D1359*$B$15)</f>
        <v>15.4189788293147</v>
      </c>
      <c r="F1359" s="16" t="n">
        <f aca="false" t="array" ref="F1359:F1359">IF(D1359="","",IFERROR(INDEX(Dados_Evap!$C$2:$N$15,MATCH($B$9,Dados_Evap!$A$2:$A$15,0),C1359),0))</f>
        <v>81.8</v>
      </c>
      <c r="G1359" s="16" t="n">
        <f aca="false">IF(F1359="","",F1359/1000)</f>
        <v>0.0818</v>
      </c>
      <c r="H1359" s="16" t="n">
        <f aca="false">IF(D1359="","",MAX(0,MIN($B$8,IFERROR(LOOKUP(2,1/($U$24:U1358&lt;&gt;""),$U$24:U1358),$B$11))))</f>
        <v>151.578600778038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15.0242516311764</v>
      </c>
      <c r="J1359" s="16" t="n">
        <f aca="false">IF(D1359="","",$B$12)</f>
        <v>0.432</v>
      </c>
      <c r="K1359" s="16" t="n">
        <f aca="false">IF(J1359="","",J1359*$B$15)</f>
        <v>1.119744</v>
      </c>
      <c r="L1359" s="16" t="n">
        <f aca="false">IF(D1359="","",H1359+E1359-K1359-G1359*I1359)</f>
        <v>164.648851823923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15.9414265662308</v>
      </c>
      <c r="N1359" s="16" t="n">
        <f aca="false">IF(D1359="","",(I1359+M1359)/2)</f>
        <v>15.4828390987036</v>
      </c>
      <c r="O1359" s="16" t="n">
        <f aca="false">IF(D1359="","",G1359*N1359)</f>
        <v>1.26649623827396</v>
      </c>
      <c r="P1359" s="16" t="n">
        <f aca="false">IF(D1359="","",H1359+E1359-K1359-O1359)</f>
        <v>164.611339369079</v>
      </c>
      <c r="Q1359" s="16" t="n">
        <f aca="false">IF(D1359="","",IF(P1359&gt;=0,K1359,MAX(0,K1359+P1359)))</f>
        <v>1.119744</v>
      </c>
      <c r="R1359" s="16" t="n">
        <f aca="false">IF(D1359="","",Q1359/$B$15)</f>
        <v>0.432</v>
      </c>
      <c r="S1359" s="16" t="n">
        <f aca="false">IF(D1359="","",MAX(0,J1359-R1359))</f>
        <v>0</v>
      </c>
      <c r="T1359" s="16" t="n">
        <f aca="false">IF(D1359="","",MAX(0,Z1359-$B$8))</f>
        <v>2.61133936907916</v>
      </c>
      <c r="U1359" s="16" t="n">
        <f aca="false">IF(D1359="","",MAX(0,MIN($B$8,Z1359)))</f>
        <v>162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100</v>
      </c>
      <c r="Z1359" s="18" t="n">
        <f aca="false">IF(D1359="","",MAX(0,IF(P1359&gt;=0,P1359,IF(K1359+P1359&gt;=0,0,P1359+K1359))))</f>
        <v>164.611339369079</v>
      </c>
      <c r="AA1359" s="18" t="n">
        <f aca="false">IF(D1359="","",IF(H1359&lt;=$B$16,1,IF(H1359&gt;=$B$17,$B$21,MATCH(H1359,Aux_CAV!$A$2:$A$121,1))))</f>
        <v>22</v>
      </c>
      <c r="AB1359" s="18" t="n">
        <f aca="false">IF(D1359="","",IF(L1359&lt;=$B$16,1,IF(L1359&gt;=$B$17,$B$21,MATCH(L1359,Aux_CAV!$A$2:$A$121,1))))</f>
        <v>23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9.71867144794128</v>
      </c>
      <c r="E1360" s="16" t="n">
        <f aca="false">IF(D1360="","",D1360*$B$15)</f>
        <v>25.1907963930638</v>
      </c>
      <c r="F1360" s="16" t="n">
        <f aca="false" t="array" ref="F1360:F1360">IF(D1360="","",IFERROR(INDEX(Dados_Evap!$C$2:$N$15,MATCH($B$9,Dados_Evap!$A$2:$A$15,0),C1360),0))</f>
        <v>83.6</v>
      </c>
      <c r="G1360" s="16" t="n">
        <f aca="false">IF(F1360="","",F1360/1000)</f>
        <v>0.0836</v>
      </c>
      <c r="H1360" s="16" t="n">
        <f aca="false">IF(D1360="","",MAX(0,MIN($B$8,IFERROR(LOOKUP(2,1/($U$24:U1359&lt;&gt;""),$U$24:U1359),$B$11))))</f>
        <v>162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15.783</v>
      </c>
      <c r="J1360" s="16" t="n">
        <f aca="false">IF(D1360="","",$B$12)</f>
        <v>0.432</v>
      </c>
      <c r="K1360" s="16" t="n">
        <f aca="false">IF(J1360="","",J1360*$B$15)</f>
        <v>1.119744</v>
      </c>
      <c r="L1360" s="16" t="n">
        <f aca="false">IF(D1360="","",H1360+E1360-K1360-G1360*I1360)</f>
        <v>184.751593593064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17.143761978709</v>
      </c>
      <c r="N1360" s="16" t="n">
        <f aca="false">IF(D1360="","",(I1360+M1360)/2)</f>
        <v>16.4633809893545</v>
      </c>
      <c r="O1360" s="16" t="n">
        <f aca="false">IF(D1360="","",G1360*N1360)</f>
        <v>1.37633865071003</v>
      </c>
      <c r="P1360" s="16" t="n">
        <f aca="false">IF(D1360="","",H1360+E1360-K1360-O1360)</f>
        <v>184.694713742354</v>
      </c>
      <c r="Q1360" s="16" t="n">
        <f aca="false">IF(D1360="","",IF(P1360&gt;=0,K1360,MAX(0,K1360+P1360)))</f>
        <v>1.119744</v>
      </c>
      <c r="R1360" s="16" t="n">
        <f aca="false">IF(D1360="","",Q1360/$B$15)</f>
        <v>0.432</v>
      </c>
      <c r="S1360" s="16" t="n">
        <f aca="false">IF(D1360="","",MAX(0,J1360-R1360))</f>
        <v>0</v>
      </c>
      <c r="T1360" s="16" t="n">
        <f aca="false">IF(D1360="","",MAX(0,Z1360-$B$8))</f>
        <v>22.6947137423538</v>
      </c>
      <c r="U1360" s="16" t="n">
        <f aca="false">IF(D1360="","",MAX(0,MIN($B$8,Z1360)))</f>
        <v>162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100</v>
      </c>
      <c r="Z1360" s="18" t="n">
        <f aca="false">IF(D1360="","",MAX(0,IF(P1360&gt;=0,P1360,IF(K1360+P1360&gt;=0,0,P1360+K1360))))</f>
        <v>184.694713742354</v>
      </c>
      <c r="AA1360" s="18" t="n">
        <f aca="false">IF(D1360="","",IF(H1360&lt;=$B$16,1,IF(H1360&gt;=$B$17,$B$21,MATCH(H1360,Aux_CAV!$A$2:$A$121,1))))</f>
        <v>23</v>
      </c>
      <c r="AB1360" s="18" t="n">
        <f aca="false">IF(D1360="","",IF(L1360&lt;=$B$16,1,IF(L1360&gt;=$B$17,$B$21,MATCH(L1360,Aux_CAV!$A$2:$A$121,1))))</f>
        <v>23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2.39069402743612</v>
      </c>
      <c r="E1361" s="16" t="n">
        <f aca="false">IF(D1361="","",D1361*$B$15)</f>
        <v>6.19667891911442</v>
      </c>
      <c r="F1361" s="16" t="n">
        <f aca="false" t="array" ref="F1361:F1361">IF(D1361="","",IFERROR(INDEX(Dados_Evap!$C$2:$N$15,MATCH($B$9,Dados_Evap!$A$2:$A$15,0),C1361),0))</f>
        <v>108.2</v>
      </c>
      <c r="G1361" s="16" t="n">
        <f aca="false">IF(F1361="","",F1361/1000)</f>
        <v>0.1082</v>
      </c>
      <c r="H1361" s="16" t="n">
        <f aca="false">IF(D1361="","",MAX(0,MIN($B$8,IFERROR(LOOKUP(2,1/($U$24:U1360&lt;&gt;""),$U$24:U1360),$B$11))))</f>
        <v>162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15.783</v>
      </c>
      <c r="J1361" s="16" t="n">
        <f aca="false">IF(D1361="","",$B$12)</f>
        <v>0.432</v>
      </c>
      <c r="K1361" s="16" t="n">
        <f aca="false">IF(J1361="","",J1361*$B$15)</f>
        <v>1.119744</v>
      </c>
      <c r="L1361" s="16" t="n">
        <f aca="false">IF(D1361="","",H1361+E1361-K1361-G1361*I1361)</f>
        <v>165.369214319114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15.9845111040385</v>
      </c>
      <c r="N1361" s="16" t="n">
        <f aca="false">IF(D1361="","",(I1361+M1361)/2)</f>
        <v>15.8837555520192</v>
      </c>
      <c r="O1361" s="16" t="n">
        <f aca="false">IF(D1361="","",G1361*N1361)</f>
        <v>1.71862235072848</v>
      </c>
      <c r="P1361" s="16" t="n">
        <f aca="false">IF(D1361="","",H1361+E1361-K1361-O1361)</f>
        <v>165.358312568386</v>
      </c>
      <c r="Q1361" s="16" t="n">
        <f aca="false">IF(D1361="","",IF(P1361&gt;=0,K1361,MAX(0,K1361+P1361)))</f>
        <v>1.119744</v>
      </c>
      <c r="R1361" s="16" t="n">
        <f aca="false">IF(D1361="","",Q1361/$B$15)</f>
        <v>0.432</v>
      </c>
      <c r="S1361" s="16" t="n">
        <f aca="false">IF(D1361="","",MAX(0,J1361-R1361))</f>
        <v>0</v>
      </c>
      <c r="T1361" s="16" t="n">
        <f aca="false">IF(D1361="","",MAX(0,Z1361-$B$8))</f>
        <v>3.35831256838594</v>
      </c>
      <c r="U1361" s="16" t="n">
        <f aca="false">IF(D1361="","",MAX(0,MIN($B$8,Z1361)))</f>
        <v>162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100</v>
      </c>
      <c r="Z1361" s="18" t="n">
        <f aca="false">IF(D1361="","",MAX(0,IF(P1361&gt;=0,P1361,IF(K1361+P1361&gt;=0,0,P1361+K1361))))</f>
        <v>165.358312568386</v>
      </c>
      <c r="AA1361" s="18" t="n">
        <f aca="false">IF(D1361="","",IF(H1361&lt;=$B$16,1,IF(H1361&gt;=$B$17,$B$21,MATCH(H1361,Aux_CAV!$A$2:$A$121,1))))</f>
        <v>23</v>
      </c>
      <c r="AB1361" s="18" t="n">
        <f aca="false">IF(D1361="","",IF(L1361&lt;=$B$16,1,IF(L1361&gt;=$B$17,$B$21,MATCH(L1361,Aux_CAV!$A$2:$A$121,1))))</f>
        <v>23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3.11236394856</v>
      </c>
      <c r="E1362" s="16" t="n">
        <f aca="false">IF(D1362="","",D1362*$B$15)</f>
        <v>8.06724735466752</v>
      </c>
      <c r="F1362" s="16" t="n">
        <f aca="false" t="array" ref="F1362:F1362">IF(D1362="","",IFERROR(INDEX(Dados_Evap!$C$2:$N$15,MATCH($B$9,Dados_Evap!$A$2:$A$15,0),C1362),0))</f>
        <v>149</v>
      </c>
      <c r="G1362" s="16" t="n">
        <f aca="false">IF(F1362="","",F1362/1000)</f>
        <v>0.149</v>
      </c>
      <c r="H1362" s="16" t="n">
        <f aca="false">IF(D1362="","",MAX(0,MIN($B$8,IFERROR(LOOKUP(2,1/($U$24:U1361&lt;&gt;""),$U$24:U1361),$B$11))))</f>
        <v>162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15.783</v>
      </c>
      <c r="J1362" s="16" t="n">
        <f aca="false">IF(D1362="","",$B$12)</f>
        <v>0.432</v>
      </c>
      <c r="K1362" s="16" t="n">
        <f aca="false">IF(J1362="","",J1362*$B$15)</f>
        <v>1.119744</v>
      </c>
      <c r="L1362" s="16" t="n">
        <f aca="false">IF(D1362="","",H1362+E1362-K1362-G1362*I1362)</f>
        <v>166.595836354668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16.0578747838792</v>
      </c>
      <c r="N1362" s="16" t="n">
        <f aca="false">IF(D1362="","",(I1362+M1362)/2)</f>
        <v>15.9204373919396</v>
      </c>
      <c r="O1362" s="16" t="n">
        <f aca="false">IF(D1362="","",G1362*N1362)</f>
        <v>2.372145171399</v>
      </c>
      <c r="P1362" s="16" t="n">
        <f aca="false">IF(D1362="","",H1362+E1362-K1362-O1362)</f>
        <v>166.575358183269</v>
      </c>
      <c r="Q1362" s="16" t="n">
        <f aca="false">IF(D1362="","",IF(P1362&gt;=0,K1362,MAX(0,K1362+P1362)))</f>
        <v>1.119744</v>
      </c>
      <c r="R1362" s="16" t="n">
        <f aca="false">IF(D1362="","",Q1362/$B$15)</f>
        <v>0.432</v>
      </c>
      <c r="S1362" s="16" t="n">
        <f aca="false">IF(D1362="","",MAX(0,J1362-R1362))</f>
        <v>0</v>
      </c>
      <c r="T1362" s="16" t="n">
        <f aca="false">IF(D1362="","",MAX(0,Z1362-$B$8))</f>
        <v>4.57535818326852</v>
      </c>
      <c r="U1362" s="16" t="n">
        <f aca="false">IF(D1362="","",MAX(0,MIN($B$8,Z1362)))</f>
        <v>162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100</v>
      </c>
      <c r="Z1362" s="18" t="n">
        <f aca="false">IF(D1362="","",MAX(0,IF(P1362&gt;=0,P1362,IF(K1362+P1362&gt;=0,0,P1362+K1362))))</f>
        <v>166.575358183269</v>
      </c>
      <c r="AA1362" s="18" t="n">
        <f aca="false">IF(D1362="","",IF(H1362&lt;=$B$16,1,IF(H1362&gt;=$B$17,$B$21,MATCH(H1362,Aux_CAV!$A$2:$A$121,1))))</f>
        <v>23</v>
      </c>
      <c r="AB1362" s="18" t="n">
        <f aca="false">IF(D1362="","",IF(L1362&lt;=$B$16,1,IF(L1362&gt;=$B$17,$B$21,MATCH(L1362,Aux_CAV!$A$2:$A$121,1))))</f>
        <v>23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0.43452319005972</v>
      </c>
      <c r="E1363" s="16" t="n">
        <f aca="false">IF(D1363="","",D1363*$B$15)</f>
        <v>1.12628410863479</v>
      </c>
      <c r="F1363" s="16" t="n">
        <f aca="false" t="array" ref="F1363:F1363">IF(D1363="","",IFERROR(INDEX(Dados_Evap!$C$2:$N$15,MATCH($B$9,Dados_Evap!$A$2:$A$15,0),C1363),0))</f>
        <v>206.8</v>
      </c>
      <c r="G1363" s="16" t="n">
        <f aca="false">IF(F1363="","",F1363/1000)</f>
        <v>0.2068</v>
      </c>
      <c r="H1363" s="16" t="n">
        <f aca="false">IF(D1363="","",MAX(0,MIN($B$8,IFERROR(LOOKUP(2,1/($U$24:U1362&lt;&gt;""),$U$24:U1362),$B$11))))</f>
        <v>162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15.783</v>
      </c>
      <c r="J1363" s="16" t="n">
        <f aca="false">IF(D1363="","",$B$12)</f>
        <v>0.432</v>
      </c>
      <c r="K1363" s="16" t="n">
        <f aca="false">IF(J1363="","",J1363*$B$15)</f>
        <v>1.119744</v>
      </c>
      <c r="L1363" s="16" t="n">
        <f aca="false">IF(D1363="","",H1363+E1363-K1363-G1363*I1363)</f>
        <v>158.742615708635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15.5458403859151</v>
      </c>
      <c r="N1363" s="16" t="n">
        <f aca="false">IF(D1363="","",(I1363+M1363)/2)</f>
        <v>15.6644201929576</v>
      </c>
      <c r="O1363" s="16" t="n">
        <f aca="false">IF(D1363="","",G1363*N1363)</f>
        <v>3.23940209590362</v>
      </c>
      <c r="P1363" s="16" t="n">
        <f aca="false">IF(D1363="","",H1363+E1363-K1363-O1363)</f>
        <v>158.767138012731</v>
      </c>
      <c r="Q1363" s="16" t="n">
        <f aca="false">IF(D1363="","",IF(P1363&gt;=0,K1363,MAX(0,K1363+P1363)))</f>
        <v>1.119744</v>
      </c>
      <c r="R1363" s="16" t="n">
        <f aca="false">IF(D1363="","",Q1363/$B$15)</f>
        <v>0.432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158.767138012731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98.0044061806983</v>
      </c>
      <c r="Z1363" s="18" t="n">
        <f aca="false">IF(D1363="","",MAX(0,IF(P1363&gt;=0,P1363,IF(K1363+P1363&gt;=0,0,P1363+K1363))))</f>
        <v>158.767138012731</v>
      </c>
      <c r="AA1363" s="18" t="n">
        <f aca="false">IF(D1363="","",IF(H1363&lt;=$B$16,1,IF(H1363&gt;=$B$17,$B$21,MATCH(H1363,Aux_CAV!$A$2:$A$121,1))))</f>
        <v>23</v>
      </c>
      <c r="AB1363" s="18" t="n">
        <f aca="false">IF(D1363="","",IF(L1363&lt;=$B$16,1,IF(L1363&gt;=$B$17,$B$21,MATCH(L1363,Aux_CAV!$A$2:$A$121,1))))</f>
        <v>22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0.457052853013409</v>
      </c>
      <c r="E1364" s="16" t="n">
        <f aca="false">IF(D1364="","",D1364*$B$15)</f>
        <v>1.18468099501076</v>
      </c>
      <c r="F1364" s="16" t="n">
        <f aca="false" t="array" ref="F1364:F1364">IF(D1364="","",IFERROR(INDEX(Dados_Evap!$C$2:$N$15,MATCH($B$9,Dados_Evap!$A$2:$A$15,0),C1364),0))</f>
        <v>245.9</v>
      </c>
      <c r="G1364" s="16" t="n">
        <f aca="false">IF(F1364="","",F1364/1000)</f>
        <v>0.2459</v>
      </c>
      <c r="H1364" s="16" t="n">
        <f aca="false">IF(D1364="","",MAX(0,MIN($B$8,IFERROR(LOOKUP(2,1/($U$24:U1363&lt;&gt;""),$U$24:U1363),$B$11))))</f>
        <v>158.767138012731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15.5476257755578</v>
      </c>
      <c r="J1364" s="16" t="n">
        <f aca="false">IF(D1364="","",$B$12)</f>
        <v>0.432</v>
      </c>
      <c r="K1364" s="16" t="n">
        <f aca="false">IF(J1364="","",J1364*$B$15)</f>
        <v>1.119744</v>
      </c>
      <c r="L1364" s="16" t="n">
        <f aca="false">IF(D1364="","",H1364+E1364-K1364-G1364*I1364)</f>
        <v>155.008913829532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15.2740016289397</v>
      </c>
      <c r="N1364" s="16" t="n">
        <f aca="false">IF(D1364="","",(I1364+M1364)/2)</f>
        <v>15.4108137022487</v>
      </c>
      <c r="O1364" s="16" t="n">
        <f aca="false">IF(D1364="","",G1364*N1364)</f>
        <v>3.78951908938296</v>
      </c>
      <c r="P1364" s="16" t="n">
        <f aca="false">IF(D1364="","",H1364+E1364-K1364-O1364)</f>
        <v>155.042555918359</v>
      </c>
      <c r="Q1364" s="16" t="n">
        <f aca="false">IF(D1364="","",IF(P1364&gt;=0,K1364,MAX(0,K1364+P1364)))</f>
        <v>1.119744</v>
      </c>
      <c r="R1364" s="16" t="n">
        <f aca="false">IF(D1364="","",Q1364/$B$15)</f>
        <v>0.432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155.042555918359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95.7052814310858</v>
      </c>
      <c r="Z1364" s="18" t="n">
        <f aca="false">IF(D1364="","",MAX(0,IF(P1364&gt;=0,P1364,IF(K1364+P1364&gt;=0,0,P1364+K1364))))</f>
        <v>155.042555918359</v>
      </c>
      <c r="AA1364" s="18" t="n">
        <f aca="false">IF(D1364="","",IF(H1364&lt;=$B$16,1,IF(H1364&gt;=$B$17,$B$21,MATCH(H1364,Aux_CAV!$A$2:$A$121,1))))</f>
        <v>22</v>
      </c>
      <c r="AB1364" s="18" t="n">
        <f aca="false">IF(D1364="","",IF(L1364&lt;=$B$16,1,IF(L1364&gt;=$B$17,$B$21,MATCH(L1364,Aux_CAV!$A$2:$A$121,1))))</f>
        <v>22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0.743539934202465</v>
      </c>
      <c r="E1365" s="16" t="n">
        <f aca="false">IF(D1365="","",D1365*$B$15)</f>
        <v>1.92725550945279</v>
      </c>
      <c r="F1365" s="16" t="n">
        <f aca="false" t="array" ref="F1365:F1365">IF(D1365="","",IFERROR(INDEX(Dados_Evap!$C$2:$N$15,MATCH($B$9,Dados_Evap!$A$2:$A$15,0),C1365),0))</f>
        <v>282.3</v>
      </c>
      <c r="G1365" s="16" t="n">
        <f aca="false">IF(F1365="","",F1365/1000)</f>
        <v>0.2823</v>
      </c>
      <c r="H1365" s="16" t="n">
        <f aca="false">IF(D1365="","",MAX(0,MIN($B$8,IFERROR(LOOKUP(2,1/($U$24:U1364&lt;&gt;""),$U$24:U1364),$B$11))))</f>
        <v>155.042555918359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15.2764510006102</v>
      </c>
      <c r="J1365" s="16" t="n">
        <f aca="false">IF(D1365="","",$B$12)</f>
        <v>0.432</v>
      </c>
      <c r="K1365" s="16" t="n">
        <f aca="false">IF(J1365="","",J1365*$B$15)</f>
        <v>1.119744</v>
      </c>
      <c r="L1365" s="16" t="n">
        <f aca="false">IF(D1365="","",H1365+E1365-K1365-G1365*I1365)</f>
        <v>151.53752531034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15.0212610592339</v>
      </c>
      <c r="N1365" s="16" t="n">
        <f aca="false">IF(D1365="","",(I1365+M1365)/2)</f>
        <v>15.148856029922</v>
      </c>
      <c r="O1365" s="16" t="n">
        <f aca="false">IF(D1365="","",G1365*N1365)</f>
        <v>4.27652205724699</v>
      </c>
      <c r="P1365" s="16" t="n">
        <f aca="false">IF(D1365="","",H1365+E1365-K1365-O1365)</f>
        <v>151.573545370565</v>
      </c>
      <c r="Q1365" s="16" t="n">
        <f aca="false">IF(D1365="","",IF(P1365&gt;=0,K1365,MAX(0,K1365+P1365)))</f>
        <v>1.119744</v>
      </c>
      <c r="R1365" s="16" t="n">
        <f aca="false">IF(D1365="","",Q1365/$B$15)</f>
        <v>0.432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151.573545370565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93.5639168954103</v>
      </c>
      <c r="Z1365" s="18" t="n">
        <f aca="false">IF(D1365="","",MAX(0,IF(P1365&gt;=0,P1365,IF(K1365+P1365&gt;=0,0,P1365+K1365))))</f>
        <v>151.573545370565</v>
      </c>
      <c r="AA1365" s="18" t="n">
        <f aca="false">IF(D1365="","",IF(H1365&lt;=$B$16,1,IF(H1365&gt;=$B$17,$B$21,MATCH(H1365,Aux_CAV!$A$2:$A$121,1))))</f>
        <v>22</v>
      </c>
      <c r="AB1365" s="18" t="n">
        <f aca="false">IF(D1365="","",IF(L1365&lt;=$B$16,1,IF(L1365&gt;=$B$17,$B$21,MATCH(L1365,Aux_CAV!$A$2:$A$121,1))))</f>
        <v>22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0.762779196286597</v>
      </c>
      <c r="E1366" s="16" t="n">
        <f aca="false">IF(D1366="","",D1366*$B$15)</f>
        <v>1.97712367677486</v>
      </c>
      <c r="F1366" s="16" t="n">
        <f aca="false" t="array" ref="F1366:F1366">IF(D1366="","",IFERROR(INDEX(Dados_Evap!$C$2:$N$15,MATCH($B$9,Dados_Evap!$A$2:$A$15,0),C1366),0))</f>
        <v>241.3</v>
      </c>
      <c r="G1366" s="16" t="n">
        <f aca="false">IF(F1366="","",F1366/1000)</f>
        <v>0.2413</v>
      </c>
      <c r="H1366" s="16" t="n">
        <f aca="false">IF(D1366="","",MAX(0,MIN($B$8,IFERROR(LOOKUP(2,1/($U$24:U1365&lt;&gt;""),$U$24:U1365),$B$11))))</f>
        <v>151.573545370565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15.0238835633102</v>
      </c>
      <c r="J1366" s="16" t="n">
        <f aca="false">IF(D1366="","",$B$12)</f>
        <v>0.432</v>
      </c>
      <c r="K1366" s="16" t="n">
        <f aca="false">IF(J1366="","",J1366*$B$15)</f>
        <v>1.119744</v>
      </c>
      <c r="L1366" s="16" t="n">
        <f aca="false">IF(D1366="","",H1366+E1366-K1366-G1366*I1366)</f>
        <v>148.805661943513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14.8223629238414</v>
      </c>
      <c r="N1366" s="16" t="n">
        <f aca="false">IF(D1366="","",(I1366+M1366)/2)</f>
        <v>14.9231232435758</v>
      </c>
      <c r="O1366" s="16" t="n">
        <f aca="false">IF(D1366="","",G1366*N1366)</f>
        <v>3.60094963867484</v>
      </c>
      <c r="P1366" s="16" t="n">
        <f aca="false">IF(D1366="","",H1366+E1366-K1366-O1366)</f>
        <v>148.829975408665</v>
      </c>
      <c r="Q1366" s="16" t="n">
        <f aca="false">IF(D1366="","",IF(P1366&gt;=0,K1366,MAX(0,K1366+P1366)))</f>
        <v>1.119744</v>
      </c>
      <c r="R1366" s="16" t="n">
        <f aca="false">IF(D1366="","",Q1366/$B$15)</f>
        <v>0.432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148.829975408665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91.8703551905338</v>
      </c>
      <c r="Z1366" s="18" t="n">
        <f aca="false">IF(D1366="","",MAX(0,IF(P1366&gt;=0,P1366,IF(K1366+P1366&gt;=0,0,P1366+K1366))))</f>
        <v>148.829975408665</v>
      </c>
      <c r="AA1366" s="18" t="n">
        <f aca="false">IF(D1366="","",IF(H1366&lt;=$B$16,1,IF(H1366&gt;=$B$17,$B$21,MATCH(H1366,Aux_CAV!$A$2:$A$121,1))))</f>
        <v>22</v>
      </c>
      <c r="AB1366" s="18" t="n">
        <f aca="false">IF(D1366="","",IF(L1366&lt;=$B$16,1,IF(L1366&gt;=$B$17,$B$21,MATCH(L1366,Aux_CAV!$A$2:$A$121,1))))</f>
        <v>22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0.632153274257199</v>
      </c>
      <c r="E1367" s="16" t="n">
        <f aca="false">IF(D1367="","",D1367*$B$15)</f>
        <v>1.63854128687466</v>
      </c>
      <c r="F1367" s="16" t="n">
        <f aca="false" t="array" ref="F1367:F1367">IF(D1367="","",IFERROR(INDEX(Dados_Evap!$C$2:$N$15,MATCH($B$9,Dados_Evap!$A$2:$A$15,0),C1367),0))</f>
        <v>241.8</v>
      </c>
      <c r="G1367" s="16" t="n">
        <f aca="false">IF(F1367="","",F1367/1000)</f>
        <v>0.2418</v>
      </c>
      <c r="H1367" s="16" t="n">
        <f aca="false">IF(D1367="","",MAX(0,MIN($B$8,IFERROR(LOOKUP(2,1/($U$24:U1366&lt;&gt;""),$U$24:U1366),$B$11))))</f>
        <v>148.829975408665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14.824133108596</v>
      </c>
      <c r="J1367" s="16" t="n">
        <f aca="false">IF(D1367="","",$B$12)</f>
        <v>0.432</v>
      </c>
      <c r="K1367" s="16" t="n">
        <f aca="false">IF(J1367="","",J1367*$B$15)</f>
        <v>1.119744</v>
      </c>
      <c r="L1367" s="16" t="n">
        <f aca="false">IF(D1367="","",H1367+E1367-K1367-G1367*I1367)</f>
        <v>145.764297309881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14.6009310023099</v>
      </c>
      <c r="N1367" s="16" t="n">
        <f aca="false">IF(D1367="","",(I1367+M1367)/2)</f>
        <v>14.712532055453</v>
      </c>
      <c r="O1367" s="16" t="n">
        <f aca="false">IF(D1367="","",G1367*N1367)</f>
        <v>3.55749025100852</v>
      </c>
      <c r="P1367" s="16" t="n">
        <f aca="false">IF(D1367="","",H1367+E1367-K1367-O1367)</f>
        <v>145.791282444531</v>
      </c>
      <c r="Q1367" s="16" t="n">
        <f aca="false">IF(D1367="","",IF(P1367&gt;=0,K1367,MAX(0,K1367+P1367)))</f>
        <v>1.119744</v>
      </c>
      <c r="R1367" s="16" t="n">
        <f aca="false">IF(D1367="","",Q1367/$B$15)</f>
        <v>0.432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145.791282444531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89.9946187929203</v>
      </c>
      <c r="Z1367" s="18" t="n">
        <f aca="false">IF(D1367="","",MAX(0,IF(P1367&gt;=0,P1367,IF(K1367+P1367&gt;=0,0,P1367+K1367))))</f>
        <v>145.791282444531</v>
      </c>
      <c r="AA1367" s="18" t="n">
        <f aca="false">IF(D1367="","",IF(H1367&lt;=$B$16,1,IF(H1367&gt;=$B$17,$B$21,MATCH(H1367,Aux_CAV!$A$2:$A$121,1))))</f>
        <v>22</v>
      </c>
      <c r="AB1367" s="18" t="n">
        <f aca="false">IF(D1367="","",IF(L1367&lt;=$B$16,1,IF(L1367&gt;=$B$17,$B$21,MATCH(L1367,Aux_CAV!$A$2:$A$121,1))))</f>
        <v>22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0.117026370554293</v>
      </c>
      <c r="C3" s="0" t="n">
        <v>0.0720437022850591</v>
      </c>
      <c r="D3" s="0" t="n">
        <v>1.13662822791323</v>
      </c>
      <c r="E3" s="0" t="n">
        <v>1.33879743230966</v>
      </c>
      <c r="F3" s="0" t="n">
        <v>0.675165324719859</v>
      </c>
      <c r="G3" s="0" t="n">
        <v>0.462614925442387</v>
      </c>
      <c r="H3" s="0" t="n">
        <v>0.258642967008413</v>
      </c>
      <c r="I3" s="0" t="n">
        <v>0.391476160702025</v>
      </c>
      <c r="J3" s="0" t="n">
        <v>0.167089815725152</v>
      </c>
      <c r="K3" s="0" t="n">
        <v>0.0856036507738744</v>
      </c>
      <c r="L3" s="0" t="n">
        <v>0.102504173129558</v>
      </c>
      <c r="M3" s="0" t="n">
        <v>0.1188550613655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0.385426226463072</v>
      </c>
      <c r="C4" s="0" t="n">
        <v>1.68661306072442</v>
      </c>
      <c r="D4" s="0" t="n">
        <v>3.92940811123433</v>
      </c>
      <c r="E4" s="0" t="n">
        <v>8.15045890262577</v>
      </c>
      <c r="F4" s="0" t="n">
        <v>12.1782362515404</v>
      </c>
      <c r="G4" s="0" t="n">
        <v>5.67281162173095</v>
      </c>
      <c r="H4" s="0" t="n">
        <v>1.11820057009457</v>
      </c>
      <c r="I4" s="0" t="n">
        <v>1.66367422685417</v>
      </c>
      <c r="J4" s="0" t="n">
        <v>0.681159888800275</v>
      </c>
      <c r="K4" s="0" t="n">
        <v>0.780226552957601</v>
      </c>
      <c r="L4" s="0" t="n">
        <v>0.458648563261397</v>
      </c>
      <c r="M4" s="0" t="n">
        <v>0.41477140871353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0.594743254597065</v>
      </c>
      <c r="C5" s="0" t="n">
        <v>4.32164279087068</v>
      </c>
      <c r="D5" s="0" t="n">
        <v>12.9927261073906</v>
      </c>
      <c r="E5" s="0" t="n">
        <v>13.1147620455863</v>
      </c>
      <c r="F5" s="0" t="n">
        <v>9.34607904260814</v>
      </c>
      <c r="G5" s="0" t="n">
        <v>6.50091141843077</v>
      </c>
      <c r="H5" s="0" t="n">
        <v>3.29957598643809</v>
      </c>
      <c r="I5" s="0" t="n">
        <v>1.17417006912618</v>
      </c>
      <c r="J5" s="0" t="n">
        <v>1.00347847514125</v>
      </c>
      <c r="K5" s="0" t="n">
        <v>1.663639782383</v>
      </c>
      <c r="L5" s="0" t="n">
        <v>0.707590149603403</v>
      </c>
      <c r="M5" s="0" t="n">
        <v>2.08850496028121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3.21646965435173</v>
      </c>
      <c r="C6" s="0" t="n">
        <v>5.01777264590516</v>
      </c>
      <c r="D6" s="0" t="n">
        <v>6.85841070253483</v>
      </c>
      <c r="E6" s="0" t="n">
        <v>11.5668107119852</v>
      </c>
      <c r="F6" s="0" t="n">
        <v>10.3035463725101</v>
      </c>
      <c r="G6" s="0" t="n">
        <v>14.5805968967603</v>
      </c>
      <c r="H6" s="0" t="n">
        <v>3.50260456628659</v>
      </c>
      <c r="I6" s="0" t="n">
        <v>3.75385523154249</v>
      </c>
      <c r="J6" s="0" t="n">
        <v>0.809753228186868</v>
      </c>
      <c r="K6" s="0" t="n">
        <v>0.803262869654239</v>
      </c>
      <c r="L6" s="0" t="n">
        <v>0.812034670648933</v>
      </c>
      <c r="M6" s="0" t="n">
        <v>0.602090312552293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0.721419639761547</v>
      </c>
      <c r="C7" s="0" t="n">
        <v>0.712044341544827</v>
      </c>
      <c r="D7" s="0" t="n">
        <v>0.865044985252297</v>
      </c>
      <c r="E7" s="0" t="n">
        <v>0.923383206912649</v>
      </c>
      <c r="F7" s="0" t="n">
        <v>0.61388556801737</v>
      </c>
      <c r="G7" s="0" t="n">
        <v>0.515205004805427</v>
      </c>
      <c r="H7" s="0" t="n">
        <v>0.267662077036528</v>
      </c>
      <c r="I7" s="0" t="n">
        <v>0.249009714050159</v>
      </c>
      <c r="J7" s="0" t="n">
        <v>0.198858106116348</v>
      </c>
      <c r="K7" s="0" t="n">
        <v>0.163131349165935</v>
      </c>
      <c r="L7" s="0" t="n">
        <v>0.134978220249347</v>
      </c>
      <c r="M7" s="0" t="n">
        <v>0.154785149425534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0.204620378141236</v>
      </c>
      <c r="C8" s="0" t="n">
        <v>0.328213491996218</v>
      </c>
      <c r="D8" s="0" t="n">
        <v>1.77924242969264</v>
      </c>
      <c r="E8" s="0" t="n">
        <v>3.04539058358532</v>
      </c>
      <c r="F8" s="0" t="n">
        <v>3.31825866804322</v>
      </c>
      <c r="G8" s="0" t="n">
        <v>2.65173664480927</v>
      </c>
      <c r="H8" s="0" t="n">
        <v>0.180108022151777</v>
      </c>
      <c r="I8" s="0" t="n">
        <v>0.198182873561889</v>
      </c>
      <c r="J8" s="0" t="n">
        <v>0.214584009305788</v>
      </c>
      <c r="K8" s="0" t="n">
        <v>0.215712868998857</v>
      </c>
      <c r="L8" s="0" t="n">
        <v>0.337085074820523</v>
      </c>
      <c r="M8" s="0" t="n">
        <v>0.597088250403989</v>
      </c>
    </row>
    <row r="9" customFormat="false" ht="12.75" hidden="false" customHeight="true" outlineLevel="0" collapsed="false">
      <c r="A9" s="5" t="n">
        <v>1917</v>
      </c>
      <c r="B9" s="0" t="n">
        <v>2.6408341473122</v>
      </c>
      <c r="C9" s="0" t="n">
        <v>7.81788306268952</v>
      </c>
      <c r="D9" s="0" t="n">
        <v>19.6107050082218</v>
      </c>
      <c r="E9" s="0" t="n">
        <v>19.8984531954379</v>
      </c>
      <c r="F9" s="0" t="n">
        <v>37.0759892396878</v>
      </c>
      <c r="G9" s="0" t="n">
        <v>10.3367211166141</v>
      </c>
      <c r="H9" s="0" t="n">
        <v>2.29235443196121</v>
      </c>
      <c r="I9" s="0" t="n">
        <v>1.25287240260625</v>
      </c>
      <c r="J9" s="0" t="n">
        <v>1.4718930899328</v>
      </c>
      <c r="K9" s="0" t="n">
        <v>0.875409998942901</v>
      </c>
      <c r="L9" s="0" t="n">
        <v>1.53284986162845</v>
      </c>
      <c r="M9" s="0" t="n">
        <v>1.26992423971596</v>
      </c>
    </row>
    <row r="10" customFormat="false" ht="12.75" hidden="false" customHeight="true" outlineLevel="0" collapsed="false">
      <c r="A10" s="5" t="n">
        <v>1918</v>
      </c>
      <c r="B10" s="0" t="n">
        <v>1.66797958835732</v>
      </c>
      <c r="C10" s="0" t="n">
        <v>2.87917271047924</v>
      </c>
      <c r="D10" s="0" t="n">
        <v>5.06083214896496</v>
      </c>
      <c r="E10" s="0" t="n">
        <v>6.96928395640389</v>
      </c>
      <c r="F10" s="0" t="n">
        <v>6.63544274555092</v>
      </c>
      <c r="G10" s="0" t="n">
        <v>2.9477408719971</v>
      </c>
      <c r="H10" s="0" t="n">
        <v>1.05035383207631</v>
      </c>
      <c r="I10" s="0" t="n">
        <v>1.52014240357046</v>
      </c>
      <c r="J10" s="0" t="n">
        <v>0.734505954971456</v>
      </c>
      <c r="K10" s="0" t="n">
        <v>0.535431611738911</v>
      </c>
      <c r="L10" s="0" t="n">
        <v>0.457443690950225</v>
      </c>
      <c r="M10" s="0" t="n">
        <v>0.833175556988856</v>
      </c>
    </row>
    <row r="11" customFormat="false" ht="12.75" hidden="false" customHeight="true" outlineLevel="0" collapsed="false">
      <c r="A11" s="5" t="n">
        <v>1919</v>
      </c>
      <c r="B11" s="0" t="n">
        <v>0.410604364026169</v>
      </c>
      <c r="C11" s="0" t="n">
        <v>0.459964620525859</v>
      </c>
      <c r="D11" s="0" t="n">
        <v>0.412145229896769</v>
      </c>
      <c r="E11" s="0" t="n">
        <v>0.360910502055863</v>
      </c>
      <c r="F11" s="0" t="n">
        <v>0.343015343287623</v>
      </c>
      <c r="G11" s="0" t="n">
        <v>0.229094931130714</v>
      </c>
      <c r="H11" s="0" t="n">
        <v>0.224154967964532</v>
      </c>
      <c r="I11" s="0" t="n">
        <v>0.169798685285105</v>
      </c>
      <c r="J11" s="0" t="n">
        <v>0.144362621623421</v>
      </c>
      <c r="K11" s="0" t="n">
        <v>0.102685576932334</v>
      </c>
      <c r="L11" s="0" t="n">
        <v>0.0866658575787508</v>
      </c>
      <c r="M11" s="0" t="n">
        <v>0.07290647157612</v>
      </c>
    </row>
    <row r="12" customFormat="false" ht="12.75" hidden="false" customHeight="true" outlineLevel="0" collapsed="false">
      <c r="A12" s="5" t="n">
        <v>1920</v>
      </c>
      <c r="B12" s="0" t="n">
        <v>0.0657451141653148</v>
      </c>
      <c r="C12" s="0" t="n">
        <v>0.0726589296581116</v>
      </c>
      <c r="D12" s="0" t="n">
        <v>0.884178096502283</v>
      </c>
      <c r="E12" s="0" t="n">
        <v>1.75189989437179</v>
      </c>
      <c r="F12" s="0" t="n">
        <v>2.55551968500814</v>
      </c>
      <c r="G12" s="0" t="n">
        <v>1.67183152766275</v>
      </c>
      <c r="H12" s="0" t="n">
        <v>0.938316798957682</v>
      </c>
      <c r="I12" s="0" t="n">
        <v>0.354055371409675</v>
      </c>
      <c r="J12" s="0" t="n">
        <v>0.219563008002489</v>
      </c>
      <c r="K12" s="0" t="n">
        <v>0.172320416056201</v>
      </c>
      <c r="L12" s="0" t="n">
        <v>0.256134080173036</v>
      </c>
      <c r="M12" s="0" t="n">
        <v>0.52350243846948</v>
      </c>
    </row>
    <row r="13" customFormat="false" ht="12.75" hidden="false" customHeight="true" outlineLevel="0" collapsed="false">
      <c r="A13" s="5" t="n">
        <v>1921</v>
      </c>
      <c r="B13" s="0" t="n">
        <v>0.471455098373718</v>
      </c>
      <c r="C13" s="0" t="n">
        <v>2.27740138413539</v>
      </c>
      <c r="D13" s="0" t="n">
        <v>7.88370842041053</v>
      </c>
      <c r="E13" s="0" t="n">
        <v>12.5877598921015</v>
      </c>
      <c r="F13" s="0" t="n">
        <v>22.3147158038717</v>
      </c>
      <c r="G13" s="0" t="n">
        <v>4.46352482610226</v>
      </c>
      <c r="H13" s="0" t="n">
        <v>7.65226947608626</v>
      </c>
      <c r="I13" s="0" t="n">
        <v>0.728500212191465</v>
      </c>
      <c r="J13" s="0" t="n">
        <v>1.22357686040664</v>
      </c>
      <c r="K13" s="0" t="n">
        <v>1.07328284074522</v>
      </c>
      <c r="L13" s="0" t="n">
        <v>1.21499809664936</v>
      </c>
      <c r="M13" s="0" t="n">
        <v>0.71682144347518</v>
      </c>
    </row>
    <row r="14" customFormat="false" ht="12.75" hidden="false" customHeight="true" outlineLevel="0" collapsed="false">
      <c r="A14" s="5" t="n">
        <v>1922</v>
      </c>
      <c r="B14" s="0" t="n">
        <v>0.908971413814632</v>
      </c>
      <c r="C14" s="0" t="n">
        <v>1.02875860265021</v>
      </c>
      <c r="D14" s="0" t="n">
        <v>2.07989016153417</v>
      </c>
      <c r="E14" s="0" t="n">
        <v>10.2724515852399</v>
      </c>
      <c r="F14" s="0" t="n">
        <v>11.5519419749715</v>
      </c>
      <c r="G14" s="0" t="n">
        <v>6.71340073387625</v>
      </c>
      <c r="H14" s="0" t="n">
        <v>5.41075158342813</v>
      </c>
      <c r="I14" s="0" t="n">
        <v>1.93911944760678</v>
      </c>
      <c r="J14" s="0" t="n">
        <v>0.688906129600528</v>
      </c>
      <c r="K14" s="0" t="n">
        <v>0.5984556177904</v>
      </c>
      <c r="L14" s="0" t="n">
        <v>0.976197993734132</v>
      </c>
      <c r="M14" s="0" t="n">
        <v>0.623159111077613</v>
      </c>
    </row>
    <row r="15" customFormat="false" ht="12.75" hidden="false" customHeight="true" outlineLevel="0" collapsed="false">
      <c r="A15" s="5" t="n">
        <v>1923</v>
      </c>
      <c r="B15" s="0" t="n">
        <v>1.19474485243788</v>
      </c>
      <c r="C15" s="0" t="n">
        <v>2.85651397021076</v>
      </c>
      <c r="D15" s="0" t="n">
        <v>5.38912994894253</v>
      </c>
      <c r="E15" s="0" t="n">
        <v>7.73602656371347</v>
      </c>
      <c r="F15" s="0" t="n">
        <v>3.85534003632782</v>
      </c>
      <c r="G15" s="0" t="n">
        <v>2.46095023989267</v>
      </c>
      <c r="H15" s="0" t="n">
        <v>2.06857452359488</v>
      </c>
      <c r="I15" s="0" t="n">
        <v>0.458189200401527</v>
      </c>
      <c r="J15" s="0" t="n">
        <v>0.492735406617897</v>
      </c>
      <c r="K15" s="0" t="n">
        <v>0.440898698996145</v>
      </c>
      <c r="L15" s="0" t="n">
        <v>0.427905730592234</v>
      </c>
      <c r="M15" s="0" t="n">
        <v>0.326572511771912</v>
      </c>
    </row>
    <row r="16" customFormat="false" ht="12.75" hidden="false" customHeight="true" outlineLevel="0" collapsed="false">
      <c r="A16" s="5" t="n">
        <v>1924</v>
      </c>
      <c r="B16" s="0" t="n">
        <v>0.91303774821094</v>
      </c>
      <c r="C16" s="0" t="n">
        <v>2.34240186810175</v>
      </c>
      <c r="D16" s="0" t="n">
        <v>11.1655347092112</v>
      </c>
      <c r="E16" s="0" t="n">
        <v>23.0990562528373</v>
      </c>
      <c r="F16" s="0" t="n">
        <v>26.4229795775066</v>
      </c>
      <c r="G16" s="0" t="n">
        <v>19.5901350095571</v>
      </c>
      <c r="H16" s="0" t="n">
        <v>2.06541664937085</v>
      </c>
      <c r="I16" s="0" t="n">
        <v>0.891715267805551</v>
      </c>
      <c r="J16" s="0" t="n">
        <v>1.08178141905228</v>
      </c>
      <c r="K16" s="0" t="n">
        <v>1.30481010959157</v>
      </c>
      <c r="L16" s="0" t="n">
        <v>0.863311932964994</v>
      </c>
      <c r="M16" s="0" t="n">
        <v>1.22542188408128</v>
      </c>
    </row>
    <row r="17" customFormat="false" ht="12.75" hidden="false" customHeight="true" outlineLevel="0" collapsed="false">
      <c r="A17" s="5" t="n">
        <v>1925</v>
      </c>
      <c r="B17" s="0" t="n">
        <v>2.41314591594552</v>
      </c>
      <c r="C17" s="0" t="n">
        <v>2.50343048962253</v>
      </c>
      <c r="D17" s="0" t="n">
        <v>6.15060621413927</v>
      </c>
      <c r="E17" s="0" t="n">
        <v>11.5229951321442</v>
      </c>
      <c r="F17" s="0" t="n">
        <v>6.49736737945275</v>
      </c>
      <c r="G17" s="0" t="n">
        <v>1.58800654423481</v>
      </c>
      <c r="H17" s="0" t="n">
        <v>0.897402145546324</v>
      </c>
      <c r="I17" s="0" t="n">
        <v>0.633219888382442</v>
      </c>
      <c r="J17" s="0" t="n">
        <v>1.36469055663751</v>
      </c>
      <c r="K17" s="0" t="n">
        <v>0.610279780199642</v>
      </c>
      <c r="L17" s="0" t="n">
        <v>0.51220215393615</v>
      </c>
      <c r="M17" s="0" t="n">
        <v>0.546355578863602</v>
      </c>
    </row>
    <row r="18" customFormat="false" ht="12.75" hidden="false" customHeight="true" outlineLevel="0" collapsed="false">
      <c r="A18" s="5" t="n">
        <v>1926</v>
      </c>
      <c r="B18" s="0" t="n">
        <v>0.793617248789235</v>
      </c>
      <c r="C18" s="0" t="n">
        <v>2.03707632403239</v>
      </c>
      <c r="D18" s="0" t="n">
        <v>8.60998267359112</v>
      </c>
      <c r="E18" s="0" t="n">
        <v>15.662038002619</v>
      </c>
      <c r="F18" s="0" t="n">
        <v>10.2635109163202</v>
      </c>
      <c r="G18" s="0" t="n">
        <v>2.62552501170087</v>
      </c>
      <c r="H18" s="0" t="n">
        <v>1.04032660383649</v>
      </c>
      <c r="I18" s="0" t="n">
        <v>0.568864068759979</v>
      </c>
      <c r="J18" s="0" t="n">
        <v>0.570986645953701</v>
      </c>
      <c r="K18" s="0" t="n">
        <v>0.562293441064269</v>
      </c>
      <c r="L18" s="0" t="n">
        <v>0.498819472042825</v>
      </c>
      <c r="M18" s="0" t="n">
        <v>0.422391617605491</v>
      </c>
    </row>
    <row r="19" customFormat="false" ht="12.75" hidden="false" customHeight="true" outlineLevel="0" collapsed="false">
      <c r="A19" s="5" t="n">
        <v>1927</v>
      </c>
      <c r="B19" s="0" t="n">
        <v>0.617174265523578</v>
      </c>
      <c r="C19" s="0" t="n">
        <v>1.07611414834537</v>
      </c>
      <c r="D19" s="0" t="n">
        <v>1.92499096164143</v>
      </c>
      <c r="E19" s="0" t="n">
        <v>8.71749432445821</v>
      </c>
      <c r="F19" s="0" t="n">
        <v>5.85592669263346</v>
      </c>
      <c r="G19" s="0" t="n">
        <v>1.89808671515197</v>
      </c>
      <c r="H19" s="0" t="n">
        <v>1.67088814171624</v>
      </c>
      <c r="I19" s="0" t="n">
        <v>0.40954713518088</v>
      </c>
      <c r="J19" s="0" t="n">
        <v>0.492787877690202</v>
      </c>
      <c r="K19" s="0" t="n">
        <v>0.40350972550768</v>
      </c>
      <c r="L19" s="0" t="n">
        <v>0.338960230582297</v>
      </c>
      <c r="M19" s="0" t="n">
        <v>0.311984365886369</v>
      </c>
    </row>
    <row r="20" customFormat="false" ht="12.75" hidden="false" customHeight="true" outlineLevel="0" collapsed="false">
      <c r="A20" s="5" t="n">
        <v>1928</v>
      </c>
      <c r="B20" s="0" t="n">
        <v>0.497361657089047</v>
      </c>
      <c r="C20" s="0" t="n">
        <v>0.358256864208097</v>
      </c>
      <c r="D20" s="0" t="n">
        <v>1.32479992417137</v>
      </c>
      <c r="E20" s="0" t="n">
        <v>2.89881960575249</v>
      </c>
      <c r="F20" s="0" t="n">
        <v>1.52911122136573</v>
      </c>
      <c r="G20" s="0" t="n">
        <v>0.909491512071386</v>
      </c>
      <c r="H20" s="0" t="n">
        <v>0.304116731119295</v>
      </c>
      <c r="I20" s="0" t="n">
        <v>0.190713509198292</v>
      </c>
      <c r="J20" s="0" t="n">
        <v>0.229505771558262</v>
      </c>
      <c r="K20" s="0" t="n">
        <v>0.274650486387682</v>
      </c>
      <c r="L20" s="0" t="n">
        <v>0.162440891676801</v>
      </c>
      <c r="M20" s="0" t="n">
        <v>0.161240981869241</v>
      </c>
    </row>
    <row r="21" customFormat="false" ht="12.75" hidden="false" customHeight="true" outlineLevel="0" collapsed="false">
      <c r="A21" s="5" t="n">
        <v>1929</v>
      </c>
      <c r="B21" s="0" t="n">
        <v>0.221212919342476</v>
      </c>
      <c r="C21" s="0" t="n">
        <v>1.12234547858583</v>
      </c>
      <c r="D21" s="0" t="n">
        <v>3.65923890431176</v>
      </c>
      <c r="E21" s="0" t="n">
        <v>6.12965538955542</v>
      </c>
      <c r="F21" s="0" t="n">
        <v>5.30854196206876</v>
      </c>
      <c r="G21" s="0" t="n">
        <v>1.53775740976132</v>
      </c>
      <c r="H21" s="0" t="n">
        <v>1.63191001147173</v>
      </c>
      <c r="I21" s="0" t="n">
        <v>0.559842883443195</v>
      </c>
      <c r="J21" s="0" t="n">
        <v>0.428821641115275</v>
      </c>
      <c r="K21" s="0" t="n">
        <v>0.461546915721333</v>
      </c>
      <c r="L21" s="0" t="n">
        <v>0.313420693329654</v>
      </c>
      <c r="M21" s="0" t="n">
        <v>0.428000656641784</v>
      </c>
    </row>
    <row r="22" customFormat="false" ht="12.75" hidden="false" customHeight="true" outlineLevel="0" collapsed="false">
      <c r="A22" s="5" t="n">
        <v>1930</v>
      </c>
      <c r="B22" s="0" t="n">
        <v>0.624111002932833</v>
      </c>
      <c r="C22" s="0" t="n">
        <v>0.552313160163554</v>
      </c>
      <c r="D22" s="0" t="n">
        <v>1.12823946495201</v>
      </c>
      <c r="E22" s="0" t="n">
        <v>1.84324501429459</v>
      </c>
      <c r="F22" s="0" t="n">
        <v>0.75184876214817</v>
      </c>
      <c r="G22" s="0" t="n">
        <v>1.35943355827548</v>
      </c>
      <c r="H22" s="0" t="n">
        <v>0.345220945615282</v>
      </c>
      <c r="I22" s="0" t="n">
        <v>0.231127912526904</v>
      </c>
      <c r="J22" s="0" t="n">
        <v>0.170104387772945</v>
      </c>
      <c r="K22" s="0" t="n">
        <v>0.233135631219636</v>
      </c>
      <c r="L22" s="0" t="n">
        <v>0.143895129121287</v>
      </c>
      <c r="M22" s="0" t="n">
        <v>0.18077992824694</v>
      </c>
    </row>
    <row r="23" customFormat="false" ht="12.75" hidden="false" customHeight="true" outlineLevel="0" collapsed="false">
      <c r="A23" s="5" t="n">
        <v>1931</v>
      </c>
      <c r="B23" s="0" t="n">
        <v>0.28207673066179</v>
      </c>
      <c r="C23" s="0" t="n">
        <v>1.05080465567158</v>
      </c>
      <c r="D23" s="0" t="n">
        <v>1.31395015836572</v>
      </c>
      <c r="E23" s="0" t="n">
        <v>2.17859880803136</v>
      </c>
      <c r="F23" s="0" t="n">
        <v>0.841217283792194</v>
      </c>
      <c r="G23" s="0" t="n">
        <v>0.610989978183662</v>
      </c>
      <c r="H23" s="0" t="n">
        <v>0.219715937616862</v>
      </c>
      <c r="I23" s="0" t="n">
        <v>0.175498667466185</v>
      </c>
      <c r="J23" s="0" t="n">
        <v>0.153981704603591</v>
      </c>
      <c r="K23" s="0" t="n">
        <v>0.130274986454546</v>
      </c>
      <c r="L23" s="0" t="n">
        <v>0.113926704248958</v>
      </c>
      <c r="M23" s="0" t="n">
        <v>0.106913478954824</v>
      </c>
    </row>
    <row r="24" customFormat="false" ht="12.75" hidden="false" customHeight="true" outlineLevel="0" collapsed="false">
      <c r="A24" s="5" t="n">
        <v>1932</v>
      </c>
      <c r="B24" s="0" t="n">
        <v>0.186869181064181</v>
      </c>
      <c r="C24" s="0" t="n">
        <v>0.300926753133615</v>
      </c>
      <c r="D24" s="0" t="n">
        <v>0.362477361228157</v>
      </c>
      <c r="E24" s="0" t="n">
        <v>0.328288974557004</v>
      </c>
      <c r="F24" s="0" t="n">
        <v>0.20140244545699</v>
      </c>
      <c r="G24" s="0" t="n">
        <v>0.295571976940104</v>
      </c>
      <c r="H24" s="0" t="n">
        <v>0.141355441040119</v>
      </c>
      <c r="I24" s="0" t="n">
        <v>0.0656575292259625</v>
      </c>
      <c r="J24" s="0" t="n">
        <v>0.112928199144878</v>
      </c>
      <c r="K24" s="0" t="n">
        <v>0.0526374101747953</v>
      </c>
      <c r="L24" s="0" t="n">
        <v>0.0430874763255111</v>
      </c>
      <c r="M24" s="0" t="n">
        <v>0.0414559068452025</v>
      </c>
    </row>
    <row r="25" customFormat="false" ht="12.75" hidden="false" customHeight="true" outlineLevel="0" collapsed="false">
      <c r="A25" s="5" t="n">
        <v>1933</v>
      </c>
      <c r="B25" s="0" t="n">
        <v>0.106791429153587</v>
      </c>
      <c r="C25" s="0" t="n">
        <v>0.175685467339629</v>
      </c>
      <c r="D25" s="0" t="n">
        <v>0.546430653450198</v>
      </c>
      <c r="E25" s="0" t="n">
        <v>2.91309415690442</v>
      </c>
      <c r="F25" s="0" t="n">
        <v>1.17203202458595</v>
      </c>
      <c r="G25" s="0" t="n">
        <v>0.2463264646258</v>
      </c>
      <c r="H25" s="0" t="n">
        <v>0.253822985577796</v>
      </c>
      <c r="I25" s="0" t="n">
        <v>0.108969348863871</v>
      </c>
      <c r="J25" s="0" t="n">
        <v>0.108066886238394</v>
      </c>
      <c r="K25" s="0" t="n">
        <v>0.111759999993078</v>
      </c>
      <c r="L25" s="0" t="n">
        <v>0.0996416369872829</v>
      </c>
      <c r="M25" s="0" t="n">
        <v>0.122665987815809</v>
      </c>
    </row>
    <row r="26" customFormat="false" ht="12.75" hidden="false" customHeight="true" outlineLevel="0" collapsed="false">
      <c r="A26" s="5" t="n">
        <v>1934</v>
      </c>
      <c r="B26" s="0" t="n">
        <v>0.189243436253509</v>
      </c>
      <c r="C26" s="0" t="n">
        <v>0.843701993974906</v>
      </c>
      <c r="D26" s="0" t="n">
        <v>3.95635367819246</v>
      </c>
      <c r="E26" s="0" t="n">
        <v>5.18461162423606</v>
      </c>
      <c r="F26" s="0" t="n">
        <v>9.80777050200648</v>
      </c>
      <c r="G26" s="0" t="n">
        <v>2.19850046110374</v>
      </c>
      <c r="H26" s="0" t="n">
        <v>0.272637528724477</v>
      </c>
      <c r="I26" s="0" t="n">
        <v>0.337801436426969</v>
      </c>
      <c r="J26" s="0" t="n">
        <v>0.426218363839705</v>
      </c>
      <c r="K26" s="0" t="n">
        <v>0.314954430858482</v>
      </c>
      <c r="L26" s="0" t="n">
        <v>0.384857195112659</v>
      </c>
      <c r="M26" s="0" t="n">
        <v>0.691830943393972</v>
      </c>
    </row>
    <row r="27" customFormat="false" ht="12.75" hidden="false" customHeight="true" outlineLevel="0" collapsed="false">
      <c r="A27" s="5" t="n">
        <v>1935</v>
      </c>
      <c r="B27" s="0" t="n">
        <v>0.661239723790302</v>
      </c>
      <c r="C27" s="0" t="n">
        <v>1.94271613910429</v>
      </c>
      <c r="D27" s="0" t="n">
        <v>4.37277082171156</v>
      </c>
      <c r="E27" s="0" t="n">
        <v>9.88071552826103</v>
      </c>
      <c r="F27" s="0" t="n">
        <v>9.7128567251067</v>
      </c>
      <c r="G27" s="0" t="n">
        <v>8.29271835933199</v>
      </c>
      <c r="H27" s="0" t="n">
        <v>3.00980119646305</v>
      </c>
      <c r="I27" s="0" t="n">
        <v>1.00824399119844</v>
      </c>
      <c r="J27" s="0" t="n">
        <v>0.59229807166225</v>
      </c>
      <c r="K27" s="0" t="n">
        <v>0.607519658330499</v>
      </c>
      <c r="L27" s="0" t="n">
        <v>0.472091881736195</v>
      </c>
      <c r="M27" s="0" t="n">
        <v>0.50109408740707</v>
      </c>
    </row>
    <row r="28" customFormat="false" ht="12.75" hidden="false" customHeight="true" outlineLevel="0" collapsed="false">
      <c r="A28" s="5" t="n">
        <v>1936</v>
      </c>
      <c r="B28" s="0" t="n">
        <v>0.509455849841908</v>
      </c>
      <c r="C28" s="0" t="n">
        <v>1.44286962699517</v>
      </c>
      <c r="D28" s="0" t="n">
        <v>1.34758554455947</v>
      </c>
      <c r="E28" s="0" t="n">
        <v>1.24415145250322</v>
      </c>
      <c r="F28" s="0" t="n">
        <v>3.05748745473497</v>
      </c>
      <c r="G28" s="0" t="n">
        <v>4.24761057428923</v>
      </c>
      <c r="H28" s="0" t="n">
        <v>0.760551857700133</v>
      </c>
      <c r="I28" s="0" t="n">
        <v>0.29418943470869</v>
      </c>
      <c r="J28" s="0" t="n">
        <v>0.312010072502144</v>
      </c>
      <c r="K28" s="0" t="n">
        <v>0.278891717809323</v>
      </c>
      <c r="L28" s="0" t="n">
        <v>0.235818325399011</v>
      </c>
      <c r="M28" s="0" t="n">
        <v>0.212465588002907</v>
      </c>
    </row>
    <row r="29" customFormat="false" ht="12.75" hidden="false" customHeight="true" outlineLevel="0" collapsed="false">
      <c r="A29" s="5" t="n">
        <v>1937</v>
      </c>
      <c r="B29" s="0" t="n">
        <v>0.177535409766986</v>
      </c>
      <c r="C29" s="0" t="n">
        <v>0.707422442588006</v>
      </c>
      <c r="D29" s="0" t="n">
        <v>0.933869348935334</v>
      </c>
      <c r="E29" s="0" t="n">
        <v>2.94127102864998</v>
      </c>
      <c r="F29" s="0" t="n">
        <v>4.91397563408239</v>
      </c>
      <c r="G29" s="0" t="n">
        <v>3.93156612588193</v>
      </c>
      <c r="H29" s="0" t="n">
        <v>1.57208449357011</v>
      </c>
      <c r="I29" s="0" t="n">
        <v>0.613776807251191</v>
      </c>
      <c r="J29" s="0" t="n">
        <v>0.54532136443355</v>
      </c>
      <c r="K29" s="0" t="n">
        <v>0.465152442914253</v>
      </c>
      <c r="L29" s="0" t="n">
        <v>0.352535950687198</v>
      </c>
      <c r="M29" s="0" t="n">
        <v>0.285809758137795</v>
      </c>
    </row>
    <row r="30" customFormat="false" ht="12.75" hidden="false" customHeight="true" outlineLevel="0" collapsed="false">
      <c r="A30" s="5" t="n">
        <v>1938</v>
      </c>
      <c r="B30" s="0" t="n">
        <v>0.605373999362797</v>
      </c>
      <c r="C30" s="0" t="n">
        <v>0.49309638088251</v>
      </c>
      <c r="D30" s="0" t="n">
        <v>3.92282699824609</v>
      </c>
      <c r="E30" s="0" t="n">
        <v>9.69794646932938</v>
      </c>
      <c r="F30" s="0" t="n">
        <v>8.03547493377952</v>
      </c>
      <c r="G30" s="0" t="n">
        <v>2.19535215847888</v>
      </c>
      <c r="H30" s="0" t="n">
        <v>0.74489687398969</v>
      </c>
      <c r="I30" s="0" t="n">
        <v>0.944969370212604</v>
      </c>
      <c r="J30" s="0" t="n">
        <v>0.48913905290353</v>
      </c>
      <c r="K30" s="0" t="n">
        <v>0.497065997134983</v>
      </c>
      <c r="L30" s="0" t="n">
        <v>0.424876949001094</v>
      </c>
      <c r="M30" s="0" t="n">
        <v>0.436046989003434</v>
      </c>
    </row>
    <row r="31" customFormat="false" ht="12.75" hidden="false" customHeight="true" outlineLevel="0" collapsed="false">
      <c r="A31" s="5" t="n">
        <v>1939</v>
      </c>
      <c r="B31" s="0" t="n">
        <v>0.584643332140945</v>
      </c>
      <c r="C31" s="0" t="n">
        <v>3.72264810855158</v>
      </c>
      <c r="D31" s="0" t="n">
        <v>7.62190315097837</v>
      </c>
      <c r="E31" s="0" t="n">
        <v>5.4778777773345</v>
      </c>
      <c r="F31" s="0" t="n">
        <v>3.63084536052257</v>
      </c>
      <c r="G31" s="0" t="n">
        <v>2.1500956988171</v>
      </c>
      <c r="H31" s="0" t="n">
        <v>2.01229142707939</v>
      </c>
      <c r="I31" s="0" t="n">
        <v>1.45665006129653</v>
      </c>
      <c r="J31" s="0" t="n">
        <v>0.971200974384374</v>
      </c>
      <c r="K31" s="0" t="n">
        <v>1.65963042296046</v>
      </c>
      <c r="L31" s="0" t="n">
        <v>0.754309766495894</v>
      </c>
      <c r="M31" s="0" t="n">
        <v>0.509419104702824</v>
      </c>
    </row>
    <row r="32" customFormat="false" ht="12.75" hidden="false" customHeight="true" outlineLevel="0" collapsed="false">
      <c r="A32" s="5" t="n">
        <v>1940</v>
      </c>
      <c r="B32" s="0" t="n">
        <v>1.66865556430572</v>
      </c>
      <c r="C32" s="0" t="n">
        <v>1.7431806291335</v>
      </c>
      <c r="D32" s="0" t="n">
        <v>6.37199330839303</v>
      </c>
      <c r="E32" s="0" t="n">
        <v>23.025578997351</v>
      </c>
      <c r="F32" s="0" t="n">
        <v>30.7372047157561</v>
      </c>
      <c r="G32" s="0" t="n">
        <v>18.9229943305973</v>
      </c>
      <c r="H32" s="0" t="n">
        <v>10.1096437295073</v>
      </c>
      <c r="I32" s="0" t="n">
        <v>2.73979841718084</v>
      </c>
      <c r="J32" s="0" t="n">
        <v>1.5446213450823</v>
      </c>
      <c r="K32" s="0" t="n">
        <v>1.3925509102503</v>
      </c>
      <c r="L32" s="0" t="n">
        <v>0.826187103404423</v>
      </c>
      <c r="M32" s="0" t="n">
        <v>1.04627578680835</v>
      </c>
    </row>
    <row r="33" customFormat="false" ht="12.75" hidden="false" customHeight="true" outlineLevel="0" collapsed="false">
      <c r="A33" s="5" t="n">
        <v>1941</v>
      </c>
      <c r="B33" s="0" t="n">
        <v>0.994565200348085</v>
      </c>
      <c r="C33" s="0" t="n">
        <v>1.60227348270195</v>
      </c>
      <c r="D33" s="0" t="n">
        <v>4.08603317644035</v>
      </c>
      <c r="E33" s="0" t="n">
        <v>9.33071323030874</v>
      </c>
      <c r="F33" s="0" t="n">
        <v>4.39737040096767</v>
      </c>
      <c r="G33" s="0" t="n">
        <v>1.62767560188221</v>
      </c>
      <c r="H33" s="0" t="n">
        <v>0.999020266260253</v>
      </c>
      <c r="I33" s="0" t="n">
        <v>0.630598584861203</v>
      </c>
      <c r="J33" s="0" t="n">
        <v>0.502751536850483</v>
      </c>
      <c r="K33" s="0" t="n">
        <v>0.495239844375311</v>
      </c>
      <c r="L33" s="0" t="n">
        <v>0.460000498681655</v>
      </c>
      <c r="M33" s="0" t="n">
        <v>0.459782162914491</v>
      </c>
    </row>
    <row r="34" customFormat="false" ht="12.75" hidden="false" customHeight="true" outlineLevel="0" collapsed="false">
      <c r="A34" s="5" t="n">
        <v>1942</v>
      </c>
      <c r="B34" s="0" t="n">
        <v>0.370180993458089</v>
      </c>
      <c r="C34" s="0" t="n">
        <v>0.764532630571094</v>
      </c>
      <c r="D34" s="0" t="n">
        <v>1.91891985305528</v>
      </c>
      <c r="E34" s="0" t="n">
        <v>3.06750121607568</v>
      </c>
      <c r="F34" s="0" t="n">
        <v>3.49255239668386</v>
      </c>
      <c r="G34" s="0" t="n">
        <v>0.927432170141049</v>
      </c>
      <c r="H34" s="0" t="n">
        <v>0.406614762145024</v>
      </c>
      <c r="I34" s="0" t="n">
        <v>0.340855117136262</v>
      </c>
      <c r="J34" s="0" t="n">
        <v>0.244430532276713</v>
      </c>
      <c r="K34" s="0" t="n">
        <v>0.328268605452454</v>
      </c>
      <c r="L34" s="0" t="n">
        <v>0.210104644411484</v>
      </c>
      <c r="M34" s="0" t="n">
        <v>0.243725640172371</v>
      </c>
    </row>
    <row r="35" customFormat="false" ht="12.75" hidden="false" customHeight="true" outlineLevel="0" collapsed="false">
      <c r="A35" s="5" t="n">
        <v>1943</v>
      </c>
      <c r="B35" s="0" t="n">
        <v>0.505288748779559</v>
      </c>
      <c r="C35" s="0" t="n">
        <v>0.676287741077613</v>
      </c>
      <c r="D35" s="0" t="n">
        <v>1.46941493660953</v>
      </c>
      <c r="E35" s="0" t="n">
        <v>3.21040345198382</v>
      </c>
      <c r="F35" s="0" t="n">
        <v>1.5043212328028</v>
      </c>
      <c r="G35" s="0" t="n">
        <v>0.661070657399511</v>
      </c>
      <c r="H35" s="0" t="n">
        <v>1.05253679138567</v>
      </c>
      <c r="I35" s="0" t="n">
        <v>0.33135620044252</v>
      </c>
      <c r="J35" s="0" t="n">
        <v>0.185783766242636</v>
      </c>
      <c r="K35" s="0" t="n">
        <v>0.180133521306412</v>
      </c>
      <c r="L35" s="0" t="n">
        <v>0.25964960063647</v>
      </c>
      <c r="M35" s="0" t="n">
        <v>0.381730840219713</v>
      </c>
    </row>
    <row r="36" customFormat="false" ht="12.75" hidden="false" customHeight="true" outlineLevel="0" collapsed="false">
      <c r="A36" s="5" t="n">
        <v>1944</v>
      </c>
      <c r="B36" s="0" t="n">
        <v>0.548810003218322</v>
      </c>
      <c r="C36" s="0" t="n">
        <v>0.263759429807719</v>
      </c>
      <c r="D36" s="0" t="n">
        <v>1.23769317235157</v>
      </c>
      <c r="E36" s="0" t="n">
        <v>2.38752394773233</v>
      </c>
      <c r="F36" s="0" t="n">
        <v>5.79872254775748</v>
      </c>
      <c r="G36" s="0" t="n">
        <v>1.28069327375584</v>
      </c>
      <c r="H36" s="0" t="n">
        <v>1.22726976659835</v>
      </c>
      <c r="I36" s="0" t="n">
        <v>0.233640050598232</v>
      </c>
      <c r="J36" s="0" t="n">
        <v>0.271306540767543</v>
      </c>
      <c r="K36" s="0" t="n">
        <v>0.303077971523938</v>
      </c>
      <c r="L36" s="0" t="n">
        <v>0.211222129046546</v>
      </c>
      <c r="M36" s="0" t="n">
        <v>0.455617137087069</v>
      </c>
    </row>
    <row r="37" customFormat="false" ht="12.75" hidden="false" customHeight="true" outlineLevel="0" collapsed="false">
      <c r="A37" s="5" t="n">
        <v>1945</v>
      </c>
      <c r="B37" s="0" t="n">
        <v>0.58442513058738</v>
      </c>
      <c r="C37" s="0" t="n">
        <v>3.60850549602838</v>
      </c>
      <c r="D37" s="0" t="n">
        <v>5.58317532331855</v>
      </c>
      <c r="E37" s="0" t="n">
        <v>12.5978604733693</v>
      </c>
      <c r="F37" s="0" t="n">
        <v>14.8906315445882</v>
      </c>
      <c r="G37" s="0" t="n">
        <v>13.463855623505</v>
      </c>
      <c r="H37" s="0" t="n">
        <v>4.37298735132604</v>
      </c>
      <c r="I37" s="0" t="n">
        <v>1.77397363290403</v>
      </c>
      <c r="J37" s="0" t="n">
        <v>0.931049576002847</v>
      </c>
      <c r="K37" s="0" t="n">
        <v>1.15905083864598</v>
      </c>
      <c r="L37" s="0" t="n">
        <v>1.02763156295939</v>
      </c>
      <c r="M37" s="0" t="n">
        <v>1.02947293991617</v>
      </c>
    </row>
    <row r="38" customFormat="false" ht="12.75" hidden="false" customHeight="true" outlineLevel="0" collapsed="false">
      <c r="A38" s="5" t="n">
        <v>1946</v>
      </c>
      <c r="B38" s="0" t="n">
        <v>6.31546879243908</v>
      </c>
      <c r="C38" s="0" t="n">
        <v>5.99173645504149</v>
      </c>
      <c r="D38" s="0" t="n">
        <v>9.35760872828396</v>
      </c>
      <c r="E38" s="0" t="n">
        <v>15.0957265668141</v>
      </c>
      <c r="F38" s="0" t="n">
        <v>3.96979938076741</v>
      </c>
      <c r="G38" s="0" t="n">
        <v>2.93905090479063</v>
      </c>
      <c r="H38" s="0" t="n">
        <v>0.76800202173016</v>
      </c>
      <c r="I38" s="0" t="n">
        <v>0.71369979829901</v>
      </c>
      <c r="J38" s="0" t="n">
        <v>0.655866179084345</v>
      </c>
      <c r="K38" s="0" t="n">
        <v>0.593710445494837</v>
      </c>
      <c r="L38" s="0" t="n">
        <v>0.517812245562216</v>
      </c>
      <c r="M38" s="0" t="n">
        <v>0.661681208016053</v>
      </c>
    </row>
    <row r="39" customFormat="false" ht="12.75" hidden="false" customHeight="true" outlineLevel="0" collapsed="false">
      <c r="A39" s="5" t="n">
        <v>1947</v>
      </c>
      <c r="B39" s="0" t="n">
        <v>0.55375751122291</v>
      </c>
      <c r="C39" s="0" t="n">
        <v>1.12448400341489</v>
      </c>
      <c r="D39" s="0" t="n">
        <v>2.30067672032622</v>
      </c>
      <c r="E39" s="0" t="n">
        <v>3.78990569646525</v>
      </c>
      <c r="F39" s="0" t="n">
        <v>4.08008406978425</v>
      </c>
      <c r="G39" s="0" t="n">
        <v>1.67202711395697</v>
      </c>
      <c r="H39" s="0" t="n">
        <v>0.743136714337527</v>
      </c>
      <c r="I39" s="0" t="n">
        <v>0.361159506570203</v>
      </c>
      <c r="J39" s="0" t="n">
        <v>0.425223336079929</v>
      </c>
      <c r="K39" s="0" t="n">
        <v>0.328678379383144</v>
      </c>
      <c r="L39" s="0" t="n">
        <v>0.752562643911937</v>
      </c>
      <c r="M39" s="0" t="n">
        <v>0.473813009934677</v>
      </c>
    </row>
    <row r="40" customFormat="false" ht="12.75" hidden="false" customHeight="true" outlineLevel="0" collapsed="false">
      <c r="A40" s="5" t="n">
        <v>1948</v>
      </c>
      <c r="B40" s="0" t="n">
        <v>0.776939831568733</v>
      </c>
      <c r="C40" s="0" t="n">
        <v>0.79025786184284</v>
      </c>
      <c r="D40" s="0" t="n">
        <v>3.74537800782733</v>
      </c>
      <c r="E40" s="0" t="n">
        <v>4.48617520040958</v>
      </c>
      <c r="F40" s="0" t="n">
        <v>6.11369956509378</v>
      </c>
      <c r="G40" s="0" t="n">
        <v>4.10000947249087</v>
      </c>
      <c r="H40" s="0" t="n">
        <v>2.60844700177624</v>
      </c>
      <c r="I40" s="0" t="n">
        <v>0.536037003571066</v>
      </c>
      <c r="J40" s="0" t="n">
        <v>0.458693686331552</v>
      </c>
      <c r="K40" s="0" t="n">
        <v>0.445701438655657</v>
      </c>
      <c r="L40" s="0" t="n">
        <v>0.38149157421844</v>
      </c>
      <c r="M40" s="0" t="n">
        <v>0.360498782988383</v>
      </c>
    </row>
    <row r="41" customFormat="false" ht="12.75" hidden="false" customHeight="true" outlineLevel="0" collapsed="false">
      <c r="A41" s="5" t="n">
        <v>1949</v>
      </c>
      <c r="B41" s="0" t="n">
        <v>0.339961359840613</v>
      </c>
      <c r="C41" s="0" t="n">
        <v>0.970286130849373</v>
      </c>
      <c r="D41" s="0" t="n">
        <v>4.03440948078796</v>
      </c>
      <c r="E41" s="0" t="n">
        <v>9.6459070934071</v>
      </c>
      <c r="F41" s="0" t="n">
        <v>15.5746547318039</v>
      </c>
      <c r="G41" s="0" t="n">
        <v>4.36449261514599</v>
      </c>
      <c r="H41" s="0" t="n">
        <v>1.46881109676014</v>
      </c>
      <c r="I41" s="0" t="n">
        <v>1.37395697497437</v>
      </c>
      <c r="J41" s="0" t="n">
        <v>0.562439496960599</v>
      </c>
      <c r="K41" s="0" t="n">
        <v>0.53065581686731</v>
      </c>
      <c r="L41" s="0" t="n">
        <v>1.02331000268066</v>
      </c>
      <c r="M41" s="0" t="n">
        <v>0.474481713971262</v>
      </c>
    </row>
    <row r="42" customFormat="false" ht="12.75" hidden="false" customHeight="true" outlineLevel="0" collapsed="false">
      <c r="A42" s="5" t="n">
        <v>1950</v>
      </c>
      <c r="B42" s="0" t="n">
        <v>0.809891547268014</v>
      </c>
      <c r="C42" s="0" t="n">
        <v>1.91042245316152</v>
      </c>
      <c r="D42" s="0" t="n">
        <v>8.49833977518419</v>
      </c>
      <c r="E42" s="0" t="n">
        <v>33.8447907107174</v>
      </c>
      <c r="F42" s="0" t="n">
        <v>21.1890217733639</v>
      </c>
      <c r="G42" s="0" t="n">
        <v>1.64969295479056</v>
      </c>
      <c r="H42" s="0" t="n">
        <v>1.41421089179755</v>
      </c>
      <c r="I42" s="0" t="n">
        <v>0.798161211358363</v>
      </c>
      <c r="J42" s="0" t="n">
        <v>0.814485970246279</v>
      </c>
      <c r="K42" s="0" t="n">
        <v>0.949580148705934</v>
      </c>
      <c r="L42" s="0" t="n">
        <v>0.773864072273937</v>
      </c>
      <c r="M42" s="0" t="n">
        <v>0.711378596381425</v>
      </c>
    </row>
    <row r="43" customFormat="false" ht="12.75" hidden="false" customHeight="true" outlineLevel="0" collapsed="false">
      <c r="A43" s="5" t="n">
        <v>1951</v>
      </c>
      <c r="B43" s="0" t="n">
        <v>0.785775862645156</v>
      </c>
      <c r="C43" s="0" t="n">
        <v>0.658247480979296</v>
      </c>
      <c r="D43" s="0" t="n">
        <v>0.724611586261601</v>
      </c>
      <c r="E43" s="0" t="n">
        <v>2.25739058515383</v>
      </c>
      <c r="F43" s="0" t="n">
        <v>2.11384589967778</v>
      </c>
      <c r="G43" s="0" t="n">
        <v>6.79894048177251</v>
      </c>
      <c r="H43" s="0" t="n">
        <v>0.616843225752734</v>
      </c>
      <c r="I43" s="0" t="n">
        <v>0.303849497404421</v>
      </c>
      <c r="J43" s="0" t="n">
        <v>0.309395949036012</v>
      </c>
      <c r="K43" s="0" t="n">
        <v>0.465286847495926</v>
      </c>
      <c r="L43" s="0" t="n">
        <v>0.371973679462052</v>
      </c>
      <c r="M43" s="0" t="n">
        <v>0.673145894688659</v>
      </c>
    </row>
    <row r="44" customFormat="false" ht="12.75" hidden="false" customHeight="true" outlineLevel="0" collapsed="false">
      <c r="A44" s="5" t="n">
        <v>1952</v>
      </c>
      <c r="B44" s="0" t="n">
        <v>0.792285404665946</v>
      </c>
      <c r="C44" s="0" t="n">
        <v>0.830361506260107</v>
      </c>
      <c r="D44" s="0" t="n">
        <v>2.52586196989584</v>
      </c>
      <c r="E44" s="0" t="n">
        <v>5.22136786201362</v>
      </c>
      <c r="F44" s="0" t="n">
        <v>4.29582998499721</v>
      </c>
      <c r="G44" s="0" t="n">
        <v>1.08435283187074</v>
      </c>
      <c r="H44" s="0" t="n">
        <v>0.302952591742428</v>
      </c>
      <c r="I44" s="0" t="n">
        <v>0.362488340041744</v>
      </c>
      <c r="J44" s="0" t="n">
        <v>0.319132010969336</v>
      </c>
      <c r="K44" s="0" t="n">
        <v>0.276148062523566</v>
      </c>
      <c r="L44" s="0" t="n">
        <v>0.25453986358273</v>
      </c>
      <c r="M44" s="0" t="n">
        <v>0.316290185453057</v>
      </c>
    </row>
    <row r="45" customFormat="false" ht="12.75" hidden="false" customHeight="true" outlineLevel="0" collapsed="false">
      <c r="A45" s="5" t="n">
        <v>1953</v>
      </c>
      <c r="B45" s="0" t="n">
        <v>0.24379924953026</v>
      </c>
      <c r="C45" s="0" t="n">
        <v>0.273615020234998</v>
      </c>
      <c r="D45" s="0" t="n">
        <v>0.728464187056838</v>
      </c>
      <c r="E45" s="0" t="n">
        <v>2.07441081058728</v>
      </c>
      <c r="F45" s="0" t="n">
        <v>2.19413094166173</v>
      </c>
      <c r="G45" s="0" t="n">
        <v>2.32424154487542</v>
      </c>
      <c r="H45" s="0" t="n">
        <v>0.792792319847931</v>
      </c>
      <c r="I45" s="0" t="n">
        <v>0.280360881410306</v>
      </c>
      <c r="J45" s="0" t="n">
        <v>0.222986786178832</v>
      </c>
      <c r="K45" s="0" t="n">
        <v>0.177771367374994</v>
      </c>
      <c r="L45" s="0" t="n">
        <v>0.168224551004444</v>
      </c>
      <c r="M45" s="0" t="n">
        <v>0.1443838309195</v>
      </c>
    </row>
    <row r="46" customFormat="false" ht="12.75" hidden="false" customHeight="true" outlineLevel="0" collapsed="false">
      <c r="A46" s="5" t="n">
        <v>1954</v>
      </c>
      <c r="B46" s="0" t="n">
        <v>0.205146231099236</v>
      </c>
      <c r="C46" s="0" t="n">
        <v>0.418209284591742</v>
      </c>
      <c r="D46" s="0" t="n">
        <v>0.970078401779724</v>
      </c>
      <c r="E46" s="0" t="n">
        <v>0.844533808406076</v>
      </c>
      <c r="F46" s="0" t="n">
        <v>2.80634470991172</v>
      </c>
      <c r="G46" s="0" t="n">
        <v>0.698123341904077</v>
      </c>
      <c r="H46" s="0" t="n">
        <v>0.363427896131195</v>
      </c>
      <c r="I46" s="0" t="n">
        <v>0.18139831214055</v>
      </c>
      <c r="J46" s="0" t="n">
        <v>0.136867751409983</v>
      </c>
      <c r="K46" s="0" t="n">
        <v>0.128955762328568</v>
      </c>
      <c r="L46" s="0" t="n">
        <v>0.123079971142981</v>
      </c>
      <c r="M46" s="0" t="n">
        <v>0.11216369451464</v>
      </c>
    </row>
    <row r="47" customFormat="false" ht="12.75" hidden="false" customHeight="true" outlineLevel="0" collapsed="false">
      <c r="A47" s="5" t="n">
        <v>1955</v>
      </c>
      <c r="B47" s="0" t="n">
        <v>0.230485069197609</v>
      </c>
      <c r="C47" s="0" t="n">
        <v>0.329473808801532</v>
      </c>
      <c r="D47" s="0" t="n">
        <v>1.05181880209697</v>
      </c>
      <c r="E47" s="0" t="n">
        <v>3.84092174055024</v>
      </c>
      <c r="F47" s="0" t="n">
        <v>5.66032958471865</v>
      </c>
      <c r="G47" s="0" t="n">
        <v>1.35564423634048</v>
      </c>
      <c r="H47" s="0" t="n">
        <v>0.374657628975496</v>
      </c>
      <c r="I47" s="0" t="n">
        <v>0.391478276203083</v>
      </c>
      <c r="J47" s="0" t="n">
        <v>0.227201618432112</v>
      </c>
      <c r="K47" s="0" t="n">
        <v>0.459707209082535</v>
      </c>
      <c r="L47" s="0" t="n">
        <v>0.242662306957231</v>
      </c>
      <c r="M47" s="0" t="n">
        <v>0.483305394228016</v>
      </c>
    </row>
    <row r="48" customFormat="false" ht="12.75" hidden="false" customHeight="true" outlineLevel="0" collapsed="false">
      <c r="A48" s="5" t="n">
        <v>1956</v>
      </c>
      <c r="B48" s="0" t="n">
        <v>0.239181969634307</v>
      </c>
      <c r="C48" s="0" t="n">
        <v>1.44194127147548</v>
      </c>
      <c r="D48" s="0" t="n">
        <v>3.5479385947256</v>
      </c>
      <c r="E48" s="0" t="n">
        <v>8.90799073077034</v>
      </c>
      <c r="F48" s="0" t="n">
        <v>2.3995356346174</v>
      </c>
      <c r="G48" s="0" t="n">
        <v>1.62027683113984</v>
      </c>
      <c r="H48" s="0" t="n">
        <v>1.2804979161829</v>
      </c>
      <c r="I48" s="0" t="n">
        <v>1.47331200862414</v>
      </c>
      <c r="J48" s="0" t="n">
        <v>0.444775498374542</v>
      </c>
      <c r="K48" s="0" t="n">
        <v>0.352400450993626</v>
      </c>
      <c r="L48" s="0" t="n">
        <v>0.29807262094353</v>
      </c>
      <c r="M48" s="0" t="n">
        <v>0.427662291675351</v>
      </c>
    </row>
    <row r="49" customFormat="false" ht="12.75" hidden="false" customHeight="true" outlineLevel="0" collapsed="false">
      <c r="A49" s="5" t="n">
        <v>1957</v>
      </c>
      <c r="B49" s="0" t="n">
        <v>0.746766741621311</v>
      </c>
      <c r="C49" s="0" t="n">
        <v>0.313759060575598</v>
      </c>
      <c r="D49" s="0" t="n">
        <v>3.30269410162426</v>
      </c>
      <c r="E49" s="0" t="n">
        <v>9.64295224724987</v>
      </c>
      <c r="F49" s="0" t="n">
        <v>3.1856591707462</v>
      </c>
      <c r="G49" s="0" t="n">
        <v>1.51997930275499</v>
      </c>
      <c r="H49" s="0" t="n">
        <v>0.614953229710596</v>
      </c>
      <c r="I49" s="0" t="n">
        <v>0.343107500135536</v>
      </c>
      <c r="J49" s="0" t="n">
        <v>0.430811760090691</v>
      </c>
      <c r="K49" s="0" t="n">
        <v>0.330805921505853</v>
      </c>
      <c r="L49" s="0" t="n">
        <v>0.290761916857329</v>
      </c>
      <c r="M49" s="0" t="n">
        <v>0.331284418892413</v>
      </c>
    </row>
    <row r="50" customFormat="false" ht="12.75" hidden="false" customHeight="true" outlineLevel="0" collapsed="false">
      <c r="A50" s="5" t="n">
        <v>1958</v>
      </c>
      <c r="B50" s="0" t="n">
        <v>0.279968227837049</v>
      </c>
      <c r="C50" s="0" t="n">
        <v>0.293213946176855</v>
      </c>
      <c r="D50" s="0" t="n">
        <v>0.421896474109707</v>
      </c>
      <c r="E50" s="0" t="n">
        <v>0.363020595333406</v>
      </c>
      <c r="F50" s="0" t="n">
        <v>1.41724498380316</v>
      </c>
      <c r="G50" s="0" t="n">
        <v>0.415888987831535</v>
      </c>
      <c r="H50" s="0" t="n">
        <v>0.632570385518534</v>
      </c>
      <c r="I50" s="0" t="n">
        <v>0.12235984393475</v>
      </c>
      <c r="J50" s="0" t="n">
        <v>0.111901034149701</v>
      </c>
      <c r="K50" s="0" t="n">
        <v>0.0994107562450143</v>
      </c>
      <c r="L50" s="0" t="n">
        <v>0.0983318012180607</v>
      </c>
      <c r="M50" s="0" t="n">
        <v>0.117459534051511</v>
      </c>
    </row>
    <row r="51" customFormat="false" ht="12.75" hidden="false" customHeight="true" outlineLevel="0" collapsed="false">
      <c r="A51" s="5" t="n">
        <v>1959</v>
      </c>
      <c r="B51" s="0" t="n">
        <v>0.376876933211846</v>
      </c>
      <c r="C51" s="0" t="n">
        <v>1.03039985297705</v>
      </c>
      <c r="D51" s="0" t="n">
        <v>3.44010587942358</v>
      </c>
      <c r="E51" s="0" t="n">
        <v>3.90158553989812</v>
      </c>
      <c r="F51" s="0" t="n">
        <v>5.17400938930612</v>
      </c>
      <c r="G51" s="0" t="n">
        <v>3.36507921961508</v>
      </c>
      <c r="H51" s="0" t="n">
        <v>1.20171720447764</v>
      </c>
      <c r="I51" s="0" t="n">
        <v>0.464445253267509</v>
      </c>
      <c r="J51" s="0" t="n">
        <v>0.279251427058628</v>
      </c>
      <c r="K51" s="0" t="n">
        <v>0.274317117925247</v>
      </c>
      <c r="L51" s="0" t="n">
        <v>0.280837079643637</v>
      </c>
      <c r="M51" s="0" t="n">
        <v>0.242425474190242</v>
      </c>
    </row>
    <row r="52" customFormat="false" ht="12.75" hidden="false" customHeight="true" outlineLevel="0" collapsed="false">
      <c r="A52" s="5" t="n">
        <v>1960</v>
      </c>
      <c r="B52" s="0" t="n">
        <v>0.268983074499965</v>
      </c>
      <c r="C52" s="0" t="n">
        <v>0.247439219612019</v>
      </c>
      <c r="D52" s="0" t="n">
        <v>2.30399743402898</v>
      </c>
      <c r="E52" s="0" t="n">
        <v>5.19237068243154</v>
      </c>
      <c r="F52" s="0" t="n">
        <v>1.76705219425228</v>
      </c>
      <c r="G52" s="0" t="n">
        <v>1.68419934922053</v>
      </c>
      <c r="H52" s="0" t="n">
        <v>1.079678607753</v>
      </c>
      <c r="I52" s="0" t="n">
        <v>0.398803505373423</v>
      </c>
      <c r="J52" s="0" t="n">
        <v>0.237485115605637</v>
      </c>
      <c r="K52" s="0" t="n">
        <v>0.237141808101274</v>
      </c>
      <c r="L52" s="0" t="n">
        <v>0.209896646358255</v>
      </c>
      <c r="M52" s="0" t="n">
        <v>0.259127971184298</v>
      </c>
    </row>
    <row r="53" customFormat="false" ht="12.75" hidden="false" customHeight="true" outlineLevel="0" collapsed="false">
      <c r="A53" s="5" t="n">
        <v>1961</v>
      </c>
      <c r="B53" s="0" t="n">
        <v>0.531826595624053</v>
      </c>
      <c r="C53" s="0" t="n">
        <v>2.6647615869383</v>
      </c>
      <c r="D53" s="0" t="n">
        <v>6.90102296054526</v>
      </c>
      <c r="E53" s="0" t="n">
        <v>10.7868920688154</v>
      </c>
      <c r="F53" s="0" t="n">
        <v>9.51826316394689</v>
      </c>
      <c r="G53" s="0" t="n">
        <v>6.01807418094086</v>
      </c>
      <c r="H53" s="0" t="n">
        <v>2.62687491256094</v>
      </c>
      <c r="I53" s="0" t="n">
        <v>0.890715798587585</v>
      </c>
      <c r="J53" s="0" t="n">
        <v>0.612344304119981</v>
      </c>
      <c r="K53" s="0" t="n">
        <v>0.677281777019942</v>
      </c>
      <c r="L53" s="0" t="n">
        <v>0.489109297805835</v>
      </c>
      <c r="M53" s="0" t="n">
        <v>0.69009132349713</v>
      </c>
    </row>
    <row r="54" customFormat="false" ht="12.75" hidden="false" customHeight="true" outlineLevel="0" collapsed="false">
      <c r="A54" s="5" t="n">
        <v>1962</v>
      </c>
      <c r="B54" s="0" t="n">
        <v>0.848392131915072</v>
      </c>
      <c r="C54" s="0" t="n">
        <v>1.31546562319331</v>
      </c>
      <c r="D54" s="0" t="n">
        <v>8.65430037856641</v>
      </c>
      <c r="E54" s="0" t="n">
        <v>7.35819499303744</v>
      </c>
      <c r="F54" s="0" t="n">
        <v>6.45489683235076</v>
      </c>
      <c r="G54" s="0" t="n">
        <v>1.93740429986268</v>
      </c>
      <c r="H54" s="0" t="n">
        <v>1.28708254297943</v>
      </c>
      <c r="I54" s="0" t="n">
        <v>0.630685936871839</v>
      </c>
      <c r="J54" s="0" t="n">
        <v>0.724137182350556</v>
      </c>
      <c r="K54" s="0" t="n">
        <v>0.491730418169302</v>
      </c>
      <c r="L54" s="0" t="n">
        <v>0.62253631768771</v>
      </c>
      <c r="M54" s="0" t="n">
        <v>0.656717934001516</v>
      </c>
    </row>
    <row r="55" customFormat="false" ht="12.75" hidden="false" customHeight="true" outlineLevel="0" collapsed="false">
      <c r="A55" s="5" t="n">
        <v>1963</v>
      </c>
      <c r="B55" s="0" t="n">
        <v>1.86827705171662</v>
      </c>
      <c r="C55" s="0" t="n">
        <v>3.64277097486604</v>
      </c>
      <c r="D55" s="0" t="n">
        <v>14.8153282419812</v>
      </c>
      <c r="E55" s="0" t="n">
        <v>13.1278985654955</v>
      </c>
      <c r="F55" s="0" t="n">
        <v>5.81438838821469</v>
      </c>
      <c r="G55" s="0" t="n">
        <v>1.62057128535235</v>
      </c>
      <c r="H55" s="0" t="n">
        <v>1.4428136901717</v>
      </c>
      <c r="I55" s="0" t="n">
        <v>0.773628405465262</v>
      </c>
      <c r="J55" s="0" t="n">
        <v>0.574376943743883</v>
      </c>
      <c r="K55" s="0" t="n">
        <v>0.53443680710458</v>
      </c>
      <c r="L55" s="0" t="n">
        <v>1.0310074888288</v>
      </c>
      <c r="M55" s="0" t="n">
        <v>1.74240621198621</v>
      </c>
    </row>
    <row r="56" customFormat="false" ht="12.75" hidden="false" customHeight="true" outlineLevel="0" collapsed="false">
      <c r="A56" s="5" t="n">
        <v>1964</v>
      </c>
      <c r="B56" s="0" t="n">
        <v>4.08467783557763</v>
      </c>
      <c r="C56" s="0" t="n">
        <v>12.8676904030295</v>
      </c>
      <c r="D56" s="0" t="n">
        <v>22.6505201142312</v>
      </c>
      <c r="E56" s="0" t="n">
        <v>50.624579654567</v>
      </c>
      <c r="F56" s="0" t="n">
        <v>31.2171579734818</v>
      </c>
      <c r="G56" s="0" t="n">
        <v>10.8031519685674</v>
      </c>
      <c r="H56" s="0" t="n">
        <v>6.29456162980789</v>
      </c>
      <c r="I56" s="0" t="n">
        <v>3.67076066086143</v>
      </c>
      <c r="J56" s="0" t="n">
        <v>3.12301555068785</v>
      </c>
      <c r="K56" s="0" t="n">
        <v>1.44128383295626</v>
      </c>
      <c r="L56" s="0" t="n">
        <v>1.04667359535251</v>
      </c>
      <c r="M56" s="0" t="n">
        <v>1.118324130135</v>
      </c>
    </row>
    <row r="57" customFormat="false" ht="12.75" hidden="false" customHeight="true" outlineLevel="0" collapsed="false">
      <c r="A57" s="5" t="n">
        <v>1965</v>
      </c>
      <c r="B57" s="0" t="n">
        <v>1.76586764918145</v>
      </c>
      <c r="C57" s="0" t="n">
        <v>1.26642537771868</v>
      </c>
      <c r="D57" s="0" t="n">
        <v>4.0240757054443</v>
      </c>
      <c r="E57" s="0" t="n">
        <v>13.1158179438163</v>
      </c>
      <c r="F57" s="0" t="n">
        <v>11.9972523995044</v>
      </c>
      <c r="G57" s="0" t="n">
        <v>16.2255242012911</v>
      </c>
      <c r="H57" s="0" t="n">
        <v>3.55151946021556</v>
      </c>
      <c r="I57" s="0" t="n">
        <v>0.934055854259845</v>
      </c>
      <c r="J57" s="0" t="n">
        <v>1.02835148230045</v>
      </c>
      <c r="K57" s="0" t="n">
        <v>1.10478355411867</v>
      </c>
      <c r="L57" s="0" t="n">
        <v>0.742189518616095</v>
      </c>
      <c r="M57" s="0" t="n">
        <v>0.745204120783319</v>
      </c>
    </row>
    <row r="58" customFormat="false" ht="12.75" hidden="false" customHeight="true" outlineLevel="0" collapsed="false">
      <c r="A58" s="5" t="n">
        <v>1966</v>
      </c>
      <c r="B58" s="0" t="n">
        <v>0.628297494624123</v>
      </c>
      <c r="C58" s="0" t="n">
        <v>1.10040844262857</v>
      </c>
      <c r="D58" s="0" t="n">
        <v>1.19605775163231</v>
      </c>
      <c r="E58" s="0" t="n">
        <v>2.00383277105886</v>
      </c>
      <c r="F58" s="0" t="n">
        <v>4.43431285320247</v>
      </c>
      <c r="G58" s="0" t="n">
        <v>3.04934653044836</v>
      </c>
      <c r="H58" s="0" t="n">
        <v>3.43416796481662</v>
      </c>
      <c r="I58" s="0" t="n">
        <v>0.635327255024223</v>
      </c>
      <c r="J58" s="0" t="n">
        <v>0.64700895095866</v>
      </c>
      <c r="K58" s="0" t="n">
        <v>0.410155816470547</v>
      </c>
      <c r="L58" s="0" t="n">
        <v>0.389308721042348</v>
      </c>
      <c r="M58" s="0" t="n">
        <v>0.384164271743994</v>
      </c>
    </row>
    <row r="59" customFormat="false" ht="12.75" hidden="false" customHeight="true" outlineLevel="0" collapsed="false">
      <c r="A59" s="5" t="n">
        <v>1967</v>
      </c>
      <c r="B59" s="0" t="n">
        <v>0.478821855988442</v>
      </c>
      <c r="C59" s="0" t="n">
        <v>2.45109799339608</v>
      </c>
      <c r="D59" s="0" t="n">
        <v>8.05873183719325</v>
      </c>
      <c r="E59" s="0" t="n">
        <v>17.5325851271956</v>
      </c>
      <c r="F59" s="0" t="n">
        <v>22.3101361890802</v>
      </c>
      <c r="G59" s="0" t="n">
        <v>9.21681534703985</v>
      </c>
      <c r="H59" s="0" t="n">
        <v>3.71800738093694</v>
      </c>
      <c r="I59" s="0" t="n">
        <v>2.22994903624401</v>
      </c>
      <c r="J59" s="0" t="n">
        <v>0.870711805911248</v>
      </c>
      <c r="K59" s="0" t="n">
        <v>0.740870022325943</v>
      </c>
      <c r="L59" s="0" t="n">
        <v>0.656278577455188</v>
      </c>
      <c r="M59" s="0" t="n">
        <v>0.907445565513953</v>
      </c>
    </row>
    <row r="60" customFormat="false" ht="12.75" hidden="false" customHeight="true" outlineLevel="0" collapsed="false">
      <c r="A60" s="5" t="n">
        <v>1968</v>
      </c>
      <c r="B60" s="0" t="n">
        <v>1.58997384129437</v>
      </c>
      <c r="C60" s="0" t="n">
        <v>1.44975420396282</v>
      </c>
      <c r="D60" s="0" t="n">
        <v>6.49727463850931</v>
      </c>
      <c r="E60" s="0" t="n">
        <v>8.28366065248064</v>
      </c>
      <c r="F60" s="0" t="n">
        <v>15.0874279831982</v>
      </c>
      <c r="G60" s="0" t="n">
        <v>2.70199397472591</v>
      </c>
      <c r="H60" s="0" t="n">
        <v>3.41790084291627</v>
      </c>
      <c r="I60" s="0" t="n">
        <v>0.844373799212712</v>
      </c>
      <c r="J60" s="0" t="n">
        <v>0.57532696433533</v>
      </c>
      <c r="K60" s="0" t="n">
        <v>0.633688612813601</v>
      </c>
      <c r="L60" s="0" t="n">
        <v>0.533019344910838</v>
      </c>
      <c r="M60" s="0" t="n">
        <v>0.724348190147128</v>
      </c>
    </row>
    <row r="61" customFormat="false" ht="12.75" hidden="false" customHeight="true" outlineLevel="0" collapsed="false">
      <c r="A61" s="5" t="n">
        <v>1969</v>
      </c>
      <c r="B61" s="0" t="n">
        <v>0.767554229599917</v>
      </c>
      <c r="C61" s="0" t="n">
        <v>0.996557832485785</v>
      </c>
      <c r="D61" s="0" t="n">
        <v>2.56053054477659</v>
      </c>
      <c r="E61" s="0" t="n">
        <v>8.26765104122498</v>
      </c>
      <c r="F61" s="0" t="n">
        <v>7.04916556680155</v>
      </c>
      <c r="G61" s="0" t="n">
        <v>7.80496084962555</v>
      </c>
      <c r="H61" s="0" t="n">
        <v>10.276774798814</v>
      </c>
      <c r="I61" s="0" t="n">
        <v>3.9001713982585</v>
      </c>
      <c r="J61" s="0" t="n">
        <v>1.38012185958562</v>
      </c>
      <c r="K61" s="0" t="n">
        <v>1.22781953203554</v>
      </c>
      <c r="L61" s="0" t="n">
        <v>0.617985858960748</v>
      </c>
      <c r="M61" s="0" t="n">
        <v>0.640226376416471</v>
      </c>
    </row>
    <row r="62" customFormat="false" ht="12.75" hidden="false" customHeight="true" outlineLevel="0" collapsed="false">
      <c r="A62" s="5" t="n">
        <v>1970</v>
      </c>
      <c r="B62" s="0" t="n">
        <v>1.43217650611619</v>
      </c>
      <c r="C62" s="0" t="n">
        <v>0.81486285497524</v>
      </c>
      <c r="D62" s="0" t="n">
        <v>3.77561567486314</v>
      </c>
      <c r="E62" s="0" t="n">
        <v>6.15998511735979</v>
      </c>
      <c r="F62" s="0" t="n">
        <v>1.88367737788817</v>
      </c>
      <c r="G62" s="0" t="n">
        <v>1.60965777923944</v>
      </c>
      <c r="H62" s="0" t="n">
        <v>1.07581842012733</v>
      </c>
      <c r="I62" s="0" t="n">
        <v>0.565645012524136</v>
      </c>
      <c r="J62" s="0" t="n">
        <v>0.356530530255954</v>
      </c>
      <c r="K62" s="0" t="n">
        <v>0.323992974080771</v>
      </c>
      <c r="L62" s="0" t="n">
        <v>0.362742388095419</v>
      </c>
      <c r="M62" s="0" t="n">
        <v>0.334492907345561</v>
      </c>
    </row>
    <row r="63" customFormat="false" ht="12.75" hidden="false" customHeight="true" outlineLevel="0" collapsed="false">
      <c r="A63" s="5" t="n">
        <v>1971</v>
      </c>
      <c r="B63" s="0" t="n">
        <v>0.583389605338691</v>
      </c>
      <c r="C63" s="0" t="n">
        <v>0.828824456178054</v>
      </c>
      <c r="D63" s="0" t="n">
        <v>2.26111927283604</v>
      </c>
      <c r="E63" s="0" t="n">
        <v>3.99421433595656</v>
      </c>
      <c r="F63" s="0" t="n">
        <v>6.30227974369689</v>
      </c>
      <c r="G63" s="0" t="n">
        <v>5.90314161327824</v>
      </c>
      <c r="H63" s="0" t="n">
        <v>5.06609753149819</v>
      </c>
      <c r="I63" s="0" t="n">
        <v>1.1993624228807</v>
      </c>
      <c r="J63" s="0" t="n">
        <v>0.699678915484719</v>
      </c>
      <c r="K63" s="0" t="n">
        <v>1.05826409655011</v>
      </c>
      <c r="L63" s="0" t="n">
        <v>0.72450994910096</v>
      </c>
      <c r="M63" s="0" t="n">
        <v>0.595528284694408</v>
      </c>
    </row>
    <row r="64" customFormat="false" ht="12.75" hidden="false" customHeight="true" outlineLevel="0" collapsed="false">
      <c r="A64" s="5" t="n">
        <v>1972</v>
      </c>
      <c r="B64" s="0" t="n">
        <v>0.679942287914873</v>
      </c>
      <c r="C64" s="0" t="n">
        <v>1.13363311569845</v>
      </c>
      <c r="D64" s="0" t="n">
        <v>1.91113232717219</v>
      </c>
      <c r="E64" s="0" t="n">
        <v>2.5789742439707</v>
      </c>
      <c r="F64" s="0" t="n">
        <v>3.65311525312418</v>
      </c>
      <c r="G64" s="0" t="n">
        <v>2.58023006046108</v>
      </c>
      <c r="H64" s="0" t="n">
        <v>1.52566538666391</v>
      </c>
      <c r="I64" s="0" t="n">
        <v>0.84701495110437</v>
      </c>
      <c r="J64" s="0" t="n">
        <v>0.305994546032656</v>
      </c>
      <c r="K64" s="0" t="n">
        <v>0.317168461595695</v>
      </c>
      <c r="L64" s="0" t="n">
        <v>0.283843220675501</v>
      </c>
      <c r="M64" s="0" t="n">
        <v>0.465260339587331</v>
      </c>
    </row>
    <row r="65" customFormat="false" ht="12.75" hidden="false" customHeight="true" outlineLevel="0" collapsed="false">
      <c r="A65" s="5" t="n">
        <v>1973</v>
      </c>
      <c r="B65" s="0" t="n">
        <v>0.702207602633365</v>
      </c>
      <c r="C65" s="0" t="n">
        <v>1.25743248454441</v>
      </c>
      <c r="D65" s="0" t="n">
        <v>2.43850432297446</v>
      </c>
      <c r="E65" s="0" t="n">
        <v>6.45008888629507</v>
      </c>
      <c r="F65" s="0" t="n">
        <v>10.6571261108396</v>
      </c>
      <c r="G65" s="0" t="n">
        <v>8.9079685285312</v>
      </c>
      <c r="H65" s="0" t="n">
        <v>4.47229288888084</v>
      </c>
      <c r="I65" s="0" t="n">
        <v>1.0567600173727</v>
      </c>
      <c r="J65" s="0" t="n">
        <v>0.944796110287287</v>
      </c>
      <c r="K65" s="0" t="n">
        <v>0.658222465977741</v>
      </c>
      <c r="L65" s="0" t="n">
        <v>0.566692261784403</v>
      </c>
      <c r="M65" s="0" t="n">
        <v>0.844000312550288</v>
      </c>
    </row>
    <row r="66" customFormat="false" ht="12.75" hidden="false" customHeight="true" outlineLevel="0" collapsed="false">
      <c r="A66" s="5" t="n">
        <v>1974</v>
      </c>
      <c r="B66" s="0" t="n">
        <v>5.25902461485157</v>
      </c>
      <c r="C66" s="0" t="n">
        <v>5.91355401027485</v>
      </c>
      <c r="D66" s="0" t="n">
        <v>16.9973485993079</v>
      </c>
      <c r="E66" s="0" t="n">
        <v>35.4745830533982</v>
      </c>
      <c r="F66" s="0" t="n">
        <v>32.1310140570244</v>
      </c>
      <c r="G66" s="0" t="n">
        <v>15.8849280573977</v>
      </c>
      <c r="H66" s="0" t="n">
        <v>5.54609349102561</v>
      </c>
      <c r="I66" s="0" t="n">
        <v>1.81767772281213</v>
      </c>
      <c r="J66" s="0" t="n">
        <v>2.41515078406617</v>
      </c>
      <c r="K66" s="0" t="n">
        <v>1.24957503954547</v>
      </c>
      <c r="L66" s="0" t="n">
        <v>0.972789871219338</v>
      </c>
      <c r="M66" s="0" t="n">
        <v>1.7743626403341</v>
      </c>
    </row>
    <row r="67" customFormat="false" ht="12.75" hidden="false" customHeight="true" outlineLevel="0" collapsed="false">
      <c r="A67" s="5" t="n">
        <v>1975</v>
      </c>
      <c r="B67" s="0" t="n">
        <v>1.5438878777195</v>
      </c>
      <c r="C67" s="0" t="n">
        <v>3.03496818977751</v>
      </c>
      <c r="D67" s="0" t="n">
        <v>7.80422788891739</v>
      </c>
      <c r="E67" s="0" t="n">
        <v>8.07702285419524</v>
      </c>
      <c r="F67" s="0" t="n">
        <v>13.9105192820761</v>
      </c>
      <c r="G67" s="0" t="n">
        <v>9.33793527126275</v>
      </c>
      <c r="H67" s="0" t="n">
        <v>6.55636006192691</v>
      </c>
      <c r="I67" s="0" t="n">
        <v>1.37812604886672</v>
      </c>
      <c r="J67" s="0" t="n">
        <v>1.52668344094954</v>
      </c>
      <c r="K67" s="0" t="n">
        <v>0.839625785903184</v>
      </c>
      <c r="L67" s="0" t="n">
        <v>0.728452490591977</v>
      </c>
      <c r="M67" s="0" t="n">
        <v>1.45007642631427</v>
      </c>
    </row>
    <row r="68" customFormat="false" ht="12.75" hidden="false" customHeight="true" outlineLevel="0" collapsed="false">
      <c r="A68" s="5" t="n">
        <v>1976</v>
      </c>
      <c r="B68" s="0" t="n">
        <v>1.14913564941489</v>
      </c>
      <c r="C68" s="0" t="n">
        <v>3.32822176456627</v>
      </c>
      <c r="D68" s="0" t="n">
        <v>6.36801276769786</v>
      </c>
      <c r="E68" s="0" t="n">
        <v>7.89974917541572</v>
      </c>
      <c r="F68" s="0" t="n">
        <v>1.98549523287859</v>
      </c>
      <c r="G68" s="0" t="n">
        <v>1.55661296462351</v>
      </c>
      <c r="H68" s="0" t="n">
        <v>0.853489385567674</v>
      </c>
      <c r="I68" s="0" t="n">
        <v>0.848221419037409</v>
      </c>
      <c r="J68" s="0" t="n">
        <v>0.445166117958279</v>
      </c>
      <c r="K68" s="0" t="n">
        <v>0.764209045907178</v>
      </c>
      <c r="L68" s="0" t="n">
        <v>0.440715129136902</v>
      </c>
      <c r="M68" s="0" t="n">
        <v>0.349492071528332</v>
      </c>
    </row>
    <row r="69" customFormat="false" ht="12.75" hidden="false" customHeight="true" outlineLevel="0" collapsed="false">
      <c r="A69" s="5" t="n">
        <v>1977</v>
      </c>
      <c r="B69" s="0" t="n">
        <v>1.21470486370389</v>
      </c>
      <c r="C69" s="0" t="n">
        <v>2.10352048657225</v>
      </c>
      <c r="D69" s="0" t="n">
        <v>5.2139068838879</v>
      </c>
      <c r="E69" s="0" t="n">
        <v>7.80220534696655</v>
      </c>
      <c r="F69" s="0" t="n">
        <v>13.3620023610841</v>
      </c>
      <c r="G69" s="0" t="n">
        <v>11.6494921815345</v>
      </c>
      <c r="H69" s="0" t="n">
        <v>8.50510082128206</v>
      </c>
      <c r="I69" s="0" t="n">
        <v>0.819323470639151</v>
      </c>
      <c r="J69" s="0" t="n">
        <v>0.619781971594031</v>
      </c>
      <c r="K69" s="0" t="n">
        <v>0.696345574662882</v>
      </c>
      <c r="L69" s="0" t="n">
        <v>0.596522164987022</v>
      </c>
      <c r="M69" s="0" t="n">
        <v>0.667648618019724</v>
      </c>
    </row>
    <row r="70" customFormat="false" ht="12.75" hidden="false" customHeight="true" outlineLevel="0" collapsed="false">
      <c r="A70" s="5" t="n">
        <v>1978</v>
      </c>
      <c r="B70" s="0" t="n">
        <v>0.524826512220722</v>
      </c>
      <c r="C70" s="0" t="n">
        <v>1.83632043907645</v>
      </c>
      <c r="D70" s="0" t="n">
        <v>2.89695039548943</v>
      </c>
      <c r="E70" s="0" t="n">
        <v>4.5129814757926</v>
      </c>
      <c r="F70" s="0" t="n">
        <v>7.3047876169881</v>
      </c>
      <c r="G70" s="0" t="n">
        <v>3.21185380711885</v>
      </c>
      <c r="H70" s="0" t="n">
        <v>3.07094835840505</v>
      </c>
      <c r="I70" s="0" t="n">
        <v>0.664274326308403</v>
      </c>
      <c r="J70" s="0" t="n">
        <v>0.648185581875288</v>
      </c>
      <c r="K70" s="0" t="n">
        <v>0.654457605883077</v>
      </c>
      <c r="L70" s="0" t="n">
        <v>0.605387173001035</v>
      </c>
      <c r="M70" s="0" t="n">
        <v>0.41118327534488</v>
      </c>
    </row>
    <row r="71" customFormat="false" ht="12.75" hidden="false" customHeight="true" outlineLevel="0" collapsed="false">
      <c r="A71" s="5" t="n">
        <v>1979</v>
      </c>
      <c r="B71" s="0" t="n">
        <v>0.610053077334627</v>
      </c>
      <c r="C71" s="0" t="n">
        <v>0.860525408942431</v>
      </c>
      <c r="D71" s="0" t="n">
        <v>1.06349387915546</v>
      </c>
      <c r="E71" s="0" t="n">
        <v>1.96069504525408</v>
      </c>
      <c r="F71" s="0" t="n">
        <v>2.8606798309893</v>
      </c>
      <c r="G71" s="0" t="n">
        <v>1.3001769370597</v>
      </c>
      <c r="H71" s="0" t="n">
        <v>0.408107344737391</v>
      </c>
      <c r="I71" s="0" t="n">
        <v>0.429645158576116</v>
      </c>
      <c r="J71" s="0" t="n">
        <v>0.409032985499104</v>
      </c>
      <c r="K71" s="0" t="n">
        <v>0.229241471589962</v>
      </c>
      <c r="L71" s="0" t="n">
        <v>0.288363303634677</v>
      </c>
      <c r="M71" s="0" t="n">
        <v>0.161454812256383</v>
      </c>
    </row>
    <row r="72" customFormat="false" ht="12.75" hidden="false" customHeight="true" outlineLevel="0" collapsed="false">
      <c r="A72" s="5" t="n">
        <v>1980</v>
      </c>
      <c r="B72" s="0" t="n">
        <v>0.333179468911937</v>
      </c>
      <c r="C72" s="0" t="n">
        <v>2.35014573189602</v>
      </c>
      <c r="D72" s="0" t="n">
        <v>3.96555342323858</v>
      </c>
      <c r="E72" s="0" t="n">
        <v>2.61701273409983</v>
      </c>
      <c r="F72" s="0" t="n">
        <v>1.09532339640574</v>
      </c>
      <c r="G72" s="0" t="n">
        <v>1.96924373476532</v>
      </c>
      <c r="H72" s="0" t="n">
        <v>0.357242991072993</v>
      </c>
      <c r="I72" s="0" t="n">
        <v>0.250135432489736</v>
      </c>
      <c r="J72" s="0" t="n">
        <v>0.308983067566975</v>
      </c>
      <c r="K72" s="0" t="n">
        <v>0.326077635383497</v>
      </c>
      <c r="L72" s="0" t="n">
        <v>0.202488718490771</v>
      </c>
      <c r="M72" s="0" t="n">
        <v>0.232805497566714</v>
      </c>
    </row>
    <row r="73" customFormat="false" ht="12.75" hidden="false" customHeight="true" outlineLevel="0" collapsed="false">
      <c r="A73" s="5" t="n">
        <v>1981</v>
      </c>
      <c r="B73" s="0" t="n">
        <v>0.275292666511752</v>
      </c>
      <c r="C73" s="0" t="n">
        <v>0.234464316054613</v>
      </c>
      <c r="D73" s="0" t="n">
        <v>2.16929798443538</v>
      </c>
      <c r="E73" s="0" t="n">
        <v>1.24459261677518</v>
      </c>
      <c r="F73" s="0" t="n">
        <v>1.65367879929431</v>
      </c>
      <c r="G73" s="0" t="n">
        <v>0.623252658097486</v>
      </c>
      <c r="H73" s="0" t="n">
        <v>0.158612833702904</v>
      </c>
      <c r="I73" s="0" t="n">
        <v>0.149467215091031</v>
      </c>
      <c r="J73" s="0" t="n">
        <v>0.135450473639118</v>
      </c>
      <c r="K73" s="0" t="n">
        <v>0.125581220440462</v>
      </c>
      <c r="L73" s="0" t="n">
        <v>0.115975957657159</v>
      </c>
      <c r="M73" s="0" t="n">
        <v>0.275006823785987</v>
      </c>
    </row>
    <row r="74" customFormat="false" ht="12.75" hidden="false" customHeight="true" outlineLevel="0" collapsed="false">
      <c r="A74" s="5" t="n">
        <v>1982</v>
      </c>
      <c r="B74" s="0" t="n">
        <v>0.293386422149808</v>
      </c>
      <c r="C74" s="0" t="n">
        <v>0.427526378220381</v>
      </c>
      <c r="D74" s="0" t="n">
        <v>1.6556264259753</v>
      </c>
      <c r="E74" s="0" t="n">
        <v>3.01240397269858</v>
      </c>
      <c r="F74" s="0" t="n">
        <v>4.65883977518252</v>
      </c>
      <c r="G74" s="0" t="n">
        <v>2.04357379754555</v>
      </c>
      <c r="H74" s="0" t="n">
        <v>0.944747267962914</v>
      </c>
      <c r="I74" s="0" t="n">
        <v>0.555098627042471</v>
      </c>
      <c r="J74" s="0" t="n">
        <v>0.347925856222402</v>
      </c>
      <c r="K74" s="0" t="n">
        <v>0.291203935137025</v>
      </c>
      <c r="L74" s="0" t="n">
        <v>0.263578848240037</v>
      </c>
      <c r="M74" s="0" t="n">
        <v>0.217057472404314</v>
      </c>
    </row>
    <row r="75" customFormat="false" ht="12.75" hidden="false" customHeight="true" outlineLevel="0" collapsed="false">
      <c r="A75" s="5" t="n">
        <v>1983</v>
      </c>
      <c r="B75" s="0" t="n">
        <v>0.182669055190573</v>
      </c>
      <c r="C75" s="0" t="n">
        <v>0.769917120413007</v>
      </c>
      <c r="D75" s="0" t="n">
        <v>1.36217462535595</v>
      </c>
      <c r="E75" s="0" t="n">
        <v>1.26991605033502</v>
      </c>
      <c r="F75" s="0" t="n">
        <v>1.0680283431788</v>
      </c>
      <c r="G75" s="0" t="n">
        <v>0.23750629806009</v>
      </c>
      <c r="H75" s="0" t="n">
        <v>0.165856811612483</v>
      </c>
      <c r="I75" s="0" t="n">
        <v>0.146747040880287</v>
      </c>
      <c r="J75" s="0" t="n">
        <v>0.123766028563809</v>
      </c>
      <c r="K75" s="0" t="n">
        <v>0.12652360737493</v>
      </c>
      <c r="L75" s="0" t="n">
        <v>0.0959727306586005</v>
      </c>
      <c r="M75" s="0" t="n">
        <v>0.0884876242274924</v>
      </c>
    </row>
    <row r="76" customFormat="false" ht="12.75" hidden="false" customHeight="true" outlineLevel="0" collapsed="false">
      <c r="A76" s="5" t="n">
        <v>1984</v>
      </c>
      <c r="B76" s="0" t="n">
        <v>0.122619016630448</v>
      </c>
      <c r="C76" s="0" t="n">
        <v>0.208577274175865</v>
      </c>
      <c r="D76" s="0" t="n">
        <v>1.04427992992018</v>
      </c>
      <c r="E76" s="0" t="n">
        <v>2.71363309373625</v>
      </c>
      <c r="F76" s="0" t="n">
        <v>6.96558772905759</v>
      </c>
      <c r="G76" s="0" t="n">
        <v>5.5842014999182</v>
      </c>
      <c r="H76" s="0" t="n">
        <v>3.79395882164595</v>
      </c>
      <c r="I76" s="0" t="n">
        <v>1.22808865715932</v>
      </c>
      <c r="J76" s="0" t="n">
        <v>0.693316473873276</v>
      </c>
      <c r="K76" s="0" t="n">
        <v>0.591348571161467</v>
      </c>
      <c r="L76" s="0" t="n">
        <v>0.353660801945937</v>
      </c>
      <c r="M76" s="0" t="n">
        <v>0.383260749961648</v>
      </c>
    </row>
    <row r="77" customFormat="false" ht="12.75" hidden="false" customHeight="true" outlineLevel="0" collapsed="false">
      <c r="A77" s="5" t="n">
        <v>1985</v>
      </c>
      <c r="B77" s="0" t="n">
        <v>1.81092834787837</v>
      </c>
      <c r="C77" s="0" t="n">
        <v>5.85606814750571</v>
      </c>
      <c r="D77" s="0" t="n">
        <v>17.3564445978158</v>
      </c>
      <c r="E77" s="0" t="n">
        <v>25.4678986473846</v>
      </c>
      <c r="F77" s="0" t="n">
        <v>27.1997293921959</v>
      </c>
      <c r="G77" s="0" t="n">
        <v>22.6065112458752</v>
      </c>
      <c r="H77" s="0" t="n">
        <v>17.7188467765867</v>
      </c>
      <c r="I77" s="0" t="n">
        <v>4.00215704089532</v>
      </c>
      <c r="J77" s="0" t="n">
        <v>1.72210974557879</v>
      </c>
      <c r="K77" s="0" t="n">
        <v>1.11490229492007</v>
      </c>
      <c r="L77" s="0" t="n">
        <v>1.06501420474011</v>
      </c>
      <c r="M77" s="0" t="n">
        <v>2.46095932927369</v>
      </c>
    </row>
    <row r="78" customFormat="false" ht="12.75" hidden="false" customHeight="true" outlineLevel="0" collapsed="false">
      <c r="A78" s="5" t="n">
        <v>1986</v>
      </c>
      <c r="B78" s="0" t="n">
        <v>2.78724363380455</v>
      </c>
      <c r="C78" s="0" t="n">
        <v>6.12917428353797</v>
      </c>
      <c r="D78" s="0" t="n">
        <v>16.233447264145</v>
      </c>
      <c r="E78" s="0" t="n">
        <v>36.4190757310772</v>
      </c>
      <c r="F78" s="0" t="n">
        <v>21.3717008776131</v>
      </c>
      <c r="G78" s="0" t="n">
        <v>17.4933117486075</v>
      </c>
      <c r="H78" s="0" t="n">
        <v>4.87132975540215</v>
      </c>
      <c r="I78" s="0" t="n">
        <v>3.32193997808692</v>
      </c>
      <c r="J78" s="0" t="n">
        <v>2.04425055637508</v>
      </c>
      <c r="K78" s="0" t="n">
        <v>1.96287415726419</v>
      </c>
      <c r="L78" s="0" t="n">
        <v>1.79084714561768</v>
      </c>
      <c r="M78" s="0" t="n">
        <v>1.69897969211301</v>
      </c>
    </row>
    <row r="79" customFormat="false" ht="12.75" hidden="false" customHeight="true" outlineLevel="0" collapsed="false">
      <c r="A79" s="5" t="n">
        <v>1987</v>
      </c>
      <c r="B79" s="0" t="n">
        <v>1.44217399916709</v>
      </c>
      <c r="C79" s="0" t="n">
        <v>1.95225587896653</v>
      </c>
      <c r="D79" s="0" t="n">
        <v>7.85023715900605</v>
      </c>
      <c r="E79" s="0" t="n">
        <v>9.1376548177284</v>
      </c>
      <c r="F79" s="0" t="n">
        <v>2.71692525987092</v>
      </c>
      <c r="G79" s="0" t="n">
        <v>12.6314694427515</v>
      </c>
      <c r="H79" s="0" t="n">
        <v>2.11534019556986</v>
      </c>
      <c r="I79" s="0" t="n">
        <v>0.815367309883378</v>
      </c>
      <c r="J79" s="0" t="n">
        <v>0.723735978962017</v>
      </c>
      <c r="K79" s="0" t="n">
        <v>0.631372399874403</v>
      </c>
      <c r="L79" s="0" t="n">
        <v>0.613803037266223</v>
      </c>
      <c r="M79" s="0" t="n">
        <v>0.452822015821375</v>
      </c>
    </row>
    <row r="80" customFormat="false" ht="12.75" hidden="false" customHeight="true" outlineLevel="0" collapsed="false">
      <c r="A80" s="5" t="n">
        <v>1988</v>
      </c>
      <c r="B80" s="0" t="n">
        <v>1.19843523758863</v>
      </c>
      <c r="C80" s="0" t="n">
        <v>1.42789556358959</v>
      </c>
      <c r="D80" s="0" t="n">
        <v>3.15622402227875</v>
      </c>
      <c r="E80" s="0" t="n">
        <v>13.0249313304537</v>
      </c>
      <c r="F80" s="0" t="n">
        <v>16.6140101862655</v>
      </c>
      <c r="G80" s="0" t="n">
        <v>7.72922749708885</v>
      </c>
      <c r="H80" s="0" t="n">
        <v>4.07631869387362</v>
      </c>
      <c r="I80" s="0" t="n">
        <v>0.868997227673593</v>
      </c>
      <c r="J80" s="0" t="n">
        <v>1.09005075328193</v>
      </c>
      <c r="K80" s="0" t="n">
        <v>0.799783181487472</v>
      </c>
      <c r="L80" s="0" t="n">
        <v>0.82659636502091</v>
      </c>
      <c r="M80" s="0" t="n">
        <v>1.43465910932793</v>
      </c>
    </row>
    <row r="81" customFormat="false" ht="12.75" hidden="false" customHeight="true" outlineLevel="0" collapsed="false">
      <c r="A81" s="5" t="n">
        <v>1989</v>
      </c>
      <c r="B81" s="0" t="n">
        <v>1.83520924625482</v>
      </c>
      <c r="C81" s="0" t="n">
        <v>1.03955174695553</v>
      </c>
      <c r="D81" s="0" t="n">
        <v>3.69508826691743</v>
      </c>
      <c r="E81" s="0" t="n">
        <v>10.3322041285282</v>
      </c>
      <c r="F81" s="0" t="n">
        <v>12.5874028935154</v>
      </c>
      <c r="G81" s="0" t="n">
        <v>15.9995175990641</v>
      </c>
      <c r="H81" s="0" t="n">
        <v>16.7147354111806</v>
      </c>
      <c r="I81" s="0" t="n">
        <v>1.73057018569135</v>
      </c>
      <c r="J81" s="0" t="n">
        <v>1.18498493070267</v>
      </c>
      <c r="K81" s="0" t="n">
        <v>1.00897068846975</v>
      </c>
      <c r="L81" s="0" t="n">
        <v>0.856553949252444</v>
      </c>
      <c r="M81" s="0" t="n">
        <v>2.33092082954303</v>
      </c>
    </row>
    <row r="82" customFormat="false" ht="12.75" hidden="false" customHeight="true" outlineLevel="0" collapsed="false">
      <c r="A82" s="5" t="n">
        <v>1990</v>
      </c>
      <c r="B82" s="0" t="n">
        <v>0.834342146261339</v>
      </c>
      <c r="C82" s="0" t="n">
        <v>1.82830043773359</v>
      </c>
      <c r="D82" s="0" t="n">
        <v>1.79501820493226</v>
      </c>
      <c r="E82" s="0" t="n">
        <v>4.50007177791164</v>
      </c>
      <c r="F82" s="0" t="n">
        <v>4.32585654676084</v>
      </c>
      <c r="G82" s="0" t="n">
        <v>2.26803205021228</v>
      </c>
      <c r="H82" s="0" t="n">
        <v>2.38584962402779</v>
      </c>
      <c r="I82" s="0" t="n">
        <v>0.670869382367514</v>
      </c>
      <c r="J82" s="0" t="n">
        <v>0.687958408366633</v>
      </c>
      <c r="K82" s="0" t="n">
        <v>0.409556598015179</v>
      </c>
      <c r="L82" s="0" t="n">
        <v>0.355913934322811</v>
      </c>
      <c r="M82" s="0" t="n">
        <v>0.308307320695983</v>
      </c>
    </row>
    <row r="83" customFormat="false" ht="12.75" hidden="false" customHeight="true" outlineLevel="0" collapsed="false">
      <c r="A83" s="5" t="n">
        <v>1991</v>
      </c>
      <c r="B83" s="0" t="n">
        <v>0.457139803002203</v>
      </c>
      <c r="C83" s="0" t="n">
        <v>0.686354361481106</v>
      </c>
      <c r="D83" s="0" t="n">
        <v>2.8825117043501</v>
      </c>
      <c r="E83" s="0" t="n">
        <v>3.73251558592418</v>
      </c>
      <c r="F83" s="0" t="n">
        <v>6.21409197503975</v>
      </c>
      <c r="G83" s="0" t="n">
        <v>2.16498704433744</v>
      </c>
      <c r="H83" s="0" t="n">
        <v>0.586275879185571</v>
      </c>
      <c r="I83" s="0" t="n">
        <v>0.358949152459283</v>
      </c>
      <c r="J83" s="0" t="n">
        <v>0.299321215095415</v>
      </c>
      <c r="K83" s="0" t="n">
        <v>0.354136908306099</v>
      </c>
      <c r="L83" s="0" t="n">
        <v>0.253670971010611</v>
      </c>
      <c r="M83" s="0" t="n">
        <v>0.214912964970256</v>
      </c>
    </row>
    <row r="84" customFormat="false" ht="12.75" hidden="false" customHeight="true" outlineLevel="0" collapsed="false">
      <c r="A84" s="5" t="n">
        <v>1992</v>
      </c>
      <c r="B84" s="0" t="n">
        <v>0.540578796501424</v>
      </c>
      <c r="C84" s="0" t="n">
        <v>2.46584234625047</v>
      </c>
      <c r="D84" s="0" t="n">
        <v>3.29404549126805</v>
      </c>
      <c r="E84" s="0" t="n">
        <v>5.18392556103057</v>
      </c>
      <c r="F84" s="0" t="n">
        <v>1.00926031468506</v>
      </c>
      <c r="G84" s="0" t="n">
        <v>1.56116934098338</v>
      </c>
      <c r="H84" s="0" t="n">
        <v>0.349759933033484</v>
      </c>
      <c r="I84" s="0" t="n">
        <v>0.300728098563936</v>
      </c>
      <c r="J84" s="0" t="n">
        <v>0.296159064285094</v>
      </c>
      <c r="K84" s="0" t="n">
        <v>0.278664851298565</v>
      </c>
      <c r="L84" s="0" t="n">
        <v>0.235082459333015</v>
      </c>
      <c r="M84" s="0" t="n">
        <v>0.178412187629092</v>
      </c>
    </row>
    <row r="85" customFormat="false" ht="12.75" hidden="false" customHeight="true" outlineLevel="0" collapsed="false">
      <c r="A85" s="5" t="n">
        <v>1993</v>
      </c>
      <c r="B85" s="0" t="n">
        <v>0.216059113161411</v>
      </c>
      <c r="C85" s="0" t="n">
        <v>0.224069692132082</v>
      </c>
      <c r="D85" s="0" t="n">
        <v>0.472710656296041</v>
      </c>
      <c r="E85" s="0" t="n">
        <v>0.492847784668509</v>
      </c>
      <c r="F85" s="0" t="n">
        <v>0.248875034745688</v>
      </c>
      <c r="G85" s="0" t="n">
        <v>0.226744799774932</v>
      </c>
      <c r="H85" s="0" t="n">
        <v>0.308275259656485</v>
      </c>
      <c r="I85" s="0" t="n">
        <v>0.0987156644538974</v>
      </c>
      <c r="J85" s="0" t="n">
        <v>0.0769344748368028</v>
      </c>
      <c r="K85" s="0" t="n">
        <v>0.0808701162206442</v>
      </c>
      <c r="L85" s="0" t="n">
        <v>0.0624730966255997</v>
      </c>
      <c r="M85" s="0" t="n">
        <v>0.0640509931812681</v>
      </c>
    </row>
    <row r="86" customFormat="false" ht="12.75" hidden="false" customHeight="true" outlineLevel="0" collapsed="false">
      <c r="A86" s="5" t="n">
        <v>1994</v>
      </c>
      <c r="B86" s="0" t="n">
        <v>0.187845820049995</v>
      </c>
      <c r="C86" s="0" t="n">
        <v>0.473806571118013</v>
      </c>
      <c r="D86" s="0" t="n">
        <v>1.92285129053914</v>
      </c>
      <c r="E86" s="0" t="n">
        <v>5.26428711879044</v>
      </c>
      <c r="F86" s="0" t="n">
        <v>8.43705582524371</v>
      </c>
      <c r="G86" s="0" t="n">
        <v>17.355129533733</v>
      </c>
      <c r="H86" s="0" t="n">
        <v>3.86291008688599</v>
      </c>
      <c r="I86" s="0" t="n">
        <v>0.414589754397416</v>
      </c>
      <c r="J86" s="0" t="n">
        <v>0.448505071623566</v>
      </c>
      <c r="K86" s="0" t="n">
        <v>0.45665784174766</v>
      </c>
      <c r="L86" s="0" t="n">
        <v>0.493424069804475</v>
      </c>
      <c r="M86" s="0" t="n">
        <v>1.31313505626556</v>
      </c>
    </row>
    <row r="87" customFormat="false" ht="12.75" hidden="false" customHeight="true" outlineLevel="0" collapsed="false">
      <c r="A87" s="5" t="n">
        <v>1995</v>
      </c>
      <c r="B87" s="0" t="n">
        <v>1.1363044968443</v>
      </c>
      <c r="C87" s="0" t="n">
        <v>2.23153464202885</v>
      </c>
      <c r="D87" s="0" t="n">
        <v>3.08125992955018</v>
      </c>
      <c r="E87" s="0" t="n">
        <v>12.0638692179117</v>
      </c>
      <c r="F87" s="0" t="n">
        <v>16.8300009847734</v>
      </c>
      <c r="G87" s="0" t="n">
        <v>7.72422984045129</v>
      </c>
      <c r="H87" s="0" t="n">
        <v>6.13205550816859</v>
      </c>
      <c r="I87" s="0" t="n">
        <v>0.656788856185391</v>
      </c>
      <c r="J87" s="0" t="n">
        <v>0.636617635693876</v>
      </c>
      <c r="K87" s="0" t="n">
        <v>0.694672317271345</v>
      </c>
      <c r="L87" s="0" t="n">
        <v>0.732668248367949</v>
      </c>
      <c r="M87" s="0" t="n">
        <v>0.551084711935386</v>
      </c>
    </row>
    <row r="88" customFormat="false" ht="12.75" hidden="false" customHeight="true" outlineLevel="0" collapsed="false">
      <c r="A88" s="5" t="n">
        <v>1996</v>
      </c>
      <c r="B88" s="0" t="n">
        <v>2.53208441588874</v>
      </c>
      <c r="C88" s="0" t="n">
        <v>2.41663545049859</v>
      </c>
      <c r="D88" s="0" t="n">
        <v>9.91303543835977</v>
      </c>
      <c r="E88" s="0" t="n">
        <v>18.8597918936359</v>
      </c>
      <c r="F88" s="0" t="n">
        <v>10.4571597091767</v>
      </c>
      <c r="G88" s="0" t="n">
        <v>2.75384424007757</v>
      </c>
      <c r="H88" s="0" t="n">
        <v>1.7639701074029</v>
      </c>
      <c r="I88" s="0" t="n">
        <v>1.94846005500337</v>
      </c>
      <c r="J88" s="0" t="n">
        <v>0.921859181930361</v>
      </c>
      <c r="K88" s="0" t="n">
        <v>1.04180652137297</v>
      </c>
      <c r="L88" s="0" t="n">
        <v>0.949458874240736</v>
      </c>
      <c r="M88" s="0" t="n">
        <v>0.522387859526024</v>
      </c>
    </row>
    <row r="89" customFormat="false" ht="12.75" hidden="false" customHeight="true" outlineLevel="0" collapsed="false">
      <c r="A89" s="5" t="n">
        <v>1997</v>
      </c>
      <c r="B89" s="0" t="n">
        <v>0.760021088597541</v>
      </c>
      <c r="C89" s="0" t="n">
        <v>0.826079674401203</v>
      </c>
      <c r="D89" s="0" t="n">
        <v>1.73593133699649</v>
      </c>
      <c r="E89" s="0" t="n">
        <v>2.80834228379619</v>
      </c>
      <c r="F89" s="0" t="n">
        <v>3.88653602647178</v>
      </c>
      <c r="G89" s="0" t="n">
        <v>0.359201423461006</v>
      </c>
      <c r="H89" s="0" t="n">
        <v>0.454133541552485</v>
      </c>
      <c r="I89" s="0" t="n">
        <v>0.305834164520645</v>
      </c>
      <c r="J89" s="0" t="n">
        <v>0.253944156887013</v>
      </c>
      <c r="K89" s="0" t="n">
        <v>0.231692048392527</v>
      </c>
      <c r="L89" s="0" t="n">
        <v>0.230206634874561</v>
      </c>
      <c r="M89" s="0" t="n">
        <v>0.358616765815819</v>
      </c>
    </row>
    <row r="90" customFormat="false" ht="12.75" hidden="false" customHeight="true" outlineLevel="0" collapsed="false">
      <c r="A90" s="5" t="n">
        <v>1998</v>
      </c>
      <c r="B90" s="0" t="n">
        <v>1.02096907778157</v>
      </c>
      <c r="C90" s="0" t="n">
        <v>0.607445967944631</v>
      </c>
      <c r="D90" s="0" t="n">
        <v>1.59978783167111</v>
      </c>
      <c r="E90" s="0" t="n">
        <v>1.31383517941024</v>
      </c>
      <c r="F90" s="0" t="n">
        <v>0.509851487489813</v>
      </c>
      <c r="G90" s="0" t="n">
        <v>0.205655196918246</v>
      </c>
      <c r="H90" s="0" t="n">
        <v>0.194355242702285</v>
      </c>
      <c r="I90" s="0" t="n">
        <v>0.18691429890522</v>
      </c>
      <c r="J90" s="0" t="n">
        <v>0.122101328700868</v>
      </c>
      <c r="K90" s="0" t="n">
        <v>0.122114974052247</v>
      </c>
      <c r="L90" s="0" t="n">
        <v>0.100486318943032</v>
      </c>
      <c r="M90" s="0" t="n">
        <v>0.10962600986522</v>
      </c>
    </row>
    <row r="91" customFormat="false" ht="12.75" hidden="false" customHeight="true" outlineLevel="0" collapsed="false">
      <c r="A91" s="5" t="n">
        <v>1999</v>
      </c>
      <c r="B91" s="0" t="n">
        <v>0.139166854160311</v>
      </c>
      <c r="C91" s="0" t="n">
        <v>0.187284597446988</v>
      </c>
      <c r="D91" s="0" t="n">
        <v>0.641217458935467</v>
      </c>
      <c r="E91" s="0" t="n">
        <v>0.969848456783685</v>
      </c>
      <c r="F91" s="0" t="n">
        <v>2.24328513861439</v>
      </c>
      <c r="G91" s="0" t="n">
        <v>0.819421926106679</v>
      </c>
      <c r="H91" s="0" t="n">
        <v>0.184820421323154</v>
      </c>
      <c r="I91" s="0" t="n">
        <v>0.105735867163841</v>
      </c>
      <c r="J91" s="0" t="n">
        <v>0.151420486875272</v>
      </c>
      <c r="K91" s="0" t="n">
        <v>0.107285218725686</v>
      </c>
      <c r="L91" s="0" t="n">
        <v>0.115751383299041</v>
      </c>
      <c r="M91" s="0" t="n">
        <v>0.194668712936241</v>
      </c>
    </row>
    <row r="92" customFormat="false" ht="12.75" hidden="false" customHeight="true" outlineLevel="0" collapsed="false">
      <c r="A92" s="5" t="n">
        <v>2000</v>
      </c>
      <c r="B92" s="0" t="n">
        <v>0.683103788856343</v>
      </c>
      <c r="C92" s="0" t="n">
        <v>1.0539579844855</v>
      </c>
      <c r="D92" s="0" t="n">
        <v>3.36864697990854</v>
      </c>
      <c r="E92" s="0" t="n">
        <v>11.342199539374</v>
      </c>
      <c r="F92" s="0" t="n">
        <v>6.50588874347507</v>
      </c>
      <c r="G92" s="0" t="n">
        <v>5.55738458450475</v>
      </c>
      <c r="H92" s="0" t="n">
        <v>5.64191185525818</v>
      </c>
      <c r="I92" s="0" t="n">
        <v>5.53129161263413</v>
      </c>
      <c r="J92" s="0" t="n">
        <v>2.03943444832296</v>
      </c>
      <c r="K92" s="0" t="n">
        <v>0.463097161534115</v>
      </c>
      <c r="L92" s="0" t="n">
        <v>0.554359888021293</v>
      </c>
      <c r="M92" s="0" t="n">
        <v>0.588413382119922</v>
      </c>
    </row>
    <row r="93" customFormat="false" ht="12.75" hidden="false" customHeight="true" outlineLevel="0" collapsed="false">
      <c r="A93" s="5" t="n">
        <v>2001</v>
      </c>
      <c r="B93" s="0" t="n">
        <v>1.36578452749483</v>
      </c>
      <c r="C93" s="0" t="n">
        <v>0.953350225147751</v>
      </c>
      <c r="D93" s="0" t="n">
        <v>2.64110212069136</v>
      </c>
      <c r="E93" s="0" t="n">
        <v>9.95408769494352</v>
      </c>
      <c r="F93" s="0" t="n">
        <v>2.22632513131727</v>
      </c>
      <c r="G93" s="0" t="n">
        <v>2.96176228862302</v>
      </c>
      <c r="H93" s="0" t="n">
        <v>1.25122554131374</v>
      </c>
      <c r="I93" s="0" t="n">
        <v>0.412325901777241</v>
      </c>
      <c r="J93" s="0" t="n">
        <v>0.368193997401738</v>
      </c>
      <c r="K93" s="0" t="n">
        <v>0.353477333387444</v>
      </c>
      <c r="L93" s="0" t="n">
        <v>0.365789861756986</v>
      </c>
      <c r="M93" s="0" t="n">
        <v>0.34686543648448</v>
      </c>
    </row>
    <row r="94" customFormat="false" ht="12.75" hidden="false" customHeight="true" outlineLevel="0" collapsed="false">
      <c r="A94" s="5" t="n">
        <v>2002</v>
      </c>
      <c r="B94" s="0" t="n">
        <v>3.28299260662992</v>
      </c>
      <c r="C94" s="0" t="n">
        <v>1.1777937174713</v>
      </c>
      <c r="D94" s="0" t="n">
        <v>6.44395926962404</v>
      </c>
      <c r="E94" s="0" t="n">
        <v>13.2707195903122</v>
      </c>
      <c r="F94" s="0" t="n">
        <v>9.75015184498338</v>
      </c>
      <c r="G94" s="0" t="n">
        <v>7.93817261880906</v>
      </c>
      <c r="H94" s="0" t="n">
        <v>3.09647341321317</v>
      </c>
      <c r="I94" s="0" t="n">
        <v>0.62622842741902</v>
      </c>
      <c r="J94" s="0" t="n">
        <v>0.629712093023393</v>
      </c>
      <c r="K94" s="0" t="n">
        <v>0.563865880186282</v>
      </c>
      <c r="L94" s="0" t="n">
        <v>0.557703422135369</v>
      </c>
      <c r="M94" s="0" t="n">
        <v>0.478656202420868</v>
      </c>
    </row>
    <row r="95" customFormat="false" ht="12.75" hidden="false" customHeight="true" outlineLevel="0" collapsed="false">
      <c r="A95" s="5" t="n">
        <v>2003</v>
      </c>
      <c r="B95" s="0" t="n">
        <v>1.11031825495657</v>
      </c>
      <c r="C95" s="0" t="n">
        <v>2.86018365329313</v>
      </c>
      <c r="D95" s="0" t="n">
        <v>7.06037784439112</v>
      </c>
      <c r="E95" s="0" t="n">
        <v>13.7225096067966</v>
      </c>
      <c r="F95" s="0" t="n">
        <v>9.58701588668043</v>
      </c>
      <c r="G95" s="0" t="n">
        <v>7.08888330349612</v>
      </c>
      <c r="H95" s="0" t="n">
        <v>1.08517489673025</v>
      </c>
      <c r="I95" s="0" t="n">
        <v>1.15793325574984</v>
      </c>
      <c r="J95" s="0" t="n">
        <v>0.571154957363816</v>
      </c>
      <c r="K95" s="0" t="n">
        <v>0.528329901096503</v>
      </c>
      <c r="L95" s="0" t="n">
        <v>0.540757286045066</v>
      </c>
      <c r="M95" s="0" t="n">
        <v>0.608715560394858</v>
      </c>
    </row>
    <row r="96" customFormat="false" ht="12.75" hidden="false" customHeight="true" outlineLevel="0" collapsed="false">
      <c r="A96" s="5" t="n">
        <v>2004</v>
      </c>
      <c r="B96" s="0" t="n">
        <v>5.8767516388048</v>
      </c>
      <c r="C96" s="0" t="n">
        <v>9.86144477158593</v>
      </c>
      <c r="D96" s="0" t="n">
        <v>8.89479302706525</v>
      </c>
      <c r="E96" s="0" t="n">
        <v>6.22522944657357</v>
      </c>
      <c r="F96" s="0" t="n">
        <v>3.06027602607951</v>
      </c>
      <c r="G96" s="0" t="n">
        <v>11.1341947257841</v>
      </c>
      <c r="H96" s="0" t="n">
        <v>3.48860996966626</v>
      </c>
      <c r="I96" s="0" t="n">
        <v>0.82398314163685</v>
      </c>
      <c r="J96" s="0" t="n">
        <v>0.710073967860073</v>
      </c>
      <c r="K96" s="0" t="n">
        <v>0.595639041837417</v>
      </c>
      <c r="L96" s="0" t="n">
        <v>0.516093959228628</v>
      </c>
      <c r="M96" s="0" t="n">
        <v>0.465428137891574</v>
      </c>
    </row>
    <row r="97" customFormat="false" ht="12.75" hidden="false" customHeight="true" outlineLevel="0" collapsed="false">
      <c r="A97" s="5" t="n">
        <v>2005</v>
      </c>
      <c r="B97" s="0" t="n">
        <v>0.506275996516127</v>
      </c>
      <c r="C97" s="0" t="n">
        <v>0.600932411610332</v>
      </c>
      <c r="D97" s="0" t="n">
        <v>1.09070246591163</v>
      </c>
      <c r="E97" s="0" t="n">
        <v>2.71135750291292</v>
      </c>
      <c r="F97" s="0" t="n">
        <v>5.45653416955375</v>
      </c>
      <c r="G97" s="0" t="n">
        <v>6.9154554175554</v>
      </c>
      <c r="H97" s="0" t="n">
        <v>0.709748929704986</v>
      </c>
      <c r="I97" s="0" t="n">
        <v>0.335169037653077</v>
      </c>
      <c r="J97" s="0" t="n">
        <v>0.323054191939529</v>
      </c>
      <c r="K97" s="0" t="n">
        <v>0.303031477671025</v>
      </c>
      <c r="L97" s="0" t="n">
        <v>0.280373506907731</v>
      </c>
      <c r="M97" s="0" t="n">
        <v>0.292536598279562</v>
      </c>
    </row>
    <row r="98" customFormat="false" ht="12.75" hidden="false" customHeight="true" outlineLevel="0" collapsed="false">
      <c r="A98" s="5" t="n">
        <v>2006</v>
      </c>
      <c r="B98" s="0" t="n">
        <v>0.276408747092239</v>
      </c>
      <c r="C98" s="0" t="n">
        <v>0.44670272649415</v>
      </c>
      <c r="D98" s="0" t="n">
        <v>1.32667851719994</v>
      </c>
      <c r="E98" s="0" t="n">
        <v>4.23631344719033</v>
      </c>
      <c r="F98" s="0" t="n">
        <v>6.33415978049477</v>
      </c>
      <c r="G98" s="0" t="n">
        <v>6.26322487158035</v>
      </c>
      <c r="H98" s="0" t="n">
        <v>1.48886946393717</v>
      </c>
      <c r="I98" s="0" t="n">
        <v>0.929587028034721</v>
      </c>
      <c r="J98" s="0" t="n">
        <v>0.412277029113548</v>
      </c>
      <c r="K98" s="0" t="n">
        <v>0.319523077773594</v>
      </c>
      <c r="L98" s="0" t="n">
        <v>0.34976883460312</v>
      </c>
      <c r="M98" s="0" t="n">
        <v>0.326454094166864</v>
      </c>
    </row>
    <row r="99" customFormat="false" ht="12.75" hidden="false" customHeight="true" outlineLevel="0" collapsed="false">
      <c r="A99" s="5" t="n">
        <v>2007</v>
      </c>
      <c r="B99" s="0" t="n">
        <v>0.426749932711225</v>
      </c>
      <c r="C99" s="0" t="n">
        <v>1.06441107358714</v>
      </c>
      <c r="D99" s="0" t="n">
        <v>1.56078443392238</v>
      </c>
      <c r="E99" s="0" t="n">
        <v>5.31584684229777</v>
      </c>
      <c r="F99" s="0" t="n">
        <v>2.95003175683562</v>
      </c>
      <c r="G99" s="0" t="n">
        <v>2.55894814131401</v>
      </c>
      <c r="H99" s="0" t="n">
        <v>0.5553606930182</v>
      </c>
      <c r="I99" s="0" t="n">
        <v>0.314039336395068</v>
      </c>
      <c r="J99" s="0" t="n">
        <v>0.268732249878259</v>
      </c>
      <c r="K99" s="0" t="n">
        <v>0.244356445507649</v>
      </c>
      <c r="L99" s="0" t="n">
        <v>0.226321267695956</v>
      </c>
      <c r="M99" s="0" t="n">
        <v>0.296277741623473</v>
      </c>
    </row>
    <row r="100" customFormat="false" ht="12.75" hidden="false" customHeight="true" outlineLevel="0" collapsed="false">
      <c r="A100" s="5" t="n">
        <v>2008</v>
      </c>
      <c r="B100" s="0" t="n">
        <v>0.602194031297185</v>
      </c>
      <c r="C100" s="0" t="n">
        <v>0.298206364465402</v>
      </c>
      <c r="D100" s="0" t="n">
        <v>1.89278575128206</v>
      </c>
      <c r="E100" s="0" t="n">
        <v>6.61814413122316</v>
      </c>
      <c r="F100" s="0" t="n">
        <v>5.75899577706899</v>
      </c>
      <c r="G100" s="0" t="n">
        <v>2.13744464783795</v>
      </c>
      <c r="H100" s="0" t="n">
        <v>1.60491800790383</v>
      </c>
      <c r="I100" s="0" t="n">
        <v>1.21182917501312</v>
      </c>
      <c r="J100" s="0" t="n">
        <v>0.296646360305529</v>
      </c>
      <c r="K100" s="0" t="n">
        <v>0.31055301711395</v>
      </c>
      <c r="L100" s="0" t="n">
        <v>0.284417414932371</v>
      </c>
      <c r="M100" s="0" t="n">
        <v>0.281560417261627</v>
      </c>
    </row>
    <row r="101" customFormat="false" ht="12.75" hidden="false" customHeight="true" outlineLevel="0" collapsed="false">
      <c r="A101" s="5" t="n">
        <v>2009</v>
      </c>
      <c r="B101" s="0" t="n">
        <v>0.616289171197878</v>
      </c>
      <c r="C101" s="0" t="n">
        <v>1.44216939708087</v>
      </c>
      <c r="D101" s="0" t="n">
        <v>5.26435381905195</v>
      </c>
      <c r="E101" s="0" t="n">
        <v>14.072098020925</v>
      </c>
      <c r="F101" s="0" t="n">
        <v>21.9877904884099</v>
      </c>
      <c r="G101" s="0" t="n">
        <v>11.7797176116156</v>
      </c>
      <c r="H101" s="0" t="n">
        <v>9.1012758970441</v>
      </c>
      <c r="I101" s="0" t="n">
        <v>2.88050569501158</v>
      </c>
      <c r="J101" s="0" t="n">
        <v>0.707380415026287</v>
      </c>
      <c r="K101" s="0" t="n">
        <v>0.731874100191323</v>
      </c>
      <c r="L101" s="0" t="n">
        <v>0.793789423920025</v>
      </c>
      <c r="M101" s="0" t="n">
        <v>0.655644888154644</v>
      </c>
    </row>
    <row r="102" customFormat="false" ht="12.75" hidden="false" customHeight="true" outlineLevel="0" collapsed="false">
      <c r="A102" s="5" t="n">
        <v>2010</v>
      </c>
      <c r="B102" s="0" t="n">
        <v>1.5889897106396</v>
      </c>
      <c r="C102" s="0" t="n">
        <v>0.759443128775217</v>
      </c>
      <c r="D102" s="0" t="n">
        <v>1.1839420357688</v>
      </c>
      <c r="E102" s="0" t="n">
        <v>3.76293469759255</v>
      </c>
      <c r="F102" s="0" t="n">
        <v>1.13356187059406</v>
      </c>
      <c r="G102" s="0" t="n">
        <v>0.955748352143555</v>
      </c>
      <c r="H102" s="0" t="n">
        <v>0.397907558323991</v>
      </c>
      <c r="I102" s="0" t="n">
        <v>0.282563600985878</v>
      </c>
      <c r="J102" s="0" t="n">
        <v>0.256567816239574</v>
      </c>
      <c r="K102" s="0" t="n">
        <v>0.252702654874139</v>
      </c>
      <c r="L102" s="0" t="n">
        <v>0.20317591413228</v>
      </c>
      <c r="M102" s="0" t="n">
        <v>0.362337079509915</v>
      </c>
    </row>
    <row r="103" customFormat="false" ht="12.75" hidden="false" customHeight="true" outlineLevel="0" collapsed="false">
      <c r="A103" s="5" t="n">
        <v>2011</v>
      </c>
      <c r="B103" s="0" t="n">
        <v>1.54481604290818</v>
      </c>
      <c r="C103" s="0" t="n">
        <v>1.68748889450879</v>
      </c>
      <c r="D103" s="0" t="n">
        <v>3.98438055747609</v>
      </c>
      <c r="E103" s="0" t="n">
        <v>6.28807486183998</v>
      </c>
      <c r="F103" s="0" t="n">
        <v>6.39996274361582</v>
      </c>
      <c r="G103" s="0" t="n">
        <v>2.35899279799732</v>
      </c>
      <c r="H103" s="0" t="n">
        <v>3.6800153579633</v>
      </c>
      <c r="I103" s="0" t="n">
        <v>0.746169844276753</v>
      </c>
      <c r="J103" s="0" t="n">
        <v>0.395596571676222</v>
      </c>
      <c r="K103" s="0" t="n">
        <v>0.932354778863801</v>
      </c>
      <c r="L103" s="0" t="n">
        <v>0.531799247143249</v>
      </c>
      <c r="M103" s="0" t="n">
        <v>0.327311220367081</v>
      </c>
    </row>
    <row r="104" customFormat="false" ht="12.75" hidden="false" customHeight="true" outlineLevel="0" collapsed="false">
      <c r="A104" s="5" t="n">
        <v>2012</v>
      </c>
      <c r="B104" s="0" t="n">
        <v>0.577452150933245</v>
      </c>
      <c r="C104" s="0" t="n">
        <v>2.03793347658373</v>
      </c>
      <c r="D104" s="0" t="n">
        <v>1.47159062754342</v>
      </c>
      <c r="E104" s="0" t="n">
        <v>1.02269801009628</v>
      </c>
      <c r="F104" s="0" t="n">
        <v>0.724523960395787</v>
      </c>
      <c r="G104" s="0" t="n">
        <v>0.956998695759795</v>
      </c>
      <c r="H104" s="0" t="n">
        <v>0.219972075402875</v>
      </c>
      <c r="I104" s="0" t="n">
        <v>0.182712025815884</v>
      </c>
      <c r="J104" s="0" t="n">
        <v>0.168506118462531</v>
      </c>
      <c r="K104" s="0" t="n">
        <v>0.157019198876036</v>
      </c>
      <c r="L104" s="0" t="n">
        <v>0.139123585034989</v>
      </c>
      <c r="M104" s="0" t="n">
        <v>0.128837195987693</v>
      </c>
    </row>
    <row r="105" customFormat="false" ht="12.75" hidden="false" customHeight="true" outlineLevel="0" collapsed="false">
      <c r="A105" s="5" t="n">
        <v>2013</v>
      </c>
      <c r="B105" s="0" t="n">
        <v>0.156924524404069</v>
      </c>
      <c r="C105" s="0" t="n">
        <v>0.194436093378383</v>
      </c>
      <c r="D105" s="0" t="n">
        <v>0.266021334185477</v>
      </c>
      <c r="E105" s="0" t="n">
        <v>0.73823885279334</v>
      </c>
      <c r="F105" s="0" t="n">
        <v>1.14119372949853</v>
      </c>
      <c r="G105" s="0" t="n">
        <v>1.07148769381821</v>
      </c>
      <c r="H105" s="0" t="n">
        <v>0.800020519735461</v>
      </c>
      <c r="I105" s="0" t="n">
        <v>0.112575317895503</v>
      </c>
      <c r="J105" s="0" t="n">
        <v>0.112308884545898</v>
      </c>
      <c r="K105" s="0" t="n">
        <v>0.107768914758159</v>
      </c>
      <c r="L105" s="0" t="n">
        <v>0.12560933897298</v>
      </c>
      <c r="M105" s="0" t="n">
        <v>0.108029717141059</v>
      </c>
    </row>
    <row r="106" customFormat="false" ht="12.75" hidden="false" customHeight="true" outlineLevel="0" collapsed="false">
      <c r="A106" s="5" t="n">
        <v>2014</v>
      </c>
      <c r="B106" s="0" t="n">
        <v>0.19659370670418</v>
      </c>
      <c r="C106" s="0" t="n">
        <v>0.254185248819132</v>
      </c>
      <c r="D106" s="0" t="n">
        <v>1.06676542587323</v>
      </c>
      <c r="E106" s="0" t="n">
        <v>1.4257395321958</v>
      </c>
      <c r="F106" s="0" t="n">
        <v>2.10468860130487</v>
      </c>
      <c r="G106" s="0" t="n">
        <v>0.548803912234008</v>
      </c>
      <c r="H106" s="0" t="n">
        <v>0.221159633019148</v>
      </c>
      <c r="I106" s="0" t="n">
        <v>0.11500544784547</v>
      </c>
      <c r="J106" s="0" t="n">
        <v>0.179114991990114</v>
      </c>
      <c r="K106" s="0" t="n">
        <v>0.154529367146337</v>
      </c>
      <c r="L106" s="0" t="n">
        <v>0.153865459154614</v>
      </c>
      <c r="M106" s="0" t="n">
        <v>0.10574358495329</v>
      </c>
    </row>
    <row r="107" customFormat="false" ht="12.75" hidden="false" customHeight="true" outlineLevel="0" collapsed="false">
      <c r="A107" s="5" t="n">
        <v>2015</v>
      </c>
      <c r="B107" s="0" t="n">
        <v>0.18281631485131</v>
      </c>
      <c r="C107" s="0" t="n">
        <v>0.33372991554678</v>
      </c>
      <c r="D107" s="0" t="n">
        <v>1.19896073759236</v>
      </c>
      <c r="E107" s="0" t="n">
        <v>1.34329328605847</v>
      </c>
      <c r="F107" s="0" t="n">
        <v>0.68289048061305</v>
      </c>
      <c r="G107" s="0" t="n">
        <v>1.04898607966026</v>
      </c>
      <c r="H107" s="0" t="n">
        <v>2.75762761475092</v>
      </c>
      <c r="I107" s="0" t="n">
        <v>0.119062247823604</v>
      </c>
      <c r="J107" s="0" t="n">
        <v>0.164463839394187</v>
      </c>
      <c r="K107" s="0" t="n">
        <v>0.128286471091866</v>
      </c>
      <c r="L107" s="0" t="n">
        <v>0.119378653646084</v>
      </c>
      <c r="M107" s="0" t="n">
        <v>0.194033995526337</v>
      </c>
    </row>
    <row r="108" customFormat="false" ht="12.75" hidden="false" customHeight="true" outlineLevel="0" collapsed="false">
      <c r="A108" s="5" t="n">
        <v>2016</v>
      </c>
      <c r="B108" s="0" t="n">
        <v>0.837440347954542</v>
      </c>
      <c r="C108" s="0" t="n">
        <v>0.582958581999034</v>
      </c>
      <c r="D108" s="0" t="n">
        <v>0.963202556039901</v>
      </c>
      <c r="E108" s="0" t="n">
        <v>1.68490944104321</v>
      </c>
      <c r="F108" s="0" t="n">
        <v>1.02931619076074</v>
      </c>
      <c r="G108" s="0" t="n">
        <v>0.673198860489209</v>
      </c>
      <c r="H108" s="0" t="n">
        <v>0.133546777821263</v>
      </c>
      <c r="I108" s="0" t="n">
        <v>0.127246536600667</v>
      </c>
      <c r="J108" s="0" t="n">
        <v>0.130710902021327</v>
      </c>
      <c r="K108" s="0" t="n">
        <v>0.115373029067313</v>
      </c>
      <c r="L108" s="0" t="n">
        <v>0.110531235993005</v>
      </c>
      <c r="M108" s="0" t="n">
        <v>0.159157952372073</v>
      </c>
    </row>
    <row r="109" customFormat="false" ht="12.75" hidden="false" customHeight="true" outlineLevel="0" collapsed="false">
      <c r="A109" s="5" t="n">
        <v>2017</v>
      </c>
      <c r="B109" s="0" t="n">
        <v>0.175099244913178</v>
      </c>
      <c r="C109" s="0" t="n">
        <v>0.567358010329431</v>
      </c>
      <c r="D109" s="0" t="n">
        <v>1.88168210978182</v>
      </c>
      <c r="E109" s="0" t="n">
        <v>1.86622241466993</v>
      </c>
      <c r="F109" s="0" t="n">
        <v>3.23725830410785</v>
      </c>
      <c r="G109" s="0" t="n">
        <v>1.49100260362785</v>
      </c>
      <c r="H109" s="0" t="n">
        <v>1.87177509646628</v>
      </c>
      <c r="I109" s="0" t="n">
        <v>0.194019011196243</v>
      </c>
      <c r="J109" s="0" t="n">
        <v>0.183147640848389</v>
      </c>
      <c r="K109" s="0" t="n">
        <v>0.24506158669452</v>
      </c>
      <c r="L109" s="0" t="n">
        <v>0.181618949584097</v>
      </c>
      <c r="M109" s="0" t="n">
        <v>0.315244819512069</v>
      </c>
    </row>
    <row r="110" customFormat="false" ht="12.75" hidden="false" customHeight="true" outlineLevel="0" collapsed="false">
      <c r="A110" s="5" t="n">
        <v>2018</v>
      </c>
      <c r="B110" s="0" t="n">
        <v>0.639436067976189</v>
      </c>
      <c r="C110" s="0" t="n">
        <v>1.37119621043791</v>
      </c>
      <c r="D110" s="0" t="n">
        <v>2.57510247644179</v>
      </c>
      <c r="E110" s="0" t="n">
        <v>6.74799024538077</v>
      </c>
      <c r="F110" s="0" t="n">
        <v>3.86940000549797</v>
      </c>
      <c r="G110" s="0" t="n">
        <v>1.04925523500713</v>
      </c>
      <c r="H110" s="0" t="n">
        <v>1.15532200204128</v>
      </c>
      <c r="I110" s="0" t="n">
        <v>0.533094826664384</v>
      </c>
      <c r="J110" s="0" t="n">
        <v>0.296919634908881</v>
      </c>
      <c r="K110" s="0" t="n">
        <v>0.312472187843478</v>
      </c>
      <c r="L110" s="0" t="n">
        <v>0.283803301487192</v>
      </c>
      <c r="M110" s="0" t="n">
        <v>0.536712883829157</v>
      </c>
    </row>
    <row r="111" customFormat="false" ht="12.75" hidden="false" customHeight="true" outlineLevel="0" collapsed="false">
      <c r="A111" s="5" t="n">
        <v>2019</v>
      </c>
      <c r="B111" s="0" t="n">
        <v>1.27495973345526</v>
      </c>
      <c r="C111" s="0" t="n">
        <v>2.62640143288347</v>
      </c>
      <c r="D111" s="0" t="n">
        <v>6.87922276513561</v>
      </c>
      <c r="E111" s="0" t="n">
        <v>8.83270942723397</v>
      </c>
      <c r="F111" s="0" t="n">
        <v>6.65581723079254</v>
      </c>
      <c r="G111" s="0" t="n">
        <v>4.06569359353343</v>
      </c>
      <c r="H111" s="0" t="n">
        <v>2.58963505390108</v>
      </c>
      <c r="I111" s="0" t="n">
        <v>0.672831602741313</v>
      </c>
      <c r="J111" s="0" t="n">
        <v>0.485307569342156</v>
      </c>
      <c r="K111" s="0" t="n">
        <v>0.444627601795919</v>
      </c>
      <c r="L111" s="0" t="n">
        <v>0.391198498576503</v>
      </c>
      <c r="M111" s="0" t="n">
        <v>0.408856759583384</v>
      </c>
    </row>
    <row r="112" customFormat="false" ht="12.75" hidden="false" customHeight="true" outlineLevel="0" collapsed="false">
      <c r="A112" s="5" t="n">
        <v>2020</v>
      </c>
      <c r="B112" s="0" t="n">
        <v>1.64794367060284</v>
      </c>
      <c r="C112" s="0" t="n">
        <v>3.07704939018885</v>
      </c>
      <c r="D112" s="0" t="n">
        <v>4.88933576154326</v>
      </c>
      <c r="E112" s="0" t="n">
        <v>11.4093922714776</v>
      </c>
      <c r="F112" s="0" t="n">
        <v>9.62616753222317</v>
      </c>
      <c r="G112" s="0" t="n">
        <v>5.81061207223314</v>
      </c>
      <c r="H112" s="0" t="n">
        <v>5.70258443866773</v>
      </c>
      <c r="I112" s="0" t="n">
        <v>0.552273048748767</v>
      </c>
      <c r="J112" s="0" t="n">
        <v>0.555745098797723</v>
      </c>
      <c r="K112" s="0" t="n">
        <v>0.546195165740862</v>
      </c>
      <c r="L112" s="0" t="n">
        <v>0.573445039351592</v>
      </c>
      <c r="M112" s="0" t="n">
        <v>0.616655514927854</v>
      </c>
    </row>
    <row r="113" customFormat="false" ht="12.75" hidden="false" customHeight="true" outlineLevel="0" collapsed="false">
      <c r="A113" s="5" t="n">
        <v>2021</v>
      </c>
      <c r="B113" s="0" t="n">
        <v>1.08230330894106</v>
      </c>
      <c r="C113" s="0" t="n">
        <v>1.21031936469238</v>
      </c>
      <c r="D113" s="0" t="n">
        <v>3.83410310658038</v>
      </c>
      <c r="E113" s="0" t="n">
        <v>5.94868010390226</v>
      </c>
      <c r="F113" s="0" t="n">
        <v>9.71867144794128</v>
      </c>
      <c r="G113" s="0" t="n">
        <v>2.39069402743612</v>
      </c>
      <c r="H113" s="0" t="n">
        <v>3.11236394856</v>
      </c>
      <c r="I113" s="0" t="n">
        <v>0.43452319005972</v>
      </c>
      <c r="J113" s="0" t="n">
        <v>0.457052853013409</v>
      </c>
      <c r="K113" s="0" t="n">
        <v>0.743539934202465</v>
      </c>
      <c r="L113" s="0" t="n">
        <v>0.762779196286597</v>
      </c>
      <c r="M113" s="0" t="n">
        <v>0.632153274257199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8</v>
      </c>
      <c r="B7" s="5" t="n">
        <v>234</v>
      </c>
      <c r="C7" s="5" t="n">
        <v>162000000</v>
      </c>
      <c r="D7" s="5" t="s">
        <v>8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119</v>
      </c>
      <c r="B8" s="5" t="n">
        <v>31</v>
      </c>
      <c r="C8" s="5" t="n">
        <v>859533000</v>
      </c>
      <c r="D8" s="5" t="s">
        <v>120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121</v>
      </c>
      <c r="B9" s="5" t="n">
        <v>240</v>
      </c>
      <c r="C9" s="5" t="n">
        <v>187700000</v>
      </c>
      <c r="D9" s="5" t="s">
        <v>122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123</v>
      </c>
      <c r="B10" s="5" t="n">
        <v>83</v>
      </c>
      <c r="C10" s="5" t="n">
        <v>18530000</v>
      </c>
      <c r="D10" s="5" t="s">
        <v>124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125</v>
      </c>
      <c r="B11" s="5" t="n">
        <v>47</v>
      </c>
      <c r="C11" s="5" t="n">
        <v>72552000</v>
      </c>
      <c r="D11" s="5" t="s">
        <v>126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127</v>
      </c>
      <c r="B12" s="5" t="n">
        <v>49</v>
      </c>
      <c r="C12" s="5" t="n">
        <v>96800000</v>
      </c>
      <c r="D12" s="5" t="s">
        <v>128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129</v>
      </c>
      <c r="B13" s="5" t="n">
        <v>2</v>
      </c>
      <c r="C13" s="5" t="n">
        <v>1601000000</v>
      </c>
      <c r="D13" s="5" t="s">
        <v>129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130</v>
      </c>
      <c r="B14" s="5" t="n">
        <v>163</v>
      </c>
      <c r="C14" s="5" t="n">
        <v>99560000</v>
      </c>
      <c r="D14" s="5" t="s">
        <v>131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132</v>
      </c>
      <c r="B15" s="5" t="n">
        <v>202</v>
      </c>
      <c r="C15" s="5" t="n">
        <v>1638800</v>
      </c>
      <c r="D15" s="5" t="s">
        <v>133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134</v>
      </c>
      <c r="B16" s="5" t="n">
        <v>173</v>
      </c>
      <c r="C16" s="5" t="n">
        <v>37000000</v>
      </c>
      <c r="D16" s="5" t="s">
        <v>135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136</v>
      </c>
      <c r="B17" s="5" t="n">
        <v>177</v>
      </c>
      <c r="C17" s="5" t="n">
        <v>18425000</v>
      </c>
      <c r="D17" s="5" t="s">
        <v>137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138</v>
      </c>
      <c r="B18" s="5" t="n">
        <v>64</v>
      </c>
      <c r="C18" s="5" t="n">
        <v>6000000</v>
      </c>
      <c r="D18" s="5" t="s">
        <v>139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140</v>
      </c>
      <c r="B19" s="5" t="n">
        <v>125</v>
      </c>
      <c r="C19" s="5" t="n">
        <v>8442000</v>
      </c>
      <c r="D19" s="5" t="s">
        <v>141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142</v>
      </c>
      <c r="B20" s="5" t="n">
        <v>170</v>
      </c>
      <c r="C20" s="5" t="n">
        <v>34330000</v>
      </c>
      <c r="D20" s="5" t="s">
        <v>143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144</v>
      </c>
      <c r="B21" s="5" t="n">
        <v>217</v>
      </c>
      <c r="C21" s="5" t="n">
        <v>1130000</v>
      </c>
      <c r="D21" s="5" t="s">
        <v>145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146</v>
      </c>
      <c r="B22" s="5" t="n">
        <v>74</v>
      </c>
      <c r="C22" s="5" t="n">
        <v>13110000</v>
      </c>
      <c r="D22" s="5" t="s">
        <v>147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148</v>
      </c>
      <c r="B23" s="5" t="n">
        <v>127</v>
      </c>
      <c r="C23" s="5" t="n">
        <v>69250000</v>
      </c>
      <c r="D23" s="5" t="s">
        <v>149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150</v>
      </c>
      <c r="B24" s="5" t="n">
        <v>33</v>
      </c>
      <c r="C24" s="5" t="n">
        <v>6000000</v>
      </c>
      <c r="D24" s="5" t="s">
        <v>151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152</v>
      </c>
      <c r="B25" s="5" t="n">
        <v>65</v>
      </c>
      <c r="C25" s="5" t="n">
        <v>26230000</v>
      </c>
      <c r="D25" s="5" t="s">
        <v>153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154</v>
      </c>
      <c r="B26" s="5" t="n">
        <v>236</v>
      </c>
      <c r="C26" s="5" t="n">
        <v>13480000</v>
      </c>
      <c r="D26" s="5" t="s">
        <v>155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156</v>
      </c>
      <c r="B27" s="5" t="n">
        <v>53</v>
      </c>
      <c r="C27" s="5" t="n">
        <v>46621000</v>
      </c>
      <c r="D27" s="5" t="s">
        <v>133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157</v>
      </c>
      <c r="B28" s="5" t="n">
        <v>194</v>
      </c>
      <c r="C28" s="5" t="n">
        <v>6700000000</v>
      </c>
      <c r="D28" s="5" t="s">
        <v>158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159</v>
      </c>
      <c r="B29" s="5" t="n">
        <v>97</v>
      </c>
      <c r="C29" s="5" t="n">
        <v>62310000</v>
      </c>
      <c r="D29" s="5" t="s">
        <v>160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161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131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147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141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158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124</v>
      </c>
      <c r="B53" s="5" t="n">
        <v>51</v>
      </c>
      <c r="C53" s="5" t="n">
        <v>50130000</v>
      </c>
      <c r="D53" s="5" t="s">
        <v>124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141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128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131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128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133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158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128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147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128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128</v>
      </c>
      <c r="B137" s="5" t="n">
        <v>22</v>
      </c>
      <c r="C137" s="5" t="n">
        <v>4272502</v>
      </c>
      <c r="D137" s="5" t="s">
        <v>128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153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151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141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141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133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128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141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4E-005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0.0004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0.002559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0.0064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0.016337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0.0233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0.055963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0.0609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0.16922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0.187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0.456343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0.396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0.987081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0.664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1.785365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0.938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2.872167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1.233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4.308167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1.642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6.149981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2.056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8.421251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2.493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11.159982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2.996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14.419695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3.532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18.2647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4.17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22.771172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4.834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27.939336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5.449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33.564958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5.775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34.667669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5.815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39.151669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6.263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87.281669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10.343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162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15.783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267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22.063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22.063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22.063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22.063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22.063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22.063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22.063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22.063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22.063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22.063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22.063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22.063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22.063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22.063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22.063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22.063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22.063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22.063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22.063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22.063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22.063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22.063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22.063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22.063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22.063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22.063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22.063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22.063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22.063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22.063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22.063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22.063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22.063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22.063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22.063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22.063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22.063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22.063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22.063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22.063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22.063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22.063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22.063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22.063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22.063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22.063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22.063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22.063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22.063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22.063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22.063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22.063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22.063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22.063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22.063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22.063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22.063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22.063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22.063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22.063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22.063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22.063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22.063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22.063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22.063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22.063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22.063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22.063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22.063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22.063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22.063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22.063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22.063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22.063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22.063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22.063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22.063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22.063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22.063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22.063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22.063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22.063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22.063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22.063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22.063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22.063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22.063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22.063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22.063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22.063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22.063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22.063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22.063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22.063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22.063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22.063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22.063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2026-10-03T15:53:47Z</dcterms:modified>
  <cp:revision>1</cp:revision>
  <dc:subject/>
  <dc:title/>
</cp:coreProperties>
</file>