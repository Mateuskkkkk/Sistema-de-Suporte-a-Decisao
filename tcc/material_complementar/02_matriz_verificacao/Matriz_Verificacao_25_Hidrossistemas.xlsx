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0cf84ebf6a47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_25" sheetId="1" r:id="Ra2d8159617c9416a"/>
    <x:sheet xmlns:r="http://schemas.openxmlformats.org/officeDocument/2006/relationships" name="Execucao" sheetId="2" r:id="R34a31334095a4e40"/>
    <x:sheet xmlns:r="http://schemas.openxmlformats.org/officeDocument/2006/relationships" name="Equivalencias" sheetId="3" r:id="R804b2c862f0a4d71"/>
    <x:sheet xmlns:r="http://schemas.openxmlformats.org/officeDocument/2006/relationships" name="Curvas_Mensais" sheetId="4" r:id="Rd4863f192102470f"/>
    <x:sheet xmlns:r="http://schemas.openxmlformats.org/officeDocument/2006/relationships" name="Protocolo_Teste" sheetId="5" r:id="R9ff82bc280d64fad"/>
    <x:sheet xmlns:r="http://schemas.openxmlformats.org/officeDocument/2006/relationships" name="Inconsistencias" sheetId="6" r:id="R050cfda616e24f92"/>
    <x:sheet xmlns:r="http://schemas.openxmlformats.org/officeDocument/2006/relationships" name="Dashboard" sheetId="7" r:id="R106e22032fdf4118"/>
    <x:sheet xmlns:r="http://schemas.openxmlformats.org/officeDocument/2006/relationships" name="Niveis_Meta_25" sheetId="8" r:id="Rba83ecd0b3ea4259"/>
    <x:sheet xmlns:r="http://schemas.openxmlformats.org/officeDocument/2006/relationships" name="Niveis_Meta_Racion" sheetId="9" r:id="R46d3daaa2d3c40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"/>
    <x:numFmt numFmtId="202" formatCode="0.00"/>
    <x:numFmt numFmtId="203" formatCode="0&quot;%&quot;"/>
    <x:numFmt numFmtId="204" formatCode="0.00&quot;%&quot;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name val="Carlito"/>
    </x:font>
    <x:font>
      <x:b/>
      <x:sz val="11"/>
      <x:name val="Carlito"/>
    </x:font>
    <x:font>
      <x:b/>
      <x:sz val="14"/>
      <x:name val="Carlito"/>
    </x:font>
    <x:font>
      <x:i/>
      <x:sz val="10"/>
      <x:name val="Carlito"/>
    </x:font>
    <x:font>
      <x:i/>
      <x:sz val="9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C00000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ED7D3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14" borderId="0" xfId="0" applyNumberFormat="1" applyFont="1" applyFill="1" applyBorder="1" applyAlignment="1">
      <x:alignment vertical="top" wrapText="1"/>
    </x:xf>
    <x:xf numFmtId="204" fontId="4" fillId="14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FF2CC"/>
        </x:patternFill>
      </x:fill>
    </x:dxf>
    <x:dxf>
      <x:font>
        <x:color rgb="FFC00000"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a21e233c9482b" /><Relationship Type="http://schemas.openxmlformats.org/officeDocument/2006/relationships/theme" Target="/xl/theme/theme1.xml" Id="Ra1a3b3ba10a34ec7" /><Relationship Type="http://schemas.openxmlformats.org/officeDocument/2006/relationships/sharedStrings" Target="/xl/sharedStrings.xml" Id="Rc6ccbdf59fce45c1" /><Relationship Type="http://schemas.openxmlformats.org/officeDocument/2006/relationships/worksheet" Target="/xl/worksheets/sheet1.xml" Id="Ra2d8159617c9416a" /><Relationship Type="http://schemas.openxmlformats.org/officeDocument/2006/relationships/worksheet" Target="/xl/worksheets/sheet2.xml" Id="R34a31334095a4e40" /><Relationship Type="http://schemas.openxmlformats.org/officeDocument/2006/relationships/worksheet" Target="/xl/worksheets/sheet3.xml" Id="R804b2c862f0a4d71" /><Relationship Type="http://schemas.openxmlformats.org/officeDocument/2006/relationships/worksheet" Target="/xl/worksheets/sheet4.xml" Id="Rd4863f192102470f" /><Relationship Type="http://schemas.openxmlformats.org/officeDocument/2006/relationships/worksheet" Target="/xl/worksheets/sheet5.xml" Id="R9ff82bc280d64fad" /><Relationship Type="http://schemas.openxmlformats.org/officeDocument/2006/relationships/worksheet" Target="/xl/worksheets/sheet6.xml" Id="R050cfda616e24f92" /><Relationship Type="http://schemas.openxmlformats.org/officeDocument/2006/relationships/worksheet" Target="/xl/worksheets/sheet7.xml" Id="R106e22032fdf4118" /><Relationship Type="http://schemas.openxmlformats.org/officeDocument/2006/relationships/worksheet" Target="/xl/worksheets/sheet8.xml" Id="Rba83ecd0b3ea4259" /><Relationship Type="http://schemas.openxmlformats.org/officeDocument/2006/relationships/worksheet" Target="/xl/worksheets/sheet9.xml" Id="R46d3daaa2d3c40eb" /></Relationships>
</file>

<file path=xl/tables/table1.xml><?xml version="1.0" encoding="utf-8"?>
<x:table xmlns:x="http://schemas.openxmlformats.org/spreadsheetml/2006/main" id="1" name="Resumo25Table" displayName="Resumo25Table" ref="A1:Q26" headerRowCount="1" totalsRowCount="0" totalsRowShown="0">
  <x:tableColumns count="17">
    <x:tableColumn id="1" name="Nº"/>
    <x:tableColumn id="2" name="Hidrossistema"/>
    <x:tableColumn id="3" name="Capacidade PGPS (hm³)"/>
    <x:tableColumn id="4" name="Observação da capacidade"/>
    <x:tableColumn id="5" name="Cenário/Regra escolhida"/>
    <x:tableColumn id="6" name="Q normal (L/s)"/>
    <x:tableColumn id="7" name="Permanência (N/A/S/SS)"/>
    <x:tableColumn id="8" name="Racionamento / vazões por estado"/>
    <x:tableColumn id="9" name="Níveis meta de referência"/>
    <x:tableColumn id="10" name="Benchmark histórico do PGPS"/>
    <x:tableColumn id="11" name="Compatibilidade com simulador atual"/>
    <x:tableColumn id="12" name="Status da fonte"/>
    <x:tableColumn id="13" name="O que executar no simulador"/>
    <x:tableColumn id="14" name="O que comparar"/>
    <x:tableColumn id="15" name="Pendências / inconsistências"/>
    <x:tableColumn id="16" name="Arquivo-fonte"/>
    <x:tableColumn id="17" name="Páginas-cha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cucaoTable" displayName="ExecucaoTable" ref="A1:K26" headerRowCount="1" totalsRowCount="0" totalsRowShown="0">
  <x:tableColumns count="11">
    <x:tableColumn id="1" name="Nº"/>
    <x:tableColumn id="2" name="Hidrossistema"/>
    <x:tableColumn id="3" name="Modo"/>
    <x:tableColumn id="4" name="Tela"/>
    <x:tableColumn id="5" name="Cenário hidrológico"/>
    <x:tableColumn id="6" name="Período recomendado"/>
    <x:tableColumn id="7" name="Demanda base (m³/s)"/>
    <x:tableColumn id="8" name="Curvas/Regras"/>
    <x:tableColumn id="9" name="Configuração especial"/>
    <x:tableColumn id="10" name="Saída que deve ser exportada"/>
    <x:tableColumn id="11" name="Critério princip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quivalenciasTable" displayName="EquivalenciasTable" ref="A1:I11" headerRowCount="1" totalsRowCount="0" totalsRowShown="0">
  <x:tableColumns count="9">
    <x:tableColumn id="1" name="Hidrossistema"/>
    <x:tableColumn id="2" name="Q Normal (L/s)"/>
    <x:tableColumn id="3" name="Q Alerta (L/s)"/>
    <x:tableColumn id="4" name="Q Seca (L/s)"/>
    <x:tableColumn id="5" name="Q Seca Severa (L/s)"/>
    <x:tableColumn id="6" name="Rac. eq. Alerta (%)"/>
    <x:tableColumn id="7" name="Rac. eq. Seca (%)"/>
    <x:tableColumn id="8" name="Rac. eq. Severa (%)"/>
    <x:tableColumn id="9" name="Origem / méto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rvasMensaisTable" displayName="CurvasMensaisTable" ref="A1:P13" headerRowCount="1" totalsRowCount="0" totalsRowShown="0">
  <x:tableColumns count="16">
    <x:tableColumn id="1" name="Hidrossistema"/>
    <x:tableColumn id="2" name="Curva"/>
    <x:tableColumn id="3" name="Cenário"/>
    <x:tableColumn id="4" name="JAN"/>
    <x:tableColumn id="5" name="FEV"/>
    <x:tableColumn id="6" name="MAR"/>
    <x:tableColumn id="7" name="ABR"/>
    <x:tableColumn id="8" name="MAI"/>
    <x:tableColumn id="9" name="JUN"/>
    <x:tableColumn id="10" name="JUL"/>
    <x:tableColumn id="11" name="AGO"/>
    <x:tableColumn id="12" name="SET"/>
    <x:tableColumn id="13" name="OUT"/>
    <x:tableColumn id="14" name="NOV"/>
    <x:tableColumn id="15" name="DEZ"/>
    <x:tableColumn id="16" name="Fo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tocoloTable" displayName="ProtocoloTable" ref="A1:F11" headerRowCount="1" totalsRowCount="0" totalsRowShown="0">
  <x:tableColumns count="6">
    <x:tableColumn id="1" name="ID"/>
    <x:tableColumn id="2" name="Etapa"/>
    <x:tableColumn id="3" name="Aplica-se a"/>
    <x:tableColumn id="4" name="Procedimento"/>
    <x:tableColumn id="5" name="Evidência a guardar"/>
    <x:tableColumn id="6" name="Critério de aceitaçã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consistenciasTable" displayName="InconsistenciasTable" ref="A1:D18" headerRowCount="1" totalsRowCount="0" totalsRowShown="0">
  <x:tableColumns count="4">
    <x:tableColumn id="1" name="Hidrossistema"/>
    <x:tableColumn id="2" name="Tipo"/>
    <x:tableColumn id="3" name="Inconsistência encontrada no PGPS"/>
    <x:tableColumn id="4" name="Tratamento recomend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NiveisMeta25Table" displayName="NiveisMeta25Table" ref="A1:U76" headerRowCount="1" totalsRowCount="0" totalsRowShown="0">
  <x:tableColumns count="21">
    <x:tableColumn id="1" name="Nº"/>
    <x:tableColumn id="2" name="Hidrossistema"/>
    <x:tableColumn id="3" name="Cenário/Regra escolhida"/>
    <x:tableColumn id="4" name="Q normal (L/s)"/>
    <x:tableColumn id="5" name="Curva"/>
    <x:tableColumn id="6" name="Significado"/>
    <x:tableColumn id="7" name="JAN"/>
    <x:tableColumn id="8" name="FEV"/>
    <x:tableColumn id="9" name="MAR"/>
    <x:tableColumn id="10" name="ABR"/>
    <x:tableColumn id="11" name="MAI"/>
    <x:tableColumn id="12" name="JUN"/>
    <x:tableColumn id="13" name="JUL"/>
    <x:tableColumn id="14" name="AGO"/>
    <x:tableColumn id="15" name="SET"/>
    <x:tableColumn id="16" name="OUT"/>
    <x:tableColumn id="17" name="NOV"/>
    <x:tableColumn id="18" name="DEZ"/>
    <x:tableColumn id="19" name="Página do PGPS"/>
    <x:tableColumn id="20" name="Observação"/>
    <x:tableColumn id="21" name="Arquivo-fo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ed21288e842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20de79334844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1379f37b124a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4abf6dfc5754a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0b069f0ce743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d3546b0bd5345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559768a84de41de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6" hidden="0" customWidth="1"/>
    <x:col min="3" max="3" width="15" hidden="0" customWidth="1"/>
    <x:col min="4" max="4" width="34" hidden="0" customWidth="1"/>
    <x:col min="5" max="5" width="23" hidden="0" customWidth="1"/>
    <x:col min="6" max="6" width="12" hidden="0" customWidth="1"/>
    <x:col min="7" max="7" width="22" hidden="0" customWidth="1"/>
    <x:col min="8" max="8" width="42" hidden="0" customWidth="1"/>
    <x:col min="9" max="9" width="39" hidden="0" customWidth="1"/>
    <x:col min="10" max="10" width="42" hidden="0" customWidth="1"/>
    <x:col min="11" max="11" width="30" hidden="0" customWidth="1"/>
    <x:col min="12" max="12" width="28" hidden="0" customWidth="1"/>
    <x:col min="13" max="13" width="55" hidden="0" customWidth="1"/>
    <x:col min="14" max="14" width="42" hidden="0" customWidth="1"/>
    <x:col min="15" max="15" width="55" hidden="0" customWidth="1"/>
    <x:col min="16" max="16" width="52" hidden="0" customWidth="1"/>
    <x:col min="17" max="17" width="18" hidden="0" customWidth="1"/>
  </x:cols>
  <x:sheetData>
    <x:row r="1" ht="36" customHeight="1">
      <x:c r="A1" s="6" t="str">
        <x:v>Nº</x:v>
      </x:c>
      <x:c r="B1" s="6" t="str">
        <x:v>Hidrossistema</x:v>
      </x:c>
      <x:c r="C1" s="6" t="str">
        <x:v>Capacidade PGPS (hm³)</x:v>
      </x:c>
      <x:c r="D1" s="6" t="str">
        <x:v>Observação da capacidade</x:v>
      </x:c>
      <x:c r="E1" s="6" t="str">
        <x:v>Cenário/Regra escolhida</x:v>
      </x:c>
      <x:c r="F1" s="6" t="str">
        <x:v>Q normal (L/s)</x:v>
      </x:c>
      <x:c r="G1" s="6" t="str">
        <x:v>Permanência (N/A/S/SS)</x:v>
      </x:c>
      <x:c r="H1" s="6" t="str">
        <x:v>Racionamento / vazões por estado</x:v>
      </x:c>
      <x:c r="I1" s="6" t="str">
        <x:v>Níveis meta de referência</x:v>
      </x:c>
      <x:c r="J1" s="6" t="str">
        <x:v>Benchmark histórico do PGPS</x:v>
      </x:c>
      <x:c r="K1" s="6" t="str">
        <x:v>Compatibilidade com simulador atual</x:v>
      </x:c>
      <x:c r="L1" s="6" t="str">
        <x:v>Status da fonte</x:v>
      </x:c>
      <x:c r="M1" s="6" t="str">
        <x:v>O que executar no simulador</x:v>
      </x:c>
      <x:c r="N1" s="6" t="str">
        <x:v>O que comparar</x:v>
      </x:c>
      <x:c r="O1" s="6" t="str">
        <x:v>Pendências / inconsistências</x:v>
      </x:c>
      <x:c r="P1" s="6" t="str">
        <x:v>Arquivo-fonte</x:v>
      </x:c>
      <x:c r="Q1" s="6" t="str">
        <x:v>Páginas-chave</x:v>
      </x:c>
    </x:row>
    <x:row r="2">
      <x:c r="A2" s="14" t="n">
        <x:v>1</x:v>
      </x:c>
      <x:c r="B2" s="14" t="str">
        <x:v>Acarape do Meio</x:v>
      </x:c>
      <x:c r="C2" s="16" t="n">
        <x:v>29.6</x:v>
      </x:c>
      <x:c r="D2" s="14" t="str">
        <x:v>Capacidade indicada no PGPS.</x:v>
      </x:c>
      <x:c r="E2" s="14" t="str">
        <x:v>Cenário operacional aprovado</x:v>
      </x:c>
      <x:c r="F2" s="18" t="n">
        <x:v>748</x:v>
      </x:c>
      <x:c r="G2" s="14" t="str">
        <x:v>85 / 5 / 4 / 6</x:v>
      </x:c>
      <x:c r="H2" s="14" t="str">
        <x:v>Demanda total: 0 / 45 / 50 / 52%</x:v>
      </x:c>
      <x:c r="I2" s="14" t="str">
        <x:v>Curvas do cenário aprovado; transcrever limites mensais da figura para os testes de fronteira.</x:v>
      </x:c>
      <x:c r="J2" s="14" t="str">
        <x:v>Simulação histórica apresentada; conferir período/contagens na figura.</x:v>
      </x:c>
      <x:c r="K2" s="14" t="str">
        <x:v>Rede externa/parcial</x:v>
      </x:c>
      <x:c r="L2" s="14" t="str">
        <x:v>Utilizável com ressalva</x:v>
      </x:c>
      <x:c r="M2" s="14" t="str">
        <x:v>Individual para o Acarape; demanda-base conforme a figura aprovada = 0,748 m³/s; níveis meta completos na aba Niveis_Meta_25. Tratar apoio do Gavião separadamente.</x:v>
      </x:c>
      <x:c r="N2" s="14" t="str">
        <x:v>Curvas, estado mensal, racionamento equivalente, balanço e limites físicos.</x:v>
      </x:c>
      <x:c r="O2" s="14" t="str">
        <x:v>O PGPS considera apoio externo do Gavião em situações de escassez; a rede completa não é representada por uma simulação individual simples.</x:v>
      </x:c>
      <x:c r="P2" s="14" t="str">
        <x:v>PLANO DE GESTÃO PROATIVA DE SECAS - HIDROSSISTEMA ACARAPE DO MEIO.pdf</x:v>
      </x:c>
      <x:c r="Q2" s="14" t="str">
        <x:v>49–54</x:v>
      </x:c>
    </x:row>
    <x:row r="3">
      <x:c r="A3" s="14" t="n">
        <x:v>2</x:v>
      </x:c>
      <x:c r="B3" s="14" t="str">
        <x:v>Angicos</x:v>
      </x:c>
      <x:c r="C3" s="16" t="n">
        <x:v>49.05</x:v>
      </x:c>
      <x:c r="D3" s="14" t="str">
        <x:v>Capacidade atual indicada no PGPS.</x:v>
      </x:c>
      <x:c r="E3" s="14" t="str">
        <x:v>Cenário reduzido para 300 L/s</x:v>
      </x:c>
      <x:c r="F3" s="18" t="n">
        <x:v>300</x:v>
      </x:c>
      <x:c r="G3" s="14" t="str">
        <x:v>90 / 5 / 3 / 2</x:v>
      </x:c>
      <x:c r="H3" s="14" t="str">
        <x:v>Tipo I: 0/20/50/100%; Tipo II: 0/50/100/100%. Cenário final possui vazões totais por estado.</x:v>
      </x:c>
      <x:c r="I3" s="14" t="str">
        <x:v>Usar níveis meta do cenário escolhido (figura do PGPS).</x:v>
      </x:c>
      <x:c r="J3" s="14" t="str">
        <x:v>Comparação histórica possível após transcrição das curvas mensais.</x:v>
      </x:c>
      <x:c r="K3" s="14" t="str">
        <x:v>Equivalência agregada</x:v>
      </x:c>
      <x:c r="L3" s="14" t="str">
        <x:v>Utilizável</x:v>
      </x:c>
      <x:c r="M3" s="14" t="str">
        <x:v>Individual; 0,300 m³/s. Para volume/estado usar vazões totais equivalentes 300 / 108 / 30 / 0 L/s.</x:v>
      </x:c>
      <x:c r="N3" s="14" t="str">
        <x:v>Curvas, vazão total atendida por estado, estado mensal, balanço e limites físicos.</x:v>
      </x:c>
      <x:c r="O3" s="14" t="str">
        <x:v>O PGPS separa Demanda Tipo I e II; o simulador atual aplica um único percentual à demanda total. A alocação por classe não é reproduzida diretamente.</x:v>
      </x:c>
      <x:c r="P3" s="14" t="str">
        <x:v>PLANO DE GESTÃO PROATIVA DE SECAS - HIDROSSISTEMA ANGICOS.pdf</x:v>
      </x:c>
      <x:c r="Q3" s="14" t="str">
        <x:v>52–55</x:v>
      </x:c>
    </x:row>
    <x:row r="4">
      <x:c r="A4" s="14" t="n">
        <x:v>3</x:v>
      </x:c>
      <x:c r="B4" s="14" t="str">
        <x:v>Arneiroz II</x:v>
      </x:c>
      <x:c r="C4" s="16" t="n">
        <x:v>178.13</x:v>
      </x:c>
      <x:c r="D4" s="14" t="str">
        <x:v>Capacidade atualizada; o PGPS também cita capacidades históricas anteriores.</x:v>
      </x:c>
      <x:c r="E4" s="14" t="str">
        <x:v>Regra 1</x:v>
      </x:c>
      <x:c r="F4" s="18" t="n">
        <x:v>700</x:v>
      </x:c>
      <x:c r="G4" s="14" t="str">
        <x:v>85 / 5 / 5 / 5</x:v>
      </x:c>
      <x:c r="H4" s="14" t="str">
        <x:v>Normal 0%; Alerta 27%; Seca 68%; Seca Severa com valores conflitantes no documento.</x:v>
      </x:c>
      <x:c r="I4" s="14" t="str">
        <x:v>JUL: 44 / 36 / 22%</x:v>
      </x:c>
      <x:c r="J4" s="14" t="str">
        <x:v>1332 meses; texto informa 1132 / 68 / 66 / 66 meses por estado.</x:v>
      </x:c>
      <x:c r="K4" s="14" t="str">
        <x:v>Direto com ressalva documental</x:v>
      </x:c>
      <x:c r="L4" s="14" t="str">
        <x:v>Inconsistência a resolver</x:v>
      </x:c>
      <x:c r="M4" s="14" t="str">
        <x:v>Não fechar o benchmark definitivo antes de decidir qual racionamento de Seca Severa é a referência oficial. Demais estados podem ser testados normalmente.</x:v>
      </x:c>
      <x:c r="N4" s="14" t="str">
        <x:v>Curvas, fronteiras, permanências, balanço e limites físicos.</x:v>
      </x:c>
      <x:c r="O4" s="14" t="str">
        <x:v>Trecho escolhido registra 20% em Seca Severa, enquanto partes anteriores indicam 75%/80%. Há menção a 2011–2021 apesar de 1332 meses corresponderem a 1911–2021.</x:v>
      </x:c>
      <x:c r="P4" s="14" t="str">
        <x:v>PLANO DE GESTÃO PROATIVA DE SECAS - HIDROSSISTEMA ARNEIROZ II.pdf</x:v>
      </x:c>
      <x:c r="Q4" s="14" t="str">
        <x:v>54–59</x:v>
      </x:c>
    </x:row>
    <x:row r="5">
      <x:c r="A5" s="14" t="n">
        <x:v>4</x:v>
      </x:c>
      <x:c r="B5" s="14" t="str">
        <x:v>Catucinzenta / Lagoa do Catu</x:v>
      </x:c>
      <x:c r="C5" s="16"/>
      <x:c r="D5" s="14" t="str">
        <x:v>Divergência entre valores descritivos e o valor implícito nos percentuais/volumes do cenário; conferir capacidade usada na simulação oficial.</x:v>
      </x:c>
      <x:c r="E5" s="14" t="str">
        <x:v>Possibilidade 1</x:v>
      </x:c>
      <x:c r="F5" s="18" t="n">
        <x:v>87</x:v>
      </x:c>
      <x:c r="G5" s="14" t="str">
        <x:v>Alvo 90 / 5 / 3 / 2; escolhido obtém 90 / 5 / 2 / 3</x:v>
      </x:c>
      <x:c r="H5" s="14" t="str">
        <x:v>Regra 1 nominal: 0 / 20 / 30 / 40%; vazões escolhidas: 87 / 68 / 59 / 51 L/s.</x:v>
      </x:c>
      <x:c r="I5" s="14" t="str">
        <x:v>JUL: 26 / 18 / 14%</x:v>
      </x:c>
      <x:c r="J5" s="14" t="str">
        <x:v>1911–2021; 1332 meses indicados no PGPS.</x:v>
      </x:c>
      <x:c r="K5" s="14" t="str">
        <x:v>Direto no reservatório / rede parcial</x:v>
      </x:c>
      <x:c r="L5" s="14" t="str">
        <x:v>Capacidade a conferir</x:v>
      </x:c>
      <x:c r="M5" s="14" t="str">
        <x:v>Simular Catucinzenta como Individual; 0,087 m³/s; curvas da Possibilidade 1; comparar permanência obtida 90/5/2/3.</x:v>
      </x:c>
      <x:c r="N5" s="14" t="str">
        <x:v>Curvas, vazões totais por estado, permanências e balanço.</x:v>
      </x:c>
      <x:c r="O5" s="14" t="str">
        <x:v>O hidrossistema inclui Lagoa do Catu, mas a curva escolhida é apresentada para Catucinzenta. Conferir capacidade e se a interação entre fontes precisa ser representada.</x:v>
      </x:c>
      <x:c r="P5" s="14" t="str">
        <x:v>PLANO DE GESTÃO PROATIVA DE SECAS - HIDROSSISTEMA CATUCINZENTA LAGOA DO CATU (1).pdf</x:v>
      </x:c>
      <x:c r="Q5" s="14" t="str">
        <x:v>58–60</x:v>
      </x:c>
    </x:row>
    <x:row r="6">
      <x:c r="A6" s="14" t="n">
        <x:v>5</x:v>
      </x:c>
      <x:c r="B6" s="14" t="str">
        <x:v>Pedras Brancas</x:v>
      </x:c>
      <x:c r="C6" s="16" t="n">
        <x:v>456</x:v>
      </x:c>
      <x:c r="D6" s="14" t="str">
        <x:v>O PGPS menciona capacidade de projeto de 434 hm³ e cenário compatível com cerca de 456 hm³; conferir versão usada.</x:v>
      </x:c>
      <x:c r="E6" s="14" t="str">
        <x:v>Cenário A</x:v>
      </x:c>
      <x:c r="F6" s="18" t="n">
        <x:v>415</x:v>
      </x:c>
      <x:c r="G6" s="14" t="str">
        <x:v>85 / 8 / 5 / 2</x:v>
      </x:c>
      <x:c r="H6" s="14" t="str">
        <x:v>Tipo I: 0/0/0/9%; Tipo II: 0/47/74/100%.</x:v>
      </x:c>
      <x:c r="I6" s="14" t="str">
        <x:v>JUL: VM1 ≈ 22%; demais limites na figura do cenário escolhido.</x:v>
      </x:c>
      <x:c r="J6" s="14" t="str">
        <x:v>PGPS declara 1284 meses; contagens 1088/91/55/47 somam 1281.</x:v>
      </x:c>
      <x:c r="K6" s="14" t="str">
        <x:v>Equivalência agregada</x:v>
      </x:c>
      <x:c r="L6" s="14" t="str">
        <x:v>Inconsistência a resolver</x:v>
      </x:c>
      <x:c r="M6" s="14" t="str">
        <x:v>Individual; 0,415 m³/s. Para volume/estado usar vazões totais 415 / 297,5 / 230 / 150,15 L/s.</x:v>
      </x:c>
      <x:c r="N6" s="14" t="str">
        <x:v>Curvas, vazão total atendida, permanências, balanço e limites físicos.</x:v>
      </x:c>
      <x:c r="O6" s="14" t="str">
        <x:v>Capacidade aparece em versões diferentes. As contagens históricas publicadas não fecham com o total declarado.</x:v>
      </x:c>
      <x:c r="P6" s="14" t="str">
        <x:v>PLANO DE GESTÃO PROATIVA DE SECAS - HIDROSSISTEMA PEDRAS BRANCAS.pdf</x:v>
      </x:c>
      <x:c r="Q6" s="14" t="str">
        <x:v>87–90</x:v>
      </x:c>
    </x:row>
    <x:row r="7">
      <x:c r="A7" s="14" t="n">
        <x:v>6</x:v>
      </x:c>
      <x:c r="B7" s="14" t="str">
        <x:v>Riacho do Sangue</x:v>
      </x:c>
      <x:c r="C7" s="16" t="n">
        <x:v>65.204</x:v>
      </x:c>
      <x:c r="D7" s="14" t="str">
        <x:v>Capacidade indicada no PGPS.</x:v>
      </x:c>
      <x:c r="E7" s="14" t="str">
        <x:v>Cenário 2</x:v>
      </x:c>
      <x:c r="F7" s="18" t="n">
        <x:v>320</x:v>
      </x:c>
      <x:c r="G7" s="14" t="str">
        <x:v>Não consolidada inequivocamente no trecho extraído</x:v>
      </x:c>
      <x:c r="H7" s="14" t="str">
        <x:v>Tipo II: 0 / 20 / 100 / 100%; demanda prioritária preservada conforme a regra do plano.</x:v>
      </x:c>
      <x:c r="I7" s="14" t="str">
        <x:v>JUL: 33 / 28 / 25%</x:v>
      </x:c>
      <x:c r="J7" s="14" t="str">
        <x:v>Figura histórica 1911–2021; contagens por estado não consolidadas no trecho extraído.</x:v>
      </x:c>
      <x:c r="K7" s="14" t="str">
        <x:v>Equivalência agregada / referência incompleta</x:v>
      </x:c>
      <x:c r="L7" s="14" t="str">
        <x:v>Requer extração complementar</x:v>
      </x:c>
      <x:c r="M7" s="14" t="str">
        <x:v>Extrair totais de Demanda Tipo I/II para converter a regra em vazões totais por estado; depois simular Individual com 0,320 m³/s.</x:v>
      </x:c>
      <x:c r="N7" s="14" t="str">
        <x:v>Curvas e classificação de estados já podem ser testadas; vazões por estado dependem dos totais de demanda.</x:v>
      </x:c>
      <x:c r="O7" s="14" t="str">
        <x:v>O plano informa que o cenário escolhido ainda exige ajuste operacional para o valor de 320 L/s.</x:v>
      </x:c>
      <x:c r="P7" s="14" t="str">
        <x:v>PLANO DE GESTÃO PROATIVA DE SECAS - HIDROSSISTEMA RIACHO DO SANGUE.pdf</x:v>
      </x:c>
      <x:c r="Q7" s="14" t="str">
        <x:v>51–53</x:v>
      </x:c>
    </x:row>
    <x:row r="8">
      <x:c r="A8" s="14" t="n">
        <x:v>7</x:v>
      </x:c>
      <x:c r="B8" s="14" t="str">
        <x:v>Trussu</x:v>
      </x:c>
      <x:c r="C8" s="16" t="n">
        <x:v>255.27</x:v>
      </x:c>
      <x:c r="D8" s="14" t="str">
        <x:v>Capacidade atualizada; valor anterior também é citado no PGPS.</x:v>
      </x:c>
      <x:c r="E8" s="14" t="str">
        <x:v>Cenário A</x:v>
      </x:c>
      <x:c r="F8" s="18" t="n">
        <x:v>500</x:v>
      </x:c>
      <x:c r="G8" s="14" t="str">
        <x:v>90 / 5 / 3 / 2</x:v>
      </x:c>
      <x:c r="H8" s="14" t="str">
        <x:v>Tipo I: 0/0/0/50%; Tipo II: 0/50/100/100%. Vazões totais 500/350/200/100 L/s.</x:v>
      </x:c>
      <x:c r="I8" s="14" t="str">
        <x:v>JUL: 60 / 51 / 48%</x:v>
      </x:c>
      <x:c r="J8" s="14" t="str">
        <x:v>1911–2021, 1332 meses: 1199 / 66 / 40 / 27.</x:v>
      </x:c>
      <x:c r="K8" s="14" t="str">
        <x:v>Equivalência agregada</x:v>
      </x:c>
      <x:c r="L8" s="14" t="str">
        <x:v>Utilizável</x:v>
      </x:c>
      <x:c r="M8" s="14" t="str">
        <x:v>Individual; 0,500 m³/s; equivalência agregada 500 / 350 / 200 / 100 L/s; curvas do Cenário A.</x:v>
      </x:c>
      <x:c r="N8" s="14" t="str">
        <x:v>Curvas, estado mensal, permanências históricas, vazões totais e balanço.</x:v>
      </x:c>
      <x:c r="O8" s="14" t="str">
        <x:v>O PGPS também discute padrão operacional alternativo com vazões sazonais; separar esse caso do benchmark das curvas.</x:v>
      </x:c>
      <x:c r="P8" s="14" t="str">
        <x:v>PLANO DE GESTÃO PROATIVA DE SECAS - HIDROSSISTEMA TRUSSU.pdf</x:v>
      </x:c>
      <x:c r="Q8" s="14" t="str">
        <x:v>74–77</x:v>
      </x:c>
    </x:row>
    <x:row r="9">
      <x:c r="A9" s="14" t="n">
        <x:v>8</x:v>
      </x:c>
      <x:c r="B9" s="14" t="str">
        <x:v>Ubaldinho</x:v>
      </x:c>
      <x:c r="C9" s="16" t="n">
        <x:v>42.14</x:v>
      </x:c>
      <x:c r="D9" s="14" t="str">
        <x:v>Capacidade indicada no PGPS.</x:v>
      </x:c>
      <x:c r="E9" s="14" t="str">
        <x:v>Cenário 1</x:v>
      </x:c>
      <x:c r="F9" s="18" t="n">
        <x:v>150</x:v>
      </x:c>
      <x:c r="G9" s="14" t="str">
        <x:v>80 / 10 / 9 / 1</x:v>
      </x:c>
      <x:c r="H9" s="14" t="str">
        <x:v>Tipo I: 0/0/5/10%; Tipo II: 0/50/80/100%.</x:v>
      </x:c>
      <x:c r="I9" s="14" t="str">
        <x:v>JUL: 56 / 37 / 22%; curvas mensais completas na aba Curvas_Mensais.</x:v>
      </x:c>
      <x:c r="J9" s="14" t="str">
        <x:v>Simulação histórica apresentada; operação adotada é sazonal.</x:v>
      </x:c>
      <x:c r="K9" s="14" t="str">
        <x:v>Parcial sazonal</x:v>
      </x:c>
      <x:c r="L9" s="14" t="str">
        <x:v>Utilizável com limitação do modelo</x:v>
      </x:c>
      <x:c r="M9" s="14" t="str">
        <x:v>Curvas/estados podem ser testados. Para repetir operação oficial, é necessária demanda mensal (≈40 L/s fev–jun e ≈250 L/s jul–jan; média ≈150 L/s).</x:v>
      </x:c>
      <x:c r="N9" s="14" t="str">
        <x:v>Curvas e fronteiras agora; armazenamento histórico exato exige demanda mensal.</x:v>
      </x:c>
      <x:c r="O9" s="14" t="str">
        <x:v>Demanda constante de 0,150 m³/s é apenas aproximação e não reproduz pulsos/sazonalidade.</x:v>
      </x:c>
      <x:c r="P9" s="14" t="str">
        <x:v>PLANO DE GESTÃO PROATIVA DE SECAS - HIDROSSISTEMA UBALDINHO.pdf</x:v>
      </x:c>
      <x:c r="Q9" s="14" t="str">
        <x:v>72–76</x:v>
      </x:c>
    </x:row>
    <x:row r="10">
      <x:c r="A10" s="14" t="n">
        <x:v>9</x:v>
      </x:c>
      <x:c r="B10" s="14" t="str">
        <x:v>Aracoiaba</x:v>
      </x:c>
      <x:c r="C10" s="16" t="n">
        <x:v>162</x:v>
      </x:c>
      <x:c r="D10" s="14" t="str">
        <x:v>Há outro valor de capacidade citado no material; conferir versão adotada no banco/PGPS.</x:v>
      </x:c>
      <x:c r="E10" s="14" t="str">
        <x:v>Cenário 2</x:v>
      </x:c>
      <x:c r="F10" s="18" t="n">
        <x:v>432</x:v>
      </x:c>
      <x:c r="G10" s="14" t="str">
        <x:v>90 / 5 / 3 / 2</x:v>
      </x:c>
      <x:c r="H10" s="14" t="str">
        <x:v>Vazões totais: 432 / 387 / 358 / 259 L/s.</x:v>
      </x:c>
      <x:c r="I10" s="14" t="str">
        <x:v>Usar curvas mensais do Cenário 2.</x:v>
      </x:c>
      <x:c r="J10" s="14" t="str">
        <x:v>1911–2021 em figura histórica; sem contagem textual consolidada nesta extração.</x:v>
      </x:c>
      <x:c r="K10" s="14" t="str">
        <x:v>Equivalência agregada</x:v>
      </x:c>
      <x:c r="L10" s="14" t="str">
        <x:v>Utilizável com conferência de capacidade</x:v>
      </x:c>
      <x:c r="M10" s="14" t="str">
        <x:v>Individual; 0,432 m³/s; usar equivalência total 432 / 387 / 358 / 259 L/s.</x:v>
      </x:c>
      <x:c r="N10" s="14" t="str">
        <x:v>Curvas, estado mensal, vazões totais e balanço.</x:v>
      </x:c>
      <x:c r="O10" s="14" t="str">
        <x:v>Distribuição setorial das restrições não é reproduzida pelo simulador atual; comparar total atendido.</x:v>
      </x:c>
      <x:c r="P10" s="14" t="str">
        <x:v>Plano de Gestão Proativa de Secas - Hidrossistema Aracoiaba.pdf</x:v>
      </x:c>
      <x:c r="Q10" s="14" t="str">
        <x:v>69</x:v>
      </x:c>
    </x:row>
    <x:row r="11">
      <x:c r="A11" s="14" t="n">
        <x:v>10</x:v>
      </x:c>
      <x:c r="B11" s="14" t="str">
        <x:v>Batente</x:v>
      </x:c>
      <x:c r="C11" s="16" t="n">
        <x:v>45.43</x:v>
      </x:c>
      <x:c r="D11" s="14" t="str">
        <x:v>Capacidade indicada no PGPS.</x:v>
      </x:c>
      <x:c r="E11" s="14" t="str">
        <x:v>Possibilidade 1 / Cenário 1</x:v>
      </x:c>
      <x:c r="F11" s="18" t="n">
        <x:v>170</x:v>
      </x:c>
      <x:c r="G11" s="14" t="str">
        <x:v>90 / 5 / 3 / 2</x:v>
      </x:c>
      <x:c r="H11" s="14" t="str">
        <x:v>Irrigação: 0/30/60/100%; prioritárias preservadas. Vazões totais: 170/133/95/44 L/s.</x:v>
      </x:c>
      <x:c r="I11" s="14" t="str">
        <x:v>JUL: 54 / 46 / 32%</x:v>
      </x:c>
      <x:c r="J11" s="14" t="str">
        <x:v>1911–2021 em figura; sem contagens textuais consolidadas.</x:v>
      </x:c>
      <x:c r="K11" s="14" t="str">
        <x:v>Equivalência agregada</x:v>
      </x:c>
      <x:c r="L11" s="14" t="str">
        <x:v>Utilizável com ressalva editorial</x:v>
      </x:c>
      <x:c r="M11" s="14" t="str">
        <x:v>Individual; 0,170 m³/s; usar vazões totais 170/133/95/44 L/s.</x:v>
      </x:c>
      <x:c r="N11" s="14" t="str">
        <x:v>Curvas, vazão total por estado, balanço e permanências quando extraídas.</x:v>
      </x:c>
      <x:c r="O11" s="14" t="str">
        <x:v>Há legendas/cópias editoriais que citam 'Castro' e um valor de 150 L/s incompatível com a decisão textual de 170 L/s.</x:v>
      </x:c>
      <x:c r="P11" s="14" t="str">
        <x:v>Plano de Gestão Proativa de Secas - Hidrossistema Batente.pdf</x:v>
      </x:c>
      <x:c r="Q11" s="14" t="str">
        <x:v>56–62</x:v>
      </x:c>
    </x:row>
    <x:row r="12">
      <x:c r="A12" s="14" t="n">
        <x:v>11</x:v>
      </x:c>
      <x:c r="B12" s="14" t="str">
        <x:v>Benguê</x:v>
      </x:c>
      <x:c r="C12" s="16" t="n">
        <x:v>22.293891</x:v>
      </x:c>
      <x:c r="D12" s="14" t="str">
        <x:v>Capacidade após batimetria de 2024.</x:v>
      </x:c>
      <x:c r="E12" s="14" t="str">
        <x:v>Regra 2</x:v>
      </x:c>
      <x:c r="F12" s="18" t="n">
        <x:v>75</x:v>
      </x:c>
      <x:c r="G12" s="14" t="str">
        <x:v>Documento conflita entre 85/8/5/2 e 85/5/5/5</x:v>
      </x:c>
      <x:c r="H12" s="14" t="str">
        <x:v>0 / 0 / 34 / 68% no trecho de representação escolhida.</x:v>
      </x:c>
      <x:c r="I12" s="14" t="str">
        <x:v>JUL: 67 / 49 / 33%</x:v>
      </x:c>
      <x:c r="J12" s="14" t="str">
        <x:v>Texto: 1911–2021 e 1332 meses; contagens 1040/68/66/67 somam 1241.</x:v>
      </x:c>
      <x:c r="K12" s="14" t="str">
        <x:v>Direto com ressalva documental</x:v>
      </x:c>
      <x:c r="L12" s="14" t="str">
        <x:v>Inconsistência a resolver</x:v>
      </x:c>
      <x:c r="M12" s="14" t="str">
        <x:v>Testar fronteiras e regras; não usar as contagens históricas como benchmark definitivo. Registrar também Q=75 versus tabela de retirada normal=73 L/s.</x:v>
      </x:c>
      <x:c r="N12" s="14" t="str">
        <x:v>Curvas e lógica de racionamento; benchmark histórico precisa revisão.</x:v>
      </x:c>
      <x:c r="O12" s="14" t="str">
        <x:v>Conflitos em permanências, total de meses e vazão normal (73 vs 75 L/s).</x:v>
      </x:c>
      <x:c r="P12" s="14" t="str">
        <x:v>Plano de Gestão Proativa de Secas - Hidrossistema Benguê.pdf</x:v>
      </x:c>
      <x:c r="Q12" s="14" t="str">
        <x:v>55–60</x:v>
      </x:c>
    </x:row>
    <x:row r="13">
      <x:c r="A13" s="14" t="n">
        <x:v>12</x:v>
      </x:c>
      <x:c r="B13" s="14" t="str">
        <x:v>Cachoeira</x:v>
      </x:c>
      <x:c r="C13" s="16" t="n">
        <x:v>34.33</x:v>
      </x:c>
      <x:c r="D13" s="14" t="str">
        <x:v>Capacidade indicada no PGPS.</x:v>
      </x:c>
      <x:c r="E13" s="14" t="str">
        <x:v>Cenário 4</x:v>
      </x:c>
      <x:c r="F13" s="18" t="n">
        <x:v>120</x:v>
      </x:c>
      <x:c r="G13" s="14" t="str">
        <x:v>45 / 30 / 24 / 1</x:v>
      </x:c>
      <x:c r="H13" s="14" t="str">
        <x:v>Tipo I: 0/0/10/15%; Tipo II: 0/50/85/100% (cenário mais restritivo).</x:v>
      </x:c>
      <x:c r="I13" s="14" t="str">
        <x:v>JUL: 68 / 43 / 18%</x:v>
      </x:c>
      <x:c r="J13" s="14" t="str">
        <x:v>Simulação histórica apresentada; Q é média anual e a operação admite pulsos.</x:v>
      </x:c>
      <x:c r="K13" s="14" t="str">
        <x:v>Parcial sazonal</x:v>
      </x:c>
      <x:c r="L13" s="14" t="str">
        <x:v>Utilizável com limitação do modelo</x:v>
      </x:c>
      <x:c r="M13" s="14" t="str">
        <x:v>Curvas/estados podem ser testados. Para histórico exato implementar série mensal de retirada; 0,120 m³/s constante é aproximação.</x:v>
      </x:c>
      <x:c r="N13" s="14" t="str">
        <x:v>Fronteiras/estados e equivalência agregada; não tratar a série constante como reprodução exata.</x:v>
      </x:c>
      <x:c r="O13" s="14" t="str">
        <x:v>PGPS trabalha com média anual/pulsos; o simulador atual usa demanda constante por reservatório.</x:v>
      </x:c>
      <x:c r="P13" s="14" t="str">
        <x:v>Plano de Gestão Proativa de Secas - Hidrossistema Cachoeira.pdf</x:v>
      </x:c>
      <x:c r="Q13" s="14" t="str">
        <x:v>94–95</x:v>
      </x:c>
    </x:row>
    <x:row r="14">
      <x:c r="A14" s="14" t="n">
        <x:v>13</x:v>
      </x:c>
      <x:c r="B14" s="14" t="str">
        <x:v>Canoas</x:v>
      </x:c>
      <x:c r="C14" s="16" t="n">
        <x:v>60.636405</x:v>
      </x:c>
      <x:c r="D14" s="14" t="str">
        <x:v>Capacidade revisada em batimetria de 2024.</x:v>
      </x:c>
      <x:c r="E14" s="14" t="str">
        <x:v>Regra 2</x:v>
      </x:c>
      <x:c r="F14" s="18" t="n">
        <x:v>190</x:v>
      </x:c>
      <x:c r="G14" s="14" t="str">
        <x:v>65 / 13 / 12 / 10</x:v>
      </x:c>
      <x:c r="H14" s="14" t="str">
        <x:v>0 / 16 / 40 / 80%</x:v>
      </x:c>
      <x:c r="I14" s="14" t="str">
        <x:v>JUL: 48 / 35 / 24%; curvas mensais completas na aba Curvas_Mensais.</x:v>
      </x:c>
      <x:c r="J14" s="14" t="str">
        <x:v>1911–2021, 1332 meses: 866 / 173 / 160 / 133.</x:v>
      </x:c>
      <x:c r="K14" s="14" t="str">
        <x:v>Direto</x:v>
      </x:c>
      <x:c r="L14" s="14" t="str">
        <x:v>Benchmark prioritário</x:v>
      </x:c>
      <x:c r="M14" s="14" t="str">
        <x:v>Individual; 0,190 m³/s; Histórico; 1911–2021; Simulação com Níveis Meta; Regra 2; comparar 866/173/160/133.</x:v>
      </x:c>
      <x:c r="N14" s="14" t="str">
        <x:v>Benchmark completo: curvas, racionamento, estado mensal, permanências e balanço.</x:v>
      </x:c>
      <x:c r="O14" s="14" t="str">
        <x:v>Legenda da Figura 5.4 fala em Regra 1, mas texto e representação matemática identificam Regra 2.</x:v>
      </x:c>
      <x:c r="P14" s="14" t="str">
        <x:v>Plano de Gestão Proativa de Secas - Hidrossistema Canoas.pdf</x:v>
      </x:c>
      <x:c r="Q14" s="14" t="str">
        <x:v>51–58</x:v>
      </x:c>
    </x:row>
    <x:row r="15">
      <x:c r="A15" s="14" t="n">
        <x:v>14</x:v>
      </x:c>
      <x:c r="B15" s="14" t="str">
        <x:v>Castro</x:v>
      </x:c>
      <x:c r="C15" s="16" t="n">
        <x:v>62.31</x:v>
      </x:c>
      <x:c r="D15" s="14" t="str">
        <x:v>Capacidade indicada no PGPS.</x:v>
      </x:c>
      <x:c r="E15" s="14" t="str">
        <x:v>Possibilidade 1</x:v>
      </x:c>
      <x:c r="F15" s="18" t="n">
        <x:v>150</x:v>
      </x:c>
      <x:c r="G15" s="14" t="str">
        <x:v>90 / 5 / 3 / 2</x:v>
      </x:c>
      <x:c r="H15" s="14" t="str">
        <x:v>0 / 20 / 40 / 70%; vazões 150/120/90/45 L/s.</x:v>
      </x:c>
      <x:c r="I15" s="14" t="str">
        <x:v>JUL: 43 / 29 / 18%</x:v>
      </x:c>
      <x:c r="J15" s="14" t="str">
        <x:v>1911–2021 em figura histórica.</x:v>
      </x:c>
      <x:c r="K15" s="14" t="str">
        <x:v>Direto</x:v>
      </x:c>
      <x:c r="L15" s="14" t="str">
        <x:v>Utilizável</x:v>
      </x:c>
      <x:c r="M15" s="14" t="str">
        <x:v>Individual; 0,150 m³/s; usar 0/20/40/70% e curvas da Possibilidade 1.</x:v>
      </x:c>
      <x:c r="N15" s="14" t="str">
        <x:v>Curvas, racionamento, estado mensal, balanço e permanências.</x:v>
      </x:c>
      <x:c r="O15" s="14" t="str">
        <x:v>Sem pendência crítica identificada na consolidação atual.</x:v>
      </x:c>
      <x:c r="P15" s="14" t="str">
        <x:v>Plano de Gestão Proativa de Secas - Hidrossistema Castro.pdf</x:v>
      </x:c>
      <x:c r="Q15" s="14" t="str">
        <x:v>81</x:v>
      </x:c>
    </x:row>
    <x:row r="16">
      <x:c r="A16" s="14" t="n">
        <x:v>15</x:v>
      </x:c>
      <x:c r="B16" s="14" t="str">
        <x:v>Forquilha</x:v>
      </x:c>
      <x:c r="C16" s="16" t="n">
        <x:v>50.13</x:v>
      </x:c>
      <x:c r="D16" s="14" t="str">
        <x:v>Capacidade indicada no PGPS.</x:v>
      </x:c>
      <x:c r="E16" s="14" t="str">
        <x:v>Cenário 2</x:v>
      </x:c>
      <x:c r="F16" s="18" t="n">
        <x:v>120</x:v>
      </x:c>
      <x:c r="G16" s="14" t="str">
        <x:v>85 / 5 / 5 / 5</x:v>
      </x:c>
      <x:c r="H16" s="14" t="str">
        <x:v>PGPS apresenta dois conjuntos por Tipo I/II; confirmar associação exata ao Cenário 2 antes do benchmark de retirada.</x:v>
      </x:c>
      <x:c r="I16" s="14" t="str">
        <x:v>JUL: 31 / 23 / 17%; curvas mensais completas na aba Curvas_Mensais.</x:v>
      </x:c>
      <x:c r="J16" s="14" t="str">
        <x:v>1911–2021 em figura histórica.</x:v>
      </x:c>
      <x:c r="K16" s="14" t="str">
        <x:v>Equivalência agregada</x:v>
      </x:c>
      <x:c r="L16" s="14" t="str">
        <x:v>Mapeamento de racionamento a confirmar</x:v>
      </x:c>
      <x:c r="M16" s="14" t="str">
        <x:v>Testar curvas/estados imediatamente. Para vazão por estado, confirmar qual tabela foi vinculada ao Cenário 2 e converter Type I/II em total equivalente.</x:v>
      </x:c>
      <x:c r="N16" s="14" t="str">
        <x:v>Curvas e fronteiras agora; retirada total após confirmação do conjunto.</x:v>
      </x:c>
      <x:c r="O16" s="14" t="str">
        <x:v>Correspondência entre Cenário 2 e os dois conjuntos de racionamento precisa ficar explícita.</x:v>
      </x:c>
      <x:c r="P16" s="14" t="str">
        <x:v>Plano de Gestão Proativa de Secas - Hidrossistema Forquilha.pdf</x:v>
      </x:c>
      <x:c r="Q16" s="14" t="str">
        <x:v>55–60</x:v>
      </x:c>
    </x:row>
    <x:row r="17">
      <x:c r="A17" s="14" t="n">
        <x:v>16</x:v>
      </x:c>
      <x:c r="B17" s="14" t="str">
        <x:v>Jenipapo</x:v>
      </x:c>
      <x:c r="C17" s="16" t="n">
        <x:v>4.94</x:v>
      </x:c>
      <x:c r="D17" s="14" t="str">
        <x:v>Capacidade indicada no PGPS.</x:v>
      </x:c>
      <x:c r="E17" s="14" t="str">
        <x:v>Cenário 2</x:v>
      </x:c>
      <x:c r="F17" s="18" t="n">
        <x:v>55</x:v>
      </x:c>
      <x:c r="G17" s="14" t="str">
        <x:v>60 / 20 / 10 / 10</x:v>
      </x:c>
      <x:c r="H17" s="14" t="str">
        <x:v>Atendimento 2: Tipo I 0/0/57/70%; Tipo II 0/0/70/100% (conforme cenário apresentado).</x:v>
      </x:c>
      <x:c r="I17" s="14" t="str">
        <x:v>Não usar 31/23/17 do trecho final sem revisão: parecem copiados de outro plano.</x:v>
      </x:c>
      <x:c r="J17" s="14" t="str">
        <x:v>Simulação histórica apresentada.</x:v>
      </x:c>
      <x:c r="K17" s="14" t="str">
        <x:v>Equivalência agregada com ressalva documental</x:v>
      </x:c>
      <x:c r="L17" s="14" t="str">
        <x:v>Inconsistência a resolver</x:v>
      </x:c>
      <x:c r="M17" s="14" t="str">
        <x:v>Usar Q escolhido de 0,055 m³/s e a curva efetivamente selecionada; não usar o trecho que cita Q=120 L/s até esclarecimento.</x:v>
      </x:c>
      <x:c r="N17" s="14" t="str">
        <x:v>Curvas/estados após transcrição correta; equivalência total por estado.</x:v>
      </x:c>
      <x:c r="O17" s="14" t="str">
        <x:v>Seção de representação matemática contém Q 120 e níveis 31/23/17, incompatíveis com Q=55 selecionado.</x:v>
      </x:c>
      <x:c r="P17" s="14" t="str">
        <x:v>Plano de Gestão Proativa de Secas - Hidrossistema Jenipapo.pdf</x:v>
      </x:c>
      <x:c r="Q17" s="14" t="str">
        <x:v>55–61</x:v>
      </x:c>
    </x:row>
    <x:row r="18">
      <x:c r="A18" s="14" t="n">
        <x:v>17</x:v>
      </x:c>
      <x:c r="B18" s="14" t="str">
        <x:v>Joaquim Távora (Feiticeiro)</x:v>
      </x:c>
      <x:c r="C18" s="16" t="n">
        <x:v>26.77</x:v>
      </x:c>
      <x:c r="D18" s="14" t="str">
        <x:v>Capacidade aproximada indicada no material consolidado.</x:v>
      </x:c>
      <x:c r="E18" s="14" t="str">
        <x:v>Cenário 1</x:v>
      </x:c>
      <x:c r="F18" s="18" t="n">
        <x:v>105</x:v>
      </x:c>
      <x:c r="G18" s="14" t="str">
        <x:v>Não consolidada inequivocamente no trecho extraído</x:v>
      </x:c>
      <x:c r="H18" s="14" t="str">
        <x:v>Tipo II: 0/20/100/100%; demanda prioritária preservada.</x:v>
      </x:c>
      <x:c r="I18" s="14" t="str">
        <x:v>Extrair limites mensais da figura do Cenário 1.</x:v>
      </x:c>
      <x:c r="J18" s="14" t="str">
        <x:v>Figura histórica disponível; contagens não consolidadas no texto extraído.</x:v>
      </x:c>
      <x:c r="K18" s="14" t="str">
        <x:v>Equivalência agregada / referência incompleta</x:v>
      </x:c>
      <x:c r="L18" s="14" t="str">
        <x:v>Requer extração complementar</x:v>
      </x:c>
      <x:c r="M18" s="14" t="str">
        <x:v>Transcrever Demanda Tipo I/II e curvas do Cenário 1; converter em vazões totais; depois rodar Individual com 0,105 m³/s.</x:v>
      </x:c>
      <x:c r="N18" s="14" t="str">
        <x:v>Curvas, vazões totais por estado e balanço após completar a ficha.</x:v>
      </x:c>
      <x:c r="O18" s="14" t="str">
        <x:v>Arquivo possui paginação/estrutura duplicada em partes; usar a seção do cenário escolhido como fonte canônica.</x:v>
      </x:c>
      <x:c r="P18" s="14" t="str">
        <x:v>Plano de Gestão Proativa de Secas - Hidrossistema Joaquim Távora Feiticeiro.pdf</x:v>
      </x:c>
      <x:c r="Q18" s="14" t="str">
        <x:v>≈209 (arquivo)</x:v>
      </x:c>
    </x:row>
    <x:row r="19">
      <x:c r="A19" s="14" t="n">
        <x:v>18</x:v>
      </x:c>
      <x:c r="B19" s="14" t="str">
        <x:v>Mundaú</x:v>
      </x:c>
      <x:c r="C19" s="16" t="n">
        <x:v>21.3</x:v>
      </x:c>
      <x:c r="D19" s="14" t="str">
        <x:v>Capacidade indicada no PGPS.</x:v>
      </x:c>
      <x:c r="E19" s="14" t="str">
        <x:v>Cenário 1</x:v>
      </x:c>
      <x:c r="F19" s="18" t="n">
        <x:v>250</x:v>
      </x:c>
      <x:c r="G19" s="14" t="str">
        <x:v>55 / 20 / 15 / 10</x:v>
      </x:c>
      <x:c r="H19" s="14" t="str">
        <x:v>Demanda total: 0 / 0 / 50 / 70%</x:v>
      </x:c>
      <x:c r="I19" s="14" t="str">
        <x:v>Pico pós-quadra: 79 / 58 / 43%; curvas mensais completas na aba Curvas_Mensais.</x:v>
      </x:c>
      <x:c r="J19" s="14" t="str">
        <x:v>1911–2021 em figura histórica.</x:v>
      </x:c>
      <x:c r="K19" s="14" t="str">
        <x:v>Direto</x:v>
      </x:c>
      <x:c r="L19" s="14" t="str">
        <x:v>Utilizável com ressalva editorial</x:v>
      </x:c>
      <x:c r="M19" s="14" t="str">
        <x:v>Individual; 0,250 m³/s; níveis meta do Cenário 1; 0/0/50/70%.</x:v>
      </x:c>
      <x:c r="N19" s="14" t="str">
        <x:v>Curvas, fronteiras, racionamento, estados, balanço e permanências.</x:v>
      </x:c>
      <x:c r="O19" s="14" t="str">
        <x:v>Texto referencia junho para os maiores níveis, enquanto legenda/descrição próxima usa julho; usar os 12 valores da curva.</x:v>
      </x:c>
      <x:c r="P19" s="14" t="str">
        <x:v>Plano de Gestão Proativa de Secas - Hidrossistema Mundaú.pdf</x:v>
      </x:c>
      <x:c r="Q19" s="14" t="str">
        <x:v>53–58</x:v>
      </x:c>
    </x:row>
    <x:row r="20">
      <x:c r="A20" s="14" t="n">
        <x:v>19</x:v>
      </x:c>
      <x:c r="B20" s="14" t="str">
        <x:v>Olho D’Água</x:v>
      </x:c>
      <x:c r="C20" s="16" t="n">
        <x:v>19.21</x:v>
      </x:c>
      <x:c r="D20" s="14" t="str">
        <x:v>Capacidade atual; o PGPS menciona valor original maior.</x:v>
      </x:c>
      <x:c r="E20" s="14" t="str">
        <x:v>Cenário A</x:v>
      </x:c>
      <x:c r="F20" s="18" t="n">
        <x:v>100</x:v>
      </x:c>
      <x:c r="G20" s="14" t="str">
        <x:v>47,00 / 26,50 / 21,10 / 5,41</x:v>
      </x:c>
      <x:c r="H20" s="14" t="str">
        <x:v>Cenário menos restritivo com racionamento diferenciado por Tipo I/II.</x:v>
      </x:c>
      <x:c r="I20" s="14" t="str">
        <x:v>JUL: 50 / 30 / 20%</x:v>
      </x:c>
      <x:c r="J20" s="14" t="str">
        <x:v>Simulação histórica; operação baseada em média anual/pulsos.</x:v>
      </x:c>
      <x:c r="K20" s="14" t="str">
        <x:v>Parcial sazonal</x:v>
      </x:c>
      <x:c r="L20" s="14" t="str">
        <x:v>Utilizável com limitação do modelo</x:v>
      </x:c>
      <x:c r="M20" s="14" t="str">
        <x:v>Testar curvas/estados. Para histórico exato representar a retirada mensal/pulsada; 0,100 m³/s constante é aproximação.</x:v>
      </x:c>
      <x:c r="N20" s="14" t="str">
        <x:v>Curvas e classificação; armazenamento exato após suporte a demanda mensal.</x:v>
      </x:c>
      <x:c r="O20" s="14" t="str">
        <x:v>A média anual não descreve a sequência mensal de retiradas usada operacionalmente.</x:v>
      </x:c>
      <x:c r="P20" s="14" t="str">
        <x:v>Plano de Gestão Proativa de Secas - Hidrossistema Olho D’Água.pdf</x:v>
      </x:c>
      <x:c r="Q20" s="14" t="str">
        <x:v>95–99</x:v>
      </x:c>
    </x:row>
    <x:row r="21">
      <x:c r="A21" s="14" t="n">
        <x:v>20</x:v>
      </x:c>
      <x:c r="B21" s="14" t="str">
        <x:v>Pesqueiro</x:v>
      </x:c>
      <x:c r="C21" s="16" t="n">
        <x:v>10.54</x:v>
      </x:c>
      <x:c r="D21" s="14" t="str">
        <x:v>Capacidade indicada no PGPS.</x:v>
      </x:c>
      <x:c r="E21" s="14" t="str">
        <x:v>Cenário 2</x:v>
      </x:c>
      <x:c r="F21" s="18" t="n">
        <x:v>33</x:v>
      </x:c>
      <x:c r="G21" s="14" t="str">
        <x:v>85 / 5 / 5 / 5</x:v>
      </x:c>
      <x:c r="H21" s="14" t="str">
        <x:v>Vazões totais: 33 / 30 / 26 / 14 L/s.</x:v>
      </x:c>
      <x:c r="I21" s="14" t="str">
        <x:v>Usar curvas mensais do Cenário 2.</x:v>
      </x:c>
      <x:c r="J21" s="14" t="str">
        <x:v>Simulação histórica apresentada.</x:v>
      </x:c>
      <x:c r="K21" s="14" t="str">
        <x:v>Equivalência agregada</x:v>
      </x:c>
      <x:c r="L21" s="14" t="str">
        <x:v>Utilizável</x:v>
      </x:c>
      <x:c r="M21" s="14" t="str">
        <x:v>Individual; 0,033 m³/s; converter 33/30/26/14 em percentuais equivalentes; usar curvas do Cenário 2.</x:v>
      </x:c>
      <x:c r="N21" s="14" t="str">
        <x:v>Curvas, total atendido, estado mensal e balanço.</x:v>
      </x:c>
      <x:c r="O21" s="14" t="str">
        <x:v>Composição por uso não é reproduzida; equivalência preserva retirada total do reservatório.</x:v>
      </x:c>
      <x:c r="P21" s="14" t="str">
        <x:v>Plano de Gestão Proativa de Secas - Hidrossistema Pesqueiro.pdf</x:v>
      </x:c>
      <x:c r="Q21" s="14" t="str">
        <x:v>50–51</x:v>
      </x:c>
    </x:row>
    <x:row r="22">
      <x:c r="A22" s="14" t="n">
        <x:v>21</x:v>
      </x:c>
      <x:c r="B22" s="14" t="str">
        <x:v>Poço Verde</x:v>
      </x:c>
      <x:c r="C22" s="16" t="n">
        <x:v>13.34</x:v>
      </x:c>
      <x:c r="D22" s="14" t="str">
        <x:v>Capacidade indicada no PGPS.</x:v>
      </x:c>
      <x:c r="E22" s="14" t="str">
        <x:v>Cenário 2</x:v>
      </x:c>
      <x:c r="F22" s="18" t="n">
        <x:v>105</x:v>
      </x:c>
      <x:c r="G22" s="14" t="str">
        <x:v>P1 60/20/10/10; P2 58/12/15/15 — confirmar qual está vinculado ao cenário escolhido</x:v>
      </x:c>
      <x:c r="H22" s="14" t="str">
        <x:v>Conjuntos: 0/17/55/77% e 0/23/70/80%; associação ao Cenário 2 deve ser confirmada.</x:v>
      </x:c>
      <x:c r="I22" s="14" t="str">
        <x:v>JUL: 69 / 59 / 40%</x:v>
      </x:c>
      <x:c r="J22" s="14" t="str">
        <x:v>1911–2021 em figura histórica.</x:v>
      </x:c>
      <x:c r="K22" s="14" t="str">
        <x:v>Direto com mapeamento pendente</x:v>
      </x:c>
      <x:c r="L22" s="14" t="str">
        <x:v>Mapeamento a confirmar</x:v>
      </x:c>
      <x:c r="M22" s="14" t="str">
        <x:v>Curvas/fronteiras já podem ser testadas. Antes do benchmark de racionamento, registrar qual conjunto foi usado no Cenário 2.</x:v>
      </x:c>
      <x:c r="N22" s="14" t="str">
        <x:v>Curvas agora; racionamento/permanência após confirmação.</x:v>
      </x:c>
      <x:c r="O22" s="14" t="str">
        <x:v>P1/P2 e R1/R2 estão apresentados, mas a vinculação final precisa ser fixada na matriz de teste.</x:v>
      </x:c>
      <x:c r="P22" s="14" t="str">
        <x:v>Plano de Gestão Proativa de Secas - Hidrossistema Poço Verde.pdf</x:v>
      </x:c>
      <x:c r="Q22" s="14" t="str">
        <x:v>54–59</x:v>
      </x:c>
    </x:row>
    <x:row r="23">
      <x:c r="A23" s="14" t="n">
        <x:v>22</x:v>
      </x:c>
      <x:c r="B23" s="14" t="str">
        <x:v>Rosário</x:v>
      </x:c>
      <x:c r="C23" s="16" t="n">
        <x:v>47.22</x:v>
      </x:c>
      <x:c r="D23" s="14" t="str">
        <x:v>Há pequena divergência de capacidade em trechos do material; conferir versão oficial adotada na modelagem.</x:v>
      </x:c>
      <x:c r="E23" s="14" t="str">
        <x:v>Cenário A</x:v>
      </x:c>
      <x:c r="F23" s="18" t="n">
        <x:v>350</x:v>
      </x:c>
      <x:c r="G23" s="14" t="str">
        <x:v>80 / 11 / 8 / 1</x:v>
      </x:c>
      <x:c r="H23" s="14" t="str">
        <x:v>Cenário menos restritivo com prioridades Tipo I/II; converter para vazão total por estado.</x:v>
      </x:c>
      <x:c r="I23" s="14" t="str">
        <x:v>JUL: 50 / 34 / 27%</x:v>
      </x:c>
      <x:c r="J23" s="14" t="str">
        <x:v>Simulação histórica; Q é média anual e admite pulsos.</x:v>
      </x:c>
      <x:c r="K23" s="14" t="str">
        <x:v>Parcial sazonal</x:v>
      </x:c>
      <x:c r="L23" s="14" t="str">
        <x:v>Utilizável com conferência de capacidade</x:v>
      </x:c>
      <x:c r="M23" s="14" t="str">
        <x:v>Testar curvas/estados. Para repetir histórico implementar demanda mensal/pulsada; 0,350 m³/s constante é aproximação.</x:v>
      </x:c>
      <x:c r="N23" s="14" t="str">
        <x:v>Curvas/classificação agora; armazenamento exato com retirada mensal.</x:v>
      </x:c>
      <x:c r="O23" s="14" t="str">
        <x:v>Capacidade aparece próxima de 47,22–47,6 hm³ em referências do documento.</x:v>
      </x:c>
      <x:c r="P23" s="14" t="str">
        <x:v>Plano de Gestão Proativa de Secas - Hidrossistema Rosário.pdf</x:v>
      </x:c>
      <x:c r="Q23" s="14" t="str">
        <x:v>95–99</x:v>
      </x:c>
    </x:row>
    <x:row r="24">
      <x:c r="A24" s="14" t="n">
        <x:v>23</x:v>
      </x:c>
      <x:c r="B24" s="14" t="str">
        <x:v>Santo Antônio de Russas</x:v>
      </x:c>
      <x:c r="C24" s="16" t="n">
        <x:v>25.050893</x:v>
      </x:c>
      <x:c r="D24" s="14" t="str">
        <x:v>Capacidade indicada no PGPS.</x:v>
      </x:c>
      <x:c r="E24" s="14" t="str">
        <x:v>Cenário 2</x:v>
      </x:c>
      <x:c r="F24" s="18" t="n">
        <x:v>112</x:v>
      </x:c>
      <x:c r="G24" s="14" t="str">
        <x:v>Não consolidada inequivocamente no trecho extraído</x:v>
      </x:c>
      <x:c r="H24" s="14" t="str">
        <x:v>Tipo II: 0 / 20 / 100 / 100%; demanda prioritária preservada.</x:v>
      </x:c>
      <x:c r="I24" s="14" t="str">
        <x:v>Extrair limites mensais da figura do Cenário 2.</x:v>
      </x:c>
      <x:c r="J24" s="14" t="str">
        <x:v>Figura histórica disponível.</x:v>
      </x:c>
      <x:c r="K24" s="14" t="str">
        <x:v>Equivalência agregada / referência incompleta</x:v>
      </x:c>
      <x:c r="L24" s="14" t="str">
        <x:v>Requer extração complementar</x:v>
      </x:c>
      <x:c r="M24" s="14" t="str">
        <x:v>Transcrever totais de demanda prioritária/não prioritária e curvas do Cenário 2; converter em vazões totais; rodar Individual com 0,112 m³/s.</x:v>
      </x:c>
      <x:c r="N24" s="14" t="str">
        <x:v>Curvas, vazão total por estado e balanço após completar a ficha.</x:v>
      </x:c>
      <x:c r="O24" s="14" t="str">
        <x:v>Legendas de figuras tratam os dois cenários como 'Cenário 1'; usar decisão textual do Cenário 2, Q=112 L/s.</x:v>
      </x:c>
      <x:c r="P24" s="14" t="str">
        <x:v>Plano de Gestão Proativa de Secas - Hidrossistema Santo Antônio de Russas.pdf</x:v>
      </x:c>
      <x:c r="Q24" s="14" t="str">
        <x:v>66</x:v>
      </x:c>
    </x:row>
    <x:row r="25">
      <x:c r="A25" s="14" t="n">
        <x:v>24</x:v>
      </x:c>
      <x:c r="B25" s="14" t="str">
        <x:v>São José II</x:v>
      </x:c>
      <x:c r="C25" s="16" t="n">
        <x:v>13.18</x:v>
      </x:c>
      <x:c r="D25" s="14" t="str">
        <x:v>Capacidade indicada no PGPS.</x:v>
      </x:c>
      <x:c r="E25" s="14" t="str">
        <x:v>Cenário A</x:v>
      </x:c>
      <x:c r="F25" s="18" t="n">
        <x:v>105</x:v>
      </x:c>
      <x:c r="G25" s="14" t="str">
        <x:v>80 / 10 / 8 / 2</x:v>
      </x:c>
      <x:c r="H25" s="14" t="str">
        <x:v>Regras por Tipo I/II; operação recomendada também é não constante/pulsada.</x:v>
      </x:c>
      <x:c r="I25" s="14" t="str">
        <x:v>Curvas do Cenário A; PGPS discute leitura prática em três zonas em parte da operação.</x:v>
      </x:c>
      <x:c r="J25" s="14" t="str">
        <x:v>1911–2017, 1284 meses: 1023 / 122 / 30 / 109.</x:v>
      </x:c>
      <x:c r="K25" s="14" t="str">
        <x:v>Parcial sazonal + equivalência agregada</x:v>
      </x:c>
      <x:c r="L25" s="14" t="str">
        <x:v>Utilizável com limitação do modelo</x:v>
      </x:c>
      <x:c r="M25" s="14" t="str">
        <x:v>Curvas/estados podem ser testados. Para histórico exato é necessário reproduzir retirada/pulsos e prioridade Type I/II.</x:v>
      </x:c>
      <x:c r="N25" s="14" t="str">
        <x:v>Classificação de estados; histórico após representar operação mensal.</x:v>
      </x:c>
      <x:c r="O25" s="14" t="str">
        <x:v>Estados Seca e Seca Severa se aproximam/convergem em parte das curvas; o plano discute simplificação em três zonas.</x:v>
      </x:c>
      <x:c r="P25" s="14" t="str">
        <x:v>Plano de Gestão Proativa de Secas - Hidrossistema Sâo José II.pdf</x:v>
      </x:c>
      <x:c r="Q25" s="14" t="str">
        <x:v>83–86</x:v>
      </x:c>
    </x:row>
    <x:row r="26">
      <x:c r="A26" s="14" t="n">
        <x:v>25</x:v>
      </x:c>
      <x:c r="B26" s="14" t="str">
        <x:v>Umari</x:v>
      </x:c>
      <x:c r="C26" s="16" t="n">
        <x:v>30</x:v>
      </x:c>
      <x:c r="D26" s="14" t="str">
        <x:v>Capacidade atual indicada aproximadamente no PGPS; confirmar valor exato usado no banco.</x:v>
      </x:c>
      <x:c r="E26" s="14" t="str">
        <x:v>Cenário B</x:v>
      </x:c>
      <x:c r="F26" s="18" t="n">
        <x:v>65</x:v>
      </x:c>
      <x:c r="G26" s="14" t="str">
        <x:v>95 / 2 / 2 / 1</x:v>
      </x:c>
      <x:c r="H26" s="14" t="str">
        <x:v>Cenário B sem racionamento no Normal; Tipo I 0/0/0/10%; Tipo II 0/20/33/100%.</x:v>
      </x:c>
      <x:c r="I26" s="14" t="str">
        <x:v>JUL: VM1 ≈ 59%; demais limites na figura do Cenário B.</x:v>
      </x:c>
      <x:c r="J26" s="14" t="str">
        <x:v>Documento menciona 1911–2021 e 1335 meses; contagens 1268/26/27/13 somam 1334.</x:v>
      </x:c>
      <x:c r="K26" s="14" t="str">
        <x:v>Equivalência agregada com ressalva documental</x:v>
      </x:c>
      <x:c r="L26" s="14" t="str">
        <x:v>Inconsistência a resolver</x:v>
      </x:c>
      <x:c r="M26" s="14" t="str">
        <x:v>Rodar curvas/estado com 0,065 m³/s; antes do benchmark histórico esclarecer o total de meses; converter Type I/II para retirada total.</x:v>
      </x:c>
      <x:c r="N26" s="14" t="str">
        <x:v>Curvas e lógica; benchmark histórico com ressalva.</x:v>
      </x:c>
      <x:c r="O26" s="14" t="str">
        <x:v>Total de meses e soma das contagens não fecham; outra legenda associa 80% ao Normal apesar de permanência distinta em uma opção.</x:v>
      </x:c>
      <x:c r="P26" s="14" t="str">
        <x:v>Plano de Gestão Proativa de Secas - Hidrossistema Umari.pdf</x:v>
      </x:c>
      <x:c r="Q26" s="14" t="str">
        <x:v>83–86</x:v>
      </x:c>
    </x:row>
  </x:sheetData>
  <x:conditionalFormatting sqref="K2:K26">
    <x:cfRule type="expression" dxfId="0" priority="1">
      <x:formula>ISNUMBER(SEARCH("Direto",K2))</x:formula>
    </x:cfRule>
    <x:cfRule type="expression" dxfId="1" priority="2">
      <x:formula>ISNUMBER(SEARCH("Equivalência",K2))</x:formula>
    </x:cfRule>
    <x:cfRule type="expression" dxfId="2" priority="3">
      <x:formula>ISNUMBER(SEARCH("sazonal",K2))</x:formula>
    </x:cfRule>
  </x:conditionalFormatting>
  <x:conditionalFormatting sqref="L2:L26">
    <x:cfRule type="expression" dxfId="3" priority="4">
      <x:formula>OR(ISNUMBER(SEARCH("Inconsistência",L2)),ISNUMBER(SEARCH("Requer",L2)))</x:formula>
    </x:cfRule>
    <x:cfRule type="expression" dxfId="4" priority="5">
      <x:formula>ISNUMBER(SEARCH("Benchmark",L2))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1ed21288e842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7" hidden="0" customWidth="1"/>
    <x:col min="3" max="3" width="12" hidden="0" customWidth="1"/>
    <x:col min="4" max="4" width="25" hidden="0" customWidth="1"/>
    <x:col min="5" max="5" width="18" hidden="0" customWidth="1"/>
    <x:col min="6" max="6" width="34" hidden="0" customWidth="1"/>
    <x:col min="7" max="7" width="16" hidden="0" customWidth="1"/>
    <x:col min="8" max="8" width="52" hidden="0" customWidth="1"/>
    <x:col min="9" max="9" width="52" hidden="0" customWidth="1"/>
    <x:col min="10" max="10" width="62" hidden="0" customWidth="1"/>
    <x:col min="11" max="11" width="50" hidden="0" customWidth="1"/>
  </x:cols>
  <x:sheetData>
    <x:row r="1" ht="36" customHeight="1">
      <x:c r="A1" s="23" t="str">
        <x:v>Nº</x:v>
      </x:c>
      <x:c r="B1" s="23" t="str">
        <x:v>Hidrossistema</x:v>
      </x:c>
      <x:c r="C1" s="23" t="str">
        <x:v>Modo</x:v>
      </x:c>
      <x:c r="D1" s="23" t="str">
        <x:v>Tela</x:v>
      </x:c>
      <x:c r="E1" s="23" t="str">
        <x:v>Cenário hidrológico</x:v>
      </x:c>
      <x:c r="F1" s="23" t="str">
        <x:v>Período recomendado</x:v>
      </x:c>
      <x:c r="G1" s="23" t="str">
        <x:v>Demanda base (m³/s)</x:v>
      </x:c>
      <x:c r="H1" s="23" t="str">
        <x:v>Curvas/Regras</x:v>
      </x:c>
      <x:c r="I1" s="23" t="str">
        <x:v>Configuração especial / racionamento</x:v>
      </x:c>
      <x:c r="J1" s="23" t="str">
        <x:v>Saída que deve ser exportada</x:v>
      </x:c>
      <x:c r="K1" s="23" t="str">
        <x:v>Critério principal</x:v>
      </x:c>
    </x:row>
    <x:row r="2">
      <x:c r="A2" s="14" t="n">
        <x:v>1</x:v>
      </x:c>
      <x:c r="B2" s="14" t="str">
        <x:v>Acarape do Meio</x:v>
      </x:c>
      <x:c r="C2" s="14" t="str">
        <x:v>Individual</x:v>
      </x:c>
      <x:c r="D2" s="14" t="str">
        <x:v>Simulação com Níveis Meta</x:v>
      </x:c>
      <x:c r="E2" s="14" t="str">
        <x:v>Histórico</x:v>
      </x:c>
      <x:c r="F2" s="14" t="str">
        <x:v>1911–2021</x:v>
      </x:c>
      <x:c r="G2" s="16" t="n">
        <x:v>0.748</x:v>
      </x:c>
      <x:c r="H2" s="14" t="str">
        <x:v>Cenário operacional aprovado | Demanda total: 0 / 45 / 50 / 52%</x:v>
      </x:c>
      <x:c r="I2" s="14" t="str">
        <x:v>Usar VM1/VM2/VM3 e o racionamento da coluna verde da aba Niveis_Meta_Racion. A figura final mostra 748/411/374/359 L/s. Os percentuais explícitos do plano são 45/50/52%.</x:v>
      </x:c>
      <x:c r="J2" s="14" t="str">
        <x:v>Tabela mensal: armazenamento inicial/final, afluência, evaporação, demanda solicitada/atendida, racionamento, vertimento, falha, modo de operação.</x:v>
      </x:c>
      <x:c r="K2" s="14" t="str">
        <x:v>Curvas, estado mensal, racionamento equivalente, balanço e limites físicos.</x:v>
      </x:c>
    </x:row>
    <x:row r="3">
      <x:c r="A3" s="14" t="n">
        <x:v>2</x:v>
      </x:c>
      <x:c r="B3" s="14" t="str">
        <x:v>Angicos</x:v>
      </x:c>
      <x:c r="C3" s="14" t="str">
        <x:v>Individual</x:v>
      </x:c>
      <x:c r="D3" s="14" t="str">
        <x:v>Simulação com Níveis Meta</x:v>
      </x:c>
      <x:c r="E3" s="14" t="str">
        <x:v>Histórico</x:v>
      </x:c>
      <x:c r="F3" s="14" t="str">
        <x:v>1911–2021</x:v>
      </x:c>
      <x:c r="G3" s="16" t="n">
        <x:v>0.3</x:v>
      </x:c>
      <x:c r="H3" s="14" t="str">
        <x:v>Cenário reduzido para 300 L/s | Tipo I: 0/20/50/100%; Tipo II: 0/50/100/100%. Cenário final possui vazões totais por estado.</x:v>
      </x:c>
      <x:c r="I3" s="14" t="str">
        <x:v>Usar VM1/VM2/VM3 e o racionamento da coluna verde da aba Niveis_Meta_Racion. O cenário escolhido apresenta 300/120/60/30 L/s. Como o simulador usa um único percentual, usar 60/80/90%.</x:v>
      </x:c>
      <x:c r="J3" s="14" t="str">
        <x:v>Tabela mensal: armazenamento inicial/final, afluência, evaporação, demanda solicitada/atendida, racionamento, vertimento, falha, modo de operação.</x:v>
      </x:c>
      <x:c r="K3" s="14" t="str">
        <x:v>Curvas, vazão total atendida por estado, estado mensal, balanço e limites físicos.</x:v>
      </x:c>
    </x:row>
    <x:row r="4">
      <x:c r="A4" s="14" t="n">
        <x:v>3</x:v>
      </x:c>
      <x:c r="B4" s="14" t="str">
        <x:v>Arneiroz II</x:v>
      </x:c>
      <x:c r="C4" s="14" t="str">
        <x:v>Individual</x:v>
      </x:c>
      <x:c r="D4" s="14" t="str">
        <x:v>Simulação com Níveis Meta</x:v>
      </x:c>
      <x:c r="E4" s="14" t="str">
        <x:v>Histórico</x:v>
      </x:c>
      <x:c r="F4" s="14" t="str">
        <x:v>1911–2021</x:v>
      </x:c>
      <x:c r="G4" s="16" t="n">
        <x:v>0.7</x:v>
      </x:c>
      <x:c r="H4" s="14" t="str">
        <x:v>Regra 1 | Normal 0%; Alerta 27%; Seca 68%; Seca Severa com valores conflitantes no documento.</x:v>
      </x:c>
      <x:c r="I4" s="14" t="str">
        <x:v>Usar VM1/VM2/VM3 e o racionamento da coluna verde da aba Niveis_Meta_Racion. Há inconsistência documental: o texto cita 20% em Seca Severa, mas a figura final indica 140 L/s sobre 700 L/s, equivalente a 80%.</x:v>
      </x:c>
      <x:c r="J4" s="14" t="str">
        <x:v>Tabela mensal: armazenamento inicial/final, afluência, evaporação, demanda solicitada/atendida, racionamento, vertimento, falha, modo de operação.</x:v>
      </x:c>
      <x:c r="K4" s="14" t="str">
        <x:v>Curvas, fronteiras, permanências, balanço e limites físicos.</x:v>
      </x:c>
    </x:row>
    <x:row r="5">
      <x:c r="A5" s="14" t="n">
        <x:v>4</x:v>
      </x:c>
      <x:c r="B5" s="14" t="str">
        <x:v>Catucinzenta / Lagoa do Catu</x:v>
      </x:c>
      <x:c r="C5" s="14" t="str">
        <x:v>Individual</x:v>
      </x:c>
      <x:c r="D5" s="14" t="str">
        <x:v>Simulação com Níveis Meta</x:v>
      </x:c>
      <x:c r="E5" s="14" t="str">
        <x:v>Histórico</x:v>
      </x:c>
      <x:c r="F5" s="14" t="str">
        <x:v>1911–2021</x:v>
      </x:c>
      <x:c r="G5" s="16" t="n">
        <x:v>0.087</x:v>
      </x:c>
      <x:c r="H5" s="14" t="str">
        <x:v>Possibilidade 1 | Regra 1 nominal: 0 / 20 / 30 / 40%; vazões escolhidas: 87 / 68 / 59 / 51 L/s.</x:v>
      </x:c>
      <x:c r="I5" s="14" t="str">
        <x:v>Usar VM1/VM2/VM3 e o racionamento da coluna verde da aba Niveis_Meta_Racion. A figura arredonda as vazões para 68/59/51 L/s; para reproduzir a regra definida no PGPS, usar 20/30/40%.</x:v>
      </x:c>
      <x:c r="J5" s="14" t="str">
        <x:v>Tabela mensal: armazenamento inicial/final, afluência, evaporação, demanda solicitada/atendida, racionamento, vertimento, falha, modo de operação.</x:v>
      </x:c>
      <x:c r="K5" s="14" t="str">
        <x:v>Curvas, vazões totais por estado, permanências e balanço.</x:v>
      </x:c>
    </x:row>
    <x:row r="6">
      <x:c r="A6" s="14" t="n">
        <x:v>5</x:v>
      </x:c>
      <x:c r="B6" s="14" t="str">
        <x:v>Pedras Brancas</x:v>
      </x:c>
      <x:c r="C6" s="14" t="str">
        <x:v>Individual</x:v>
      </x:c>
      <x:c r="D6" s="14" t="str">
        <x:v>Simulação com Níveis Meta</x:v>
      </x:c>
      <x:c r="E6" s="14" t="str">
        <x:v>Histórico</x:v>
      </x:c>
      <x:c r="F6" s="14" t="str">
        <x:v>1911–2017</x:v>
      </x:c>
      <x:c r="G6" s="16" t="n">
        <x:v>0.415</x:v>
      </x:c>
      <x:c r="H6" s="14" t="str">
        <x:v>Cenário A | Tipo I: 0/0/0/9%; Tipo II: 0/47/74/100%.</x:v>
      </x:c>
      <x:c r="I6" s="14" t="str">
        <x:v>Usar VM1/VM2/VM3 e o racionamento da coluna verde da aba Niveis_Meta_Racion. Cenário A final ajustado pela Comissão Gestora. Usar equivalência calculada com 415/290/230/137 L/s.</x:v>
      </x:c>
      <x:c r="J6" s="14" t="str">
        <x:v>Tabela mensal: armazenamento inicial/final, afluência, evaporação, demanda solicitada/atendida, racionamento, vertimento, falha, modo de operação.</x:v>
      </x:c>
      <x:c r="K6" s="14" t="str">
        <x:v>Curvas, vazão total atendida, permanências, balanço e limites físicos.</x:v>
      </x:c>
    </x:row>
    <x:row r="7">
      <x:c r="A7" s="14" t="n">
        <x:v>6</x:v>
      </x:c>
      <x:c r="B7" s="14" t="str">
        <x:v>Riacho do Sangue</x:v>
      </x:c>
      <x:c r="C7" s="14" t="str">
        <x:v>Individual</x:v>
      </x:c>
      <x:c r="D7" s="14" t="str">
        <x:v>Simulação com Níveis Meta</x:v>
      </x:c>
      <x:c r="E7" s="14" t="str">
        <x:v>Histórico</x:v>
      </x:c>
      <x:c r="F7" s="14" t="str">
        <x:v>Confirmar no PGPS antes do benchmark histórico</x:v>
      </x:c>
      <x:c r="G7" s="16" t="n">
        <x:v>0.32</x:v>
      </x:c>
      <x:c r="H7" s="14" t="str">
        <x:v>Cenário 2 | Tipo II: 0 / 20 / 100 / 100%; demanda prioritária preservada conforme a regra do plano.</x:v>
      </x:c>
      <x:c r="I7" s="14" t="str">
        <x:v>Usar VM1/VM2/VM3 e o racionamento da coluna verde da aba Niveis_Meta_Racion. A figura final do Cenário 2 apresenta 320/256/160/32 L/s.</x:v>
      </x:c>
      <x:c r="J7" s="14" t="str">
        <x:v>Tabela mensal: armazenamento inicial/final, afluência, evaporação, demanda solicitada/atendida, racionamento, vertimento, falha, modo de operação.</x:v>
      </x:c>
      <x:c r="K7" s="14" t="str">
        <x:v>Curvas e classificação de estados já podem ser testadas; vazões por estado dependem dos totais de demanda.</x:v>
      </x:c>
    </x:row>
    <x:row r="8">
      <x:c r="A8" s="14" t="n">
        <x:v>7</x:v>
      </x:c>
      <x:c r="B8" s="14" t="str">
        <x:v>Trussu</x:v>
      </x:c>
      <x:c r="C8" s="14" t="str">
        <x:v>Individual</x:v>
      </x:c>
      <x:c r="D8" s="14" t="str">
        <x:v>Simulação com Níveis Meta</x:v>
      </x:c>
      <x:c r="E8" s="14" t="str">
        <x:v>Histórico</x:v>
      </x:c>
      <x:c r="F8" s="14" t="str">
        <x:v>1911–2021</x:v>
      </x:c>
      <x:c r="G8" s="16" t="n">
        <x:v>0.5</x:v>
      </x:c>
      <x:c r="H8" s="14" t="str">
        <x:v>Cenário A | Tipo I: 0/0/0/50%; Tipo II: 0/50/100/100%. Vazões totais 500/350/200/100 L/s.</x:v>
      </x:c>
      <x:c r="I8" s="14" t="str">
        <x:v>Usar VM1/VM2/VM3 e o racionamento da coluna verde da aba Niveis_Meta_Racion. A figura final apresenta 500/350/200/100 L/s.</x:v>
      </x:c>
      <x:c r="J8" s="14" t="str">
        <x:v>Tabela mensal: armazenamento inicial/final, afluência, evaporação, demanda solicitada/atendida, racionamento, vertimento, falha, modo de operação.</x:v>
      </x:c>
      <x:c r="K8" s="14" t="str">
        <x:v>Curvas, estado mensal, permanências históricas, vazões totais e balanço.</x:v>
      </x:c>
    </x:row>
    <x:row r="9">
      <x:c r="A9" s="14" t="n">
        <x:v>8</x:v>
      </x:c>
      <x:c r="B9" s="14" t="str">
        <x:v>Ubaldinho</x:v>
      </x:c>
      <x:c r="C9" s="14" t="str">
        <x:v>Individual</x:v>
      </x:c>
      <x:c r="D9" s="14" t="str">
        <x:v>Simulação com Níveis Meta</x:v>
      </x:c>
      <x:c r="E9" s="14" t="str">
        <x:v>Histórico</x:v>
      </x:c>
      <x:c r="F9" s="14" t="str">
        <x:v>1911–2021</x:v>
      </x:c>
      <x:c r="G9" s="16" t="n">
        <x:v>0.15</x:v>
      </x:c>
      <x:c r="H9" s="14" t="str">
        <x:v>Cenário 1 | Tipo I: 0/0/5/10%; Tipo II: 0/50/80/100%.</x:v>
      </x:c>
      <x:c r="I9" s="14" t="str">
        <x:v>Usar VM1/VM2/VM3 e o racionamento da coluna verde da aba Niveis_Meta_Racion. Cenário 1. A figura final apresenta 150/94/60/36 L/s.</x:v>
      </x:c>
      <x:c r="J9" s="14" t="str">
        <x:v>Tabela mensal: armazenamento inicial/final, afluência, evaporação, demanda solicitada/atendida, racionamento, vertimento, falha, modo de operação.</x:v>
      </x:c>
      <x:c r="K9" s="14" t="str">
        <x:v>Curvas e fronteiras agora; armazenamento histórico exato exige demanda mensal.</x:v>
      </x:c>
    </x:row>
    <x:row r="10">
      <x:c r="A10" s="14" t="n">
        <x:v>9</x:v>
      </x:c>
      <x:c r="B10" s="14" t="str">
        <x:v>Aracoiaba</x:v>
      </x:c>
      <x:c r="C10" s="14" t="str">
        <x:v>Individual</x:v>
      </x:c>
      <x:c r="D10" s="14" t="str">
        <x:v>Simulação com Níveis Meta</x:v>
      </x:c>
      <x:c r="E10" s="14" t="str">
        <x:v>Histórico</x:v>
      </x:c>
      <x:c r="F10" s="14" t="str">
        <x:v>1911–2021</x:v>
      </x:c>
      <x:c r="G10" s="16" t="n">
        <x:v>0.432</x:v>
      </x:c>
      <x:c r="H10" s="14" t="str">
        <x:v>Cenário 2 | Vazões totais: 432 / 387 / 358 / 259 L/s.</x:v>
      </x:c>
      <x:c r="I10" s="14" t="str">
        <x:v>Usar VM1/VM2/VM3 e o racionamento da coluna verde da aba Niveis_Meta_Racion. Cenário 2. A figura final apresenta 432/389/359/259 L/s.</x:v>
      </x:c>
      <x:c r="J10" s="14" t="str">
        <x:v>Tabela mensal: armazenamento inicial/final, afluência, evaporação, demanda solicitada/atendida, racionamento, vertimento, falha, modo de operação.</x:v>
      </x:c>
      <x:c r="K10" s="14" t="str">
        <x:v>Curvas, estado mensal, vazões totais e balanço.</x:v>
      </x:c>
    </x:row>
    <x:row r="11">
      <x:c r="A11" s="14" t="n">
        <x:v>10</x:v>
      </x:c>
      <x:c r="B11" s="14" t="str">
        <x:v>Batente</x:v>
      </x:c>
      <x:c r="C11" s="14" t="str">
        <x:v>Individual</x:v>
      </x:c>
      <x:c r="D11" s="14" t="str">
        <x:v>Simulação com Níveis Meta</x:v>
      </x:c>
      <x:c r="E11" s="14" t="str">
        <x:v>Histórico</x:v>
      </x:c>
      <x:c r="F11" s="14" t="str">
        <x:v>1911–2021</x:v>
      </x:c>
      <x:c r="G11" s="16" t="n">
        <x:v>0.17</x:v>
      </x:c>
      <x:c r="H11" s="14" t="str">
        <x:v>Possibilidade 1 / Cenário 1 | Irrigação: 0/30/60/100%; prioritárias preservadas. Vazões totais: 170/133/95/44 L/s.</x:v>
      </x:c>
      <x:c r="I11" s="14" t="str">
        <x:v>Usar VM1/VM2/VM3 e o racionamento da coluna verde da aba Niveis_Meta_Racion. Possibilidade/Cenário 1. A figura final apresenta 170/133/95/44 L/s.</x:v>
      </x:c>
      <x:c r="J11" s="14" t="str">
        <x:v>Tabela mensal: armazenamento inicial/final, afluência, evaporação, demanda solicitada/atendida, racionamento, vertimento, falha, modo de operação.</x:v>
      </x:c>
      <x:c r="K11" s="14" t="str">
        <x:v>Curvas, vazão total por estado, balanço e permanências quando extraídas.</x:v>
      </x:c>
    </x:row>
    <x:row r="12">
      <x:c r="A12" s="14" t="n">
        <x:v>11</x:v>
      </x:c>
      <x:c r="B12" s="14" t="str">
        <x:v>Benguê</x:v>
      </x:c>
      <x:c r="C12" s="14" t="str">
        <x:v>Individual</x:v>
      </x:c>
      <x:c r="D12" s="14" t="str">
        <x:v>Simulação com Níveis Meta</x:v>
      </x:c>
      <x:c r="E12" s="14" t="str">
        <x:v>Histórico</x:v>
      </x:c>
      <x:c r="F12" s="14" t="str">
        <x:v>1911–2021</x:v>
      </x:c>
      <x:c r="G12" s="16" t="n">
        <x:v>0.075</x:v>
      </x:c>
      <x:c r="H12" s="14" t="str">
        <x:v>Regra 2 | 0 / 0 / 34 / 68% no trecho de representação escolhida.</x:v>
      </x:c>
      <x:c r="I12" s="14" t="str">
        <x:v>Usar VM1/VM2/VM3 e o racionamento da coluna verde da aba Niveis_Meta_Racion. A figura arredonda Seca para 50 L/s; o texto da regra escolhida define 34% e 68%.</x:v>
      </x:c>
      <x:c r="J12" s="14" t="str">
        <x:v>Tabela mensal: armazenamento inicial/final, afluência, evaporação, demanda solicitada/atendida, racionamento, vertimento, falha, modo de operação.</x:v>
      </x:c>
      <x:c r="K12" s="14" t="str">
        <x:v>Curvas e lógica de racionamento; benchmark histórico precisa revisão.</x:v>
      </x:c>
    </x:row>
    <x:row r="13">
      <x:c r="A13" s="14" t="n">
        <x:v>12</x:v>
      </x:c>
      <x:c r="B13" s="14" t="str">
        <x:v>Cachoeira</x:v>
      </x:c>
      <x:c r="C13" s="14" t="str">
        <x:v>Individual</x:v>
      </x:c>
      <x:c r="D13" s="14" t="str">
        <x:v>Simulação com Níveis Meta</x:v>
      </x:c>
      <x:c r="E13" s="14" t="str">
        <x:v>Histórico</x:v>
      </x:c>
      <x:c r="F13" s="14" t="str">
        <x:v>1911–2021</x:v>
      </x:c>
      <x:c r="G13" s="16" t="n">
        <x:v>0.12</x:v>
      </x:c>
      <x:c r="H13" s="14" t="str">
        <x:v>Cenário 4 | Tipo I: 0/0/10/15%; Tipo II: 0/50/85/100% (cenário mais restritivo).</x:v>
      </x:c>
      <x:c r="I13" s="14" t="str">
        <x:v>Usar VM1/VM2/VM3 e o racionamento da coluna verde da aba Niveis_Meta_Racion. Cenário 4. A figura final apresenta 120/85/56/43 L/s.</x:v>
      </x:c>
      <x:c r="J13" s="14" t="str">
        <x:v>Tabela mensal: armazenamento inicial/final, afluência, evaporação, demanda solicitada/atendida, racionamento, vertimento, falha, modo de operação.</x:v>
      </x:c>
      <x:c r="K13" s="14" t="str">
        <x:v>Fronteiras/estados e equivalência agregada; não tratar a série constante como reprodução exata.</x:v>
      </x:c>
    </x:row>
    <x:row r="14">
      <x:c r="A14" s="14" t="n">
        <x:v>13</x:v>
      </x:c>
      <x:c r="B14" s="14" t="str">
        <x:v>Canoas</x:v>
      </x:c>
      <x:c r="C14" s="14" t="str">
        <x:v>Individual</x:v>
      </x:c>
      <x:c r="D14" s="14" t="str">
        <x:v>Simulação com Níveis Meta</x:v>
      </x:c>
      <x:c r="E14" s="14" t="str">
        <x:v>Histórico</x:v>
      </x:c>
      <x:c r="F14" s="14" t="str">
        <x:v>1911–2021</x:v>
      </x:c>
      <x:c r="G14" s="16" t="n">
        <x:v>0.19</x:v>
      </x:c>
      <x:c r="H14" s="14" t="str">
        <x:v>Regra 2 | 0 / 16 / 40 / 80%</x:v>
      </x:c>
      <x:c r="I14" s="14" t="str">
        <x:v>Usar VM1/VM2/VM3 e o racionamento da coluna verde da aba Niveis_Meta_Racion. Regra 2. A figura arredonda Alerta para 160 L/s; a regra oficial usa 16%.</x:v>
      </x:c>
      <x:c r="J14" s="14" t="str">
        <x:v>Tabela mensal: armazenamento inicial/final, afluência, evaporação, demanda solicitada/atendida, racionamento, vertimento, falha, modo de operação.</x:v>
      </x:c>
      <x:c r="K14" s="14" t="str">
        <x:v>Benchmark completo: curvas, racionamento, estado mensal, permanências e balanço.</x:v>
      </x:c>
    </x:row>
    <x:row r="15">
      <x:c r="A15" s="14" t="n">
        <x:v>14</x:v>
      </x:c>
      <x:c r="B15" s="14" t="str">
        <x:v>Castro</x:v>
      </x:c>
      <x:c r="C15" s="14" t="str">
        <x:v>Individual</x:v>
      </x:c>
      <x:c r="D15" s="14" t="str">
        <x:v>Simulação com Níveis Meta</x:v>
      </x:c>
      <x:c r="E15" s="14" t="str">
        <x:v>Histórico</x:v>
      </x:c>
      <x:c r="F15" s="14" t="str">
        <x:v>1911–2021</x:v>
      </x:c>
      <x:c r="G15" s="16" t="n">
        <x:v>0.15</x:v>
      </x:c>
      <x:c r="H15" s="14" t="str">
        <x:v>Possibilidade 1 | 0 / 20 / 40 / 70%; vazões 150/120/90/45 L/s.</x:v>
      </x:c>
      <x:c r="I15" s="14" t="str">
        <x:v>Usar VM1/VM2/VM3 e o racionamento da coluna verde da aba Niveis_Meta_Racion. Para a opção escolhida com 150 L/s no Normal, usar 20/40/70%.</x:v>
      </x:c>
      <x:c r="J15" s="14" t="str">
        <x:v>Tabela mensal: armazenamento inicial/final, afluência, evaporação, demanda solicitada/atendida, racionamento, vertimento, falha, modo de operação.</x:v>
      </x:c>
      <x:c r="K15" s="14" t="str">
        <x:v>Curvas, racionamento, estado mensal, balanço e permanências.</x:v>
      </x:c>
    </x:row>
    <x:row r="16">
      <x:c r="A16" s="14" t="n">
        <x:v>15</x:v>
      </x:c>
      <x:c r="B16" s="14" t="str">
        <x:v>Forquilha</x:v>
      </x:c>
      <x:c r="C16" s="14" t="str">
        <x:v>Individual</x:v>
      </x:c>
      <x:c r="D16" s="14" t="str">
        <x:v>Simulação com Níveis Meta</x:v>
      </x:c>
      <x:c r="E16" s="14" t="str">
        <x:v>Histórico</x:v>
      </x:c>
      <x:c r="F16" s="14" t="str">
        <x:v>1911–2021</x:v>
      </x:c>
      <x:c r="G16" s="16" t="n">
        <x:v>0.12</x:v>
      </x:c>
      <x:c r="H16" s="14" t="str">
        <x:v>Cenário 2 | PGPS apresenta dois conjuntos por Tipo I/II; confirmar associação exata ao Cenário 2 antes do benchmark de retirada.</x:v>
      </x:c>
      <x:c r="I16" s="14" t="str">
        <x:v>Usar VM1/VM2/VM3 e o racionamento da coluna verde da aba Niveis_Meta_Racion. Cenário 2/Atendimento 2. A figura final apresenta 120/92/56/20 L/s.</x:v>
      </x:c>
      <x:c r="J16" s="14" t="str">
        <x:v>Tabela mensal: armazenamento inicial/final, afluência, evaporação, demanda solicitada/atendida, racionamento, vertimento, falha, modo de operação.</x:v>
      </x:c>
      <x:c r="K16" s="14" t="str">
        <x:v>Curvas e fronteiras agora; retirada total após confirmação do conjunto.</x:v>
      </x:c>
    </x:row>
    <x:row r="17">
      <x:c r="A17" s="14" t="n">
        <x:v>16</x:v>
      </x:c>
      <x:c r="B17" s="14" t="str">
        <x:v>Jenipapo</x:v>
      </x:c>
      <x:c r="C17" s="14" t="str">
        <x:v>Individual</x:v>
      </x:c>
      <x:c r="D17" s="14" t="str">
        <x:v>Simulação com Níveis Meta</x:v>
      </x:c>
      <x:c r="E17" s="14" t="str">
        <x:v>Histórico</x:v>
      </x:c>
      <x:c r="F17" s="14" t="str">
        <x:v>1911–2021</x:v>
      </x:c>
      <x:c r="G17" s="16" t="n">
        <x:v>0.055</x:v>
      </x:c>
      <x:c r="H17" s="14" t="str">
        <x:v>Cenário 2 | Atendimento 2: Tipo I 0/0/57/70%; Tipo II 0/0/70/100% (conforme cenário apresentado).</x:v>
      </x:c>
      <x:c r="I17" s="14" t="str">
        <x:v>Usar VM1/VM2/VM3 e o racionamento da coluna verde da aba Niveis_Meta_Racion. Cenário 2/Atendimento 2. A figura final apresenta 55/55/22/13 L/s.</x:v>
      </x:c>
      <x:c r="J17" s="14" t="str">
        <x:v>Tabela mensal: armazenamento inicial/final, afluência, evaporação, demanda solicitada/atendida, racionamento, vertimento, falha, modo de operação.</x:v>
      </x:c>
      <x:c r="K17" s="14" t="str">
        <x:v>Curvas/estados após transcrição correta; equivalência total por estado.</x:v>
      </x:c>
    </x:row>
    <x:row r="18">
      <x:c r="A18" s="14" t="n">
        <x:v>17</x:v>
      </x:c>
      <x:c r="B18" s="14" t="str">
        <x:v>Joaquim Távora (Feiticeiro)</x:v>
      </x:c>
      <x:c r="C18" s="14" t="str">
        <x:v>Individual</x:v>
      </x:c>
      <x:c r="D18" s="14" t="str">
        <x:v>Simulação com Níveis Meta</x:v>
      </x:c>
      <x:c r="E18" s="14" t="str">
        <x:v>Histórico</x:v>
      </x:c>
      <x:c r="F18" s="14" t="str">
        <x:v>Confirmar no PGPS antes do benchmark histórico</x:v>
      </x:c>
      <x:c r="G18" s="16" t="n">
        <x:v>0.105</x:v>
      </x:c>
      <x:c r="H18" s="14" t="str">
        <x:v>Cenário 1 | Tipo II: 0/20/100/100%; demanda prioritária preservada.</x:v>
      </x:c>
      <x:c r="I18" s="14" t="str">
        <x:v>Usar VM1/VM2/VM3 e o racionamento da coluna verde da aba Niveis_Meta_Racion. O cenário é descrito como 105 L/s no Normal; a própria figura mostra rótulo 'Normal = 103 L/s'. Os equivalentes usam a demanda-base de 105 L/s.</x:v>
      </x:c>
      <x:c r="J18" s="14" t="str">
        <x:v>Tabela mensal: armazenamento inicial/final, afluência, evaporação, demanda solicitada/atendida, racionamento, vertimento, falha, modo de operação.</x:v>
      </x:c>
      <x:c r="K18" s="14" t="str">
        <x:v>Curvas, vazões totais por estado e balanço após completar a ficha.</x:v>
      </x:c>
    </x:row>
    <x:row r="19">
      <x:c r="A19" s="14" t="n">
        <x:v>18</x:v>
      </x:c>
      <x:c r="B19" s="14" t="str">
        <x:v>Mundaú</x:v>
      </x:c>
      <x:c r="C19" s="14" t="str">
        <x:v>Individual</x:v>
      </x:c>
      <x:c r="D19" s="14" t="str">
        <x:v>Simulação com Níveis Meta</x:v>
      </x:c>
      <x:c r="E19" s="14" t="str">
        <x:v>Histórico</x:v>
      </x:c>
      <x:c r="F19" s="14" t="str">
        <x:v>1911–2021</x:v>
      </x:c>
      <x:c r="G19" s="16" t="n">
        <x:v>0.25</x:v>
      </x:c>
      <x:c r="H19" s="14" t="str">
        <x:v>Cenário 1 | Demanda total: 0 / 0 / 50 / 70%</x:v>
      </x:c>
      <x:c r="I19" s="14" t="str">
        <x:v>Usar VM1/VM2/VM3 e o racionamento da coluna verde da aba Niveis_Meta_Racion. Cenário 1. Normal e Alerta formam uma zona sem racionamento.</x:v>
      </x:c>
      <x:c r="J19" s="14" t="str">
        <x:v>Tabela mensal: armazenamento inicial/final, afluência, evaporação, demanda solicitada/atendida, racionamento, vertimento, falha, modo de operação.</x:v>
      </x:c>
      <x:c r="K19" s="14" t="str">
        <x:v>Curvas, fronteiras, racionamento, estados, balanço e permanências.</x:v>
      </x:c>
    </x:row>
    <x:row r="20">
      <x:c r="A20" s="14" t="n">
        <x:v>19</x:v>
      </x:c>
      <x:c r="B20" s="14" t="str">
        <x:v>Olho D’Água</x:v>
      </x:c>
      <x:c r="C20" s="14" t="str">
        <x:v>Individual</x:v>
      </x:c>
      <x:c r="D20" s="14" t="str">
        <x:v>Simulação com Níveis Meta</x:v>
      </x:c>
      <x:c r="E20" s="14" t="str">
        <x:v>Histórico</x:v>
      </x:c>
      <x:c r="F20" s="14" t="str">
        <x:v>1911–2021</x:v>
      </x:c>
      <x:c r="G20" s="16" t="n">
        <x:v>0.1</x:v>
      </x:c>
      <x:c r="H20" s="14" t="str">
        <x:v>Cenário A | Cenário menos restritivo com racionamento diferenciado por Tipo I/II.</x:v>
      </x:c>
      <x:c r="I20" s="14" t="str">
        <x:v>Usar VM1/VM2/VM3 e o racionamento da coluna verde da aba Niveis_Meta_Racion. Cenário A. A figura final apresenta 100/95/71/41 L/s.</x:v>
      </x:c>
      <x:c r="J20" s="14" t="str">
        <x:v>Tabela mensal: armazenamento inicial/final, afluência, evaporação, demanda solicitada/atendida, racionamento, vertimento, falha, modo de operação.</x:v>
      </x:c>
      <x:c r="K20" s="14" t="str">
        <x:v>Curvas e classificação; armazenamento exato após suporte a demanda mensal.</x:v>
      </x:c>
    </x:row>
    <x:row r="21">
      <x:c r="A21" s="14" t="n">
        <x:v>20</x:v>
      </x:c>
      <x:c r="B21" s="14" t="str">
        <x:v>Pesqueiro</x:v>
      </x:c>
      <x:c r="C21" s="14" t="str">
        <x:v>Individual</x:v>
      </x:c>
      <x:c r="D21" s="14" t="str">
        <x:v>Simulação com Níveis Meta</x:v>
      </x:c>
      <x:c r="E21" s="14" t="str">
        <x:v>Histórico</x:v>
      </x:c>
      <x:c r="F21" s="14" t="str">
        <x:v>1911–2021</x:v>
      </x:c>
      <x:c r="G21" s="16" t="n">
        <x:v>0.033</x:v>
      </x:c>
      <x:c r="H21" s="14" t="str">
        <x:v>Cenário 2 | Vazões totais: 33 / 30 / 26 / 14 L/s.</x:v>
      </x:c>
      <x:c r="I21" s="14" t="str">
        <x:v>Usar VM1/VM2/VM3 e o racionamento da coluna verde da aba Niveis_Meta_Racion. Cenário 2 escolhido. A figura correspondente apresenta 33/30/26/14 L/s.</x:v>
      </x:c>
      <x:c r="J21" s="14" t="str">
        <x:v>Tabela mensal: armazenamento inicial/final, afluência, evaporação, demanda solicitada/atendida, racionamento, vertimento, falha, modo de operação.</x:v>
      </x:c>
      <x:c r="K21" s="14" t="str">
        <x:v>Curvas, total atendido, estado mensal e balanço.</x:v>
      </x:c>
    </x:row>
    <x:row r="22">
      <x:c r="A22" s="14" t="n">
        <x:v>21</x:v>
      </x:c>
      <x:c r="B22" s="14" t="str">
        <x:v>Poço Verde</x:v>
      </x:c>
      <x:c r="C22" s="14" t="str">
        <x:v>Individual</x:v>
      </x:c>
      <x:c r="D22" s="14" t="str">
        <x:v>Simulação com Níveis Meta</x:v>
      </x:c>
      <x:c r="E22" s="14" t="str">
        <x:v>Histórico</x:v>
      </x:c>
      <x:c r="F22" s="14" t="str">
        <x:v>1911–2021</x:v>
      </x:c>
      <x:c r="G22" s="16" t="n">
        <x:v>0.105</x:v>
      </x:c>
      <x:c r="H22" s="14" t="str">
        <x:v>Cenário 2 | Conjuntos: 0/17/55/77% e 0/23/70/80%; associação ao Cenário 2 deve ser confirmada.</x:v>
      </x:c>
      <x:c r="I22" s="14" t="str">
        <x:v>Usar VM1/VM2/VM3 e o racionamento da coluna verde da aba Niveis_Meta_Racion. O cenário escolhido utiliza o Atendimento 2; as vazões 105/81/32/21 L/s são compatíveis com arredondamento.</x:v>
      </x:c>
      <x:c r="J22" s="14" t="str">
        <x:v>Tabela mensal: armazenamento inicial/final, afluência, evaporação, demanda solicitada/atendida, racionamento, vertimento, falha, modo de operação.</x:v>
      </x:c>
      <x:c r="K22" s="14" t="str">
        <x:v>Curvas agora; racionamento/permanência após confirmação.</x:v>
      </x:c>
    </x:row>
    <x:row r="23">
      <x:c r="A23" s="14" t="n">
        <x:v>22</x:v>
      </x:c>
      <x:c r="B23" s="14" t="str">
        <x:v>Rosário</x:v>
      </x:c>
      <x:c r="C23" s="14" t="str">
        <x:v>Individual</x:v>
      </x:c>
      <x:c r="D23" s="14" t="str">
        <x:v>Simulação com Níveis Meta</x:v>
      </x:c>
      <x:c r="E23" s="14" t="str">
        <x:v>Histórico</x:v>
      </x:c>
      <x:c r="F23" s="14" t="str">
        <x:v>1911–2021</x:v>
      </x:c>
      <x:c r="G23" s="16" t="n">
        <x:v>0.35</x:v>
      </x:c>
      <x:c r="H23" s="14" t="str">
        <x:v>Cenário A | Cenário menos restritivo com prioridades Tipo I/II; converter para vazão total por estado.</x:v>
      </x:c>
      <x:c r="I23" s="14" t="str">
        <x:v>Usar VM1/VM2/VM3 e o racionamento da coluna verde da aba Niveis_Meta_Racion. Cenário A. A figura final apresenta 350/200/120/40 L/s.</x:v>
      </x:c>
      <x:c r="J23" s="14" t="str">
        <x:v>Tabela mensal: armazenamento inicial/final, afluência, evaporação, demanda solicitada/atendida, racionamento, vertimento, falha, modo de operação.</x:v>
      </x:c>
      <x:c r="K23" s="14" t="str">
        <x:v>Curvas/classificação agora; armazenamento exato com retirada mensal.</x:v>
      </x:c>
    </x:row>
    <x:row r="24">
      <x:c r="A24" s="14" t="n">
        <x:v>23</x:v>
      </x:c>
      <x:c r="B24" s="14" t="str">
        <x:v>Santo Antônio de Russas</x:v>
      </x:c>
      <x:c r="C24" s="14" t="str">
        <x:v>Individual</x:v>
      </x:c>
      <x:c r="D24" s="14" t="str">
        <x:v>Simulação com Níveis Meta</x:v>
      </x:c>
      <x:c r="E24" s="14" t="str">
        <x:v>Histórico</x:v>
      </x:c>
      <x:c r="F24" s="14" t="str">
        <x:v>Confirmar no PGPS antes do benchmark histórico</x:v>
      </x:c>
      <x:c r="G24" s="16" t="n">
        <x:v>0.112</x:v>
      </x:c>
      <x:c r="H24" s="14" t="str">
        <x:v>Cenário 2 | Tipo II: 0 / 20 / 100 / 100%; demanda prioritária preservada.</x:v>
      </x:c>
      <x:c r="I24" s="14" t="str">
        <x:v>Usar VM1/VM2/VM3 e o racionamento da coluna verde da aba Niveis_Meta_Racion. Cenário 2 escolhido, Q normal 112 L/s. A legenda da figura contém inconsistência de numeração do cenário.</x:v>
      </x:c>
      <x:c r="J24" s="14" t="str">
        <x:v>Tabela mensal: armazenamento inicial/final, afluência, evaporação, demanda solicitada/atendida, racionamento, vertimento, falha, modo de operação.</x:v>
      </x:c>
      <x:c r="K24" s="14" t="str">
        <x:v>Curvas, vazão total por estado e balanço após completar a ficha.</x:v>
      </x:c>
    </x:row>
    <x:row r="25">
      <x:c r="A25" s="14" t="n">
        <x:v>24</x:v>
      </x:c>
      <x:c r="B25" s="14" t="str">
        <x:v>São José II</x:v>
      </x:c>
      <x:c r="C25" s="14" t="str">
        <x:v>Individual</x:v>
      </x:c>
      <x:c r="D25" s="14" t="str">
        <x:v>Simulação com Níveis Meta</x:v>
      </x:c>
      <x:c r="E25" s="14" t="str">
        <x:v>Histórico</x:v>
      </x:c>
      <x:c r="F25" s="14" t="str">
        <x:v>1911–2017</x:v>
      </x:c>
      <x:c r="G25" s="16" t="n">
        <x:v>0.105</x:v>
      </x:c>
      <x:c r="H25" s="14" t="str">
        <x:v>Cenário A | Regras por Tipo I/II; operação recomendada também é não constante/pulsada.</x:v>
      </x:c>
      <x:c r="I25" s="14" t="str">
        <x:v>Usar VM1/VM2/VM3 e o racionamento da coluna verde da aba Niveis_Meta_Racion. Cenário A. A figura final apresenta 105/90/76/17 L/s.</x:v>
      </x:c>
      <x:c r="J25" s="14" t="str">
        <x:v>Tabela mensal: armazenamento inicial/final, afluência, evaporação, demanda solicitada/atendida, racionamento, vertimento, falha, modo de operação.</x:v>
      </x:c>
      <x:c r="K25" s="14" t="str">
        <x:v>Classificação de estados; histórico após representar operação mensal.</x:v>
      </x:c>
    </x:row>
    <x:row r="26">
      <x:c r="A26" s="14" t="n">
        <x:v>25</x:v>
      </x:c>
      <x:c r="B26" s="14" t="str">
        <x:v>Umari</x:v>
      </x:c>
      <x:c r="C26" s="14" t="str">
        <x:v>Individual</x:v>
      </x:c>
      <x:c r="D26" s="14" t="str">
        <x:v>Simulação com Níveis Meta</x:v>
      </x:c>
      <x:c r="E26" s="14" t="str">
        <x:v>Histórico</x:v>
      </x:c>
      <x:c r="F26" s="14" t="str">
        <x:v>1911–2021</x:v>
      </x:c>
      <x:c r="G26" s="16" t="n">
        <x:v>0.065</x:v>
      </x:c>
      <x:c r="H26" s="14" t="str">
        <x:v>Cenário B | Cenário B sem racionamento no Normal; Tipo I 0/0/0/10%; Tipo II 0/20/33/100%.</x:v>
      </x:c>
      <x:c r="I26" s="14" t="str">
        <x:v>Usar VM1/VM2/VM3 e o racionamento da coluna verde da aba Niveis_Meta_Racion. Cenário B. A figura final apresenta 65/62/60/45 L/s; usar os percentuais equivalentes para o simulador de demanda agregada.</x:v>
      </x:c>
      <x:c r="J26" s="14" t="str">
        <x:v>Tabela mensal: armazenamento inicial/final, afluência, evaporação, demanda solicitada/atendida, racionamento, vertimento, falha, modo de operação.</x:v>
      </x:c>
      <x:c r="K26" s="14" t="str">
        <x:v>Curvas e lógica; benchmark histórico com ressalva.</x:v>
      </x:c>
    </x:row>
  </x:sheetData>
  <x:pageMargins left="0.7" right="0.7" top="0.75" bottom="0.75" header="0.3" footer="0.3"/>
  <x:tableParts count="1">
    <x:tablePart xmlns:r="http://schemas.openxmlformats.org/officeDocument/2006/relationships" r:id="R2e20de79334844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50" hidden="0" customWidth="1"/>
  </x:cols>
  <x:sheetData>
    <x:row r="1" ht="36" customHeight="1">
      <x:c r="A1" s="5" t="str">
        <x:v>Hidrossistema</x:v>
      </x:c>
      <x:c r="B1" s="5" t="str">
        <x:v>Q Normal (L/s)</x:v>
      </x:c>
      <x:c r="C1" s="5" t="str">
        <x:v>Q Alerta (L/s)</x:v>
      </x:c>
      <x:c r="D1" s="5" t="str">
        <x:v>Q Seca (L/s)</x:v>
      </x:c>
      <x:c r="E1" s="5" t="str">
        <x:v>Q Seca Severa (L/s)</x:v>
      </x:c>
      <x:c r="F1" s="5" t="str">
        <x:v>Rac. eq. Alerta (%)</x:v>
      </x:c>
      <x:c r="G1" s="5" t="str">
        <x:v>Rac. eq. Seca (%)</x:v>
      </x:c>
      <x:c r="H1" s="5" t="str">
        <x:v>Rac. eq. Severa (%)</x:v>
      </x:c>
      <x:c r="I1" s="5" t="str">
        <x:v>Origem / método</x:v>
      </x:c>
    </x:row>
    <x:row r="2">
      <x:c r="A2" s="12" t="str">
        <x:v>Angicos</x:v>
      </x:c>
      <x:c r="B2" s="28" t="n">
        <x:v>300</x:v>
      </x:c>
      <x:c r="C2" s="28" t="n">
        <x:v>108</x:v>
      </x:c>
      <x:c r="D2" s="28" t="n">
        <x:v>30</x:v>
      </x:c>
      <x:c r="E2" s="28" t="n">
        <x:v>0</x:v>
      </x:c>
      <x:c r="F2" s="28" t="n">
        <x:f>IF(B2&gt;0,(B2-C2)/B2*100,"")</x:f>
        <x:v>64</x:v>
      </x:c>
      <x:c r="G2" s="28" t="n">
        <x:f>IF(B2&gt;0,(B2-D2)/B2*100,"")</x:f>
        <x:v>90</x:v>
      </x:c>
      <x:c r="H2" s="28" t="n">
        <x:f>IF(B2&gt;0,(B2-E2)/B2*100,"")</x:f>
        <x:v>100</x:v>
      </x:c>
      <x:c r="I2" s="12" t="str">
        <x:v>Vazões totais do cenário final do PGPS</x:v>
      </x:c>
    </x:row>
    <x:row r="3">
      <x:c r="A3" s="12" t="str">
        <x:v>Catucinzenta / Lagoa do Catu</x:v>
      </x:c>
      <x:c r="B3" s="28" t="n">
        <x:v>87</x:v>
      </x:c>
      <x:c r="C3" s="28" t="n">
        <x:v>68</x:v>
      </x:c>
      <x:c r="D3" s="28" t="n">
        <x:v>59</x:v>
      </x:c>
      <x:c r="E3" s="28" t="n">
        <x:v>51</x:v>
      </x:c>
      <x:c r="F3" s="28" t="n">
        <x:f>IF(B3&gt;0,(B3-C3)/B3*100,"")</x:f>
        <x:v>21.839080459770116</x:v>
      </x:c>
      <x:c r="G3" s="28" t="n">
        <x:f>IF(B3&gt;0,(B3-D3)/B3*100,"")</x:f>
        <x:v>32.18390804597701</x:v>
      </x:c>
      <x:c r="H3" s="28" t="n">
        <x:f>IF(B3&gt;0,(B3-E3)/B3*100,"")</x:f>
        <x:v>41.37931034482759</x:v>
      </x:c>
      <x:c r="I3" s="12" t="str">
        <x:v>Vazões totais da Possibilidade 1</x:v>
      </x:c>
    </x:row>
    <x:row r="4">
      <x:c r="A4" s="12" t="str">
        <x:v>Pedras Brancas</x:v>
      </x:c>
      <x:c r="B4" s="28" t="n">
        <x:v>415</x:v>
      </x:c>
      <x:c r="C4" s="28" t="n">
        <x:v>297.5</x:v>
      </x:c>
      <x:c r="D4" s="28" t="n">
        <x:v>230</x:v>
      </x:c>
      <x:c r="E4" s="28" t="n">
        <x:v>150.15</x:v>
      </x:c>
      <x:c r="F4" s="28" t="n">
        <x:f>IF(B4&gt;0,(B4-C4)/B4*100,"")</x:f>
        <x:v>28.313253012048197</x:v>
      </x:c>
      <x:c r="G4" s="28" t="n">
        <x:f>IF(B4&gt;0,(B4-D4)/B4*100,"")</x:f>
        <x:v>44.57831325301205</x:v>
      </x:c>
      <x:c r="H4" s="28" t="n">
        <x:f>IF(B4&gt;0,(B4-E4)/B4*100,"")</x:f>
        <x:v>63.81927710843374</x:v>
      </x:c>
      <x:c r="I4" s="12" t="str">
        <x:v>Derivado das parcelas Tipo I/II do cenário A</x:v>
      </x:c>
    </x:row>
    <x:row r="5">
      <x:c r="A5" s="12" t="str">
        <x:v>Trussu</x:v>
      </x:c>
      <x:c r="B5" s="28" t="n">
        <x:v>500</x:v>
      </x:c>
      <x:c r="C5" s="28" t="n">
        <x:v>350</x:v>
      </x:c>
      <x:c r="D5" s="28" t="n">
        <x:v>200</x:v>
      </x:c>
      <x:c r="E5" s="28" t="n">
        <x:v>100</x:v>
      </x:c>
      <x:c r="F5" s="28" t="n">
        <x:f>IF(B5&gt;0,(B5-C5)/B5*100,"")</x:f>
        <x:v>30</x:v>
      </x:c>
      <x:c r="G5" s="28" t="n">
        <x:f>IF(B5&gt;0,(B5-D5)/B5*100,"")</x:f>
        <x:v>60</x:v>
      </x:c>
      <x:c r="H5" s="28" t="n">
        <x:f>IF(B5&gt;0,(B5-E5)/B5*100,"")</x:f>
        <x:v>80</x:v>
      </x:c>
      <x:c r="I5" s="12" t="str">
        <x:v>Derivado das parcelas Tipo I/II da regra escolhida</x:v>
      </x:c>
    </x:row>
    <x:row r="6">
      <x:c r="A6" s="12" t="str">
        <x:v>Aracoiaba</x:v>
      </x:c>
      <x:c r="B6" s="28" t="n">
        <x:v>432</x:v>
      </x:c>
      <x:c r="C6" s="28" t="n">
        <x:v>387</x:v>
      </x:c>
      <x:c r="D6" s="28" t="n">
        <x:v>358</x:v>
      </x:c>
      <x:c r="E6" s="28" t="n">
        <x:v>259</x:v>
      </x:c>
      <x:c r="F6" s="28" t="n">
        <x:f>IF(B6&gt;0,(B6-C6)/B6*100,"")</x:f>
        <x:v>10.416666666666668</x:v>
      </x:c>
      <x:c r="G6" s="28" t="n">
        <x:f>IF(B6&gt;0,(B6-D6)/B6*100,"")</x:f>
        <x:v>17.12962962962963</x:v>
      </x:c>
      <x:c r="H6" s="28" t="n">
        <x:f>IF(B6&gt;0,(B6-E6)/B6*100,"")</x:f>
        <x:v>40.0462962962963</x:v>
      </x:c>
      <x:c r="I6" s="12" t="str">
        <x:v>Vazões totais do Cenário 2</x:v>
      </x:c>
    </x:row>
    <x:row r="7">
      <x:c r="A7" s="12" t="str">
        <x:v>Batente</x:v>
      </x:c>
      <x:c r="B7" s="28" t="n">
        <x:v>170</x:v>
      </x:c>
      <x:c r="C7" s="28" t="n">
        <x:v>133</x:v>
      </x:c>
      <x:c r="D7" s="28" t="n">
        <x:v>95</x:v>
      </x:c>
      <x:c r="E7" s="28" t="n">
        <x:v>44</x:v>
      </x:c>
      <x:c r="F7" s="28" t="n">
        <x:f>IF(B7&gt;0,(B7-C7)/B7*100,"")</x:f>
        <x:v>21.764705882352942</x:v>
      </x:c>
      <x:c r="G7" s="28" t="n">
        <x:f>IF(B7&gt;0,(B7-D7)/B7*100,"")</x:f>
        <x:v>44.11764705882353</x:v>
      </x:c>
      <x:c r="H7" s="28" t="n">
        <x:f>IF(B7&gt;0,(B7-E7)/B7*100,"")</x:f>
        <x:v>74.11764705882354</x:v>
      </x:c>
      <x:c r="I7" s="12" t="str">
        <x:v>Vazões totais da Possibilidade 1</x:v>
      </x:c>
    </x:row>
    <x:row r="8">
      <x:c r="A8" s="12" t="str">
        <x:v>Canoas</x:v>
      </x:c>
      <x:c r="B8" s="28" t="n">
        <x:v>190</x:v>
      </x:c>
      <x:c r="C8" s="28" t="n">
        <x:v>159.6</x:v>
      </x:c>
      <x:c r="D8" s="28" t="n">
        <x:v>114</x:v>
      </x:c>
      <x:c r="E8" s="28" t="n">
        <x:v>38</x:v>
      </x:c>
      <x:c r="F8" s="28" t="n">
        <x:f>IF(B8&gt;0,(B8-C8)/B8*100,"")</x:f>
        <x:v>16.000000000000004</x:v>
      </x:c>
      <x:c r="G8" s="28" t="n">
        <x:f>IF(B8&gt;0,(B8-D8)/B8*100,"")</x:f>
        <x:v>40</x:v>
      </x:c>
      <x:c r="H8" s="28" t="n">
        <x:f>IF(B8&gt;0,(B8-E8)/B8*100,"")</x:f>
        <x:v>80</x:v>
      </x:c>
      <x:c r="I8" s="12" t="str">
        <x:v>Q=190 e racionamentos 0/16/40/80%; valores arredondados no PGPS</x:v>
      </x:c>
    </x:row>
    <x:row r="9">
      <x:c r="A9" s="12" t="str">
        <x:v>Castro</x:v>
      </x:c>
      <x:c r="B9" s="28" t="n">
        <x:v>150</x:v>
      </x:c>
      <x:c r="C9" s="28" t="n">
        <x:v>120</x:v>
      </x:c>
      <x:c r="D9" s="28" t="n">
        <x:v>90</x:v>
      </x:c>
      <x:c r="E9" s="28" t="n">
        <x:v>45</x:v>
      </x:c>
      <x:c r="F9" s="28" t="n">
        <x:f>IF(B9&gt;0,(B9-C9)/B9*100,"")</x:f>
        <x:v>20</x:v>
      </x:c>
      <x:c r="G9" s="28" t="n">
        <x:f>IF(B9&gt;0,(B9-D9)/B9*100,"")</x:f>
        <x:v>40</x:v>
      </x:c>
      <x:c r="H9" s="28" t="n">
        <x:f>IF(B9&gt;0,(B9-E9)/B9*100,"")</x:f>
        <x:v>70</x:v>
      </x:c>
      <x:c r="I9" s="12" t="str">
        <x:v>Q=150 e racionamentos 0/20/40/70%</x:v>
      </x:c>
    </x:row>
    <x:row r="10">
      <x:c r="A10" s="12" t="str">
        <x:v>Mundaú</x:v>
      </x:c>
      <x:c r="B10" s="28" t="n">
        <x:v>250</x:v>
      </x:c>
      <x:c r="C10" s="28" t="n">
        <x:v>250</x:v>
      </x:c>
      <x:c r="D10" s="28" t="n">
        <x:v>125</x:v>
      </x:c>
      <x:c r="E10" s="28" t="n">
        <x:v>75</x:v>
      </x:c>
      <x:c r="F10" s="28" t="n">
        <x:f>IF(B10&gt;0,(B10-C10)/B10*100,"")</x:f>
        <x:v>0</x:v>
      </x:c>
      <x:c r="G10" s="28" t="n">
        <x:f>IF(B10&gt;0,(B10-D10)/B10*100,"")</x:f>
        <x:v>50</x:v>
      </x:c>
      <x:c r="H10" s="28" t="n">
        <x:f>IF(B10&gt;0,(B10-E10)/B10*100,"")</x:f>
        <x:v>70</x:v>
      </x:c>
      <x:c r="I10" s="12" t="str">
        <x:v>Q=250 e racionamentos 0/0/50/70%</x:v>
      </x:c>
    </x:row>
    <x:row r="11">
      <x:c r="A11" s="12" t="str">
        <x:v>Pesqueiro</x:v>
      </x:c>
      <x:c r="B11" s="28" t="n">
        <x:v>33</x:v>
      </x:c>
      <x:c r="C11" s="28" t="n">
        <x:v>30</x:v>
      </x:c>
      <x:c r="D11" s="28" t="n">
        <x:v>26</x:v>
      </x:c>
      <x:c r="E11" s="28" t="n">
        <x:v>14</x:v>
      </x:c>
      <x:c r="F11" s="28" t="n">
        <x:f>IF(B11&gt;0,(B11-C11)/B11*100,"")</x:f>
        <x:v>9.090909090909092</x:v>
      </x:c>
      <x:c r="G11" s="28" t="n">
        <x:f>IF(B11&gt;0,(B11-D11)/B11*100,"")</x:f>
        <x:v>21.21212121212121</x:v>
      </x:c>
      <x:c r="H11" s="28" t="n">
        <x:f>IF(B11&gt;0,(B11-E11)/B11*100,"")</x:f>
        <x:v>57.57575757575758</x:v>
      </x:c>
      <x:c r="I11" s="12" t="str">
        <x:v>Vazões totais do Cenário 2</x:v>
      </x:c>
    </x:row>
  </x:sheetData>
  <x:pageMargins left="0.7" right="0.7" top="0.75" bottom="0.75" header="0.3" footer="0.3"/>
  <x:tableParts count="1">
    <x:tablePart xmlns:r="http://schemas.openxmlformats.org/officeDocument/2006/relationships" r:id="R9c1379f37b124a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9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</x:cols>
  <x:sheetData>
    <x:row r="1" ht="36" customHeight="1">
      <x:c r="A1" s="23" t="str">
        <x:v>Hidrossistema</x:v>
      </x:c>
      <x:c r="B1" s="23" t="str">
        <x:v>Curva</x:v>
      </x:c>
      <x:c r="C1" s="23" t="str">
        <x:v>Cenário</x:v>
      </x:c>
      <x:c r="D1" s="23" t="str">
        <x:v>JAN</x:v>
      </x:c>
      <x:c r="E1" s="23" t="str">
        <x:v>FEV</x:v>
      </x:c>
      <x:c r="F1" s="23" t="str">
        <x:v>MAR</x:v>
      </x:c>
      <x:c r="G1" s="23" t="str">
        <x:v>ABR</x:v>
      </x:c>
      <x:c r="H1" s="23" t="str">
        <x:v>MAI</x:v>
      </x:c>
      <x:c r="I1" s="23" t="str">
        <x:v>JUN</x:v>
      </x:c>
      <x:c r="J1" s="23" t="str">
        <x:v>JUL</x:v>
      </x:c>
      <x:c r="K1" s="23" t="str">
        <x:v>AGO</x:v>
      </x:c>
      <x:c r="L1" s="23" t="str">
        <x:v>SET</x:v>
      </x:c>
      <x:c r="M1" s="23" t="str">
        <x:v>OUT</x:v>
      </x:c>
      <x:c r="N1" s="23" t="str">
        <x:v>NOV</x:v>
      </x:c>
      <x:c r="O1" s="23" t="str">
        <x:v>DEZ</x:v>
      </x:c>
      <x:c r="P1" s="23" t="str">
        <x:v>Fonte</x:v>
      </x:c>
    </x:row>
    <x:row r="2">
      <x:c r="A2" s="12" t="str">
        <x:v>Canoas</x:v>
      </x:c>
      <x:c r="B2" s="12" t="str">
        <x:v>VM1 – Normal/Alerta</x:v>
      </x:c>
      <x:c r="C2" s="12" t="str">
        <x:v>Regra 2</x:v>
      </x:c>
      <x:c r="D2" s="30" t="n">
        <x:v>33</x:v>
      </x:c>
      <x:c r="E2" s="30" t="n">
        <x:v>32</x:v>
      </x:c>
      <x:c r="F2" s="30" t="n">
        <x:v>31</x:v>
      </x:c>
      <x:c r="G2" s="30" t="n">
        <x:v>32</x:v>
      </x:c>
      <x:c r="H2" s="30" t="n">
        <x:v>34</x:v>
      </x:c>
      <x:c r="I2" s="30" t="n">
        <x:v>33</x:v>
      </x:c>
      <x:c r="J2" s="30" t="n">
        <x:v>48</x:v>
      </x:c>
      <x:c r="K2" s="30" t="n">
        <x:v>46</x:v>
      </x:c>
      <x:c r="L2" s="30" t="n">
        <x:v>43</x:v>
      </x:c>
      <x:c r="M2" s="30" t="n">
        <x:v>40</x:v>
      </x:c>
      <x:c r="N2" s="30" t="n">
        <x:v>38</x:v>
      </x:c>
      <x:c r="O2" s="30" t="n">
        <x:v>35</x:v>
      </x:c>
      <x:c r="P2" s="12" t="str">
        <x:v>p. 57</x:v>
      </x:c>
    </x:row>
    <x:row r="3">
      <x:c r="A3" s="12" t="str">
        <x:v>Canoas</x:v>
      </x:c>
      <x:c r="B3" s="12" t="str">
        <x:v>VM2 – Alerta/Seca</x:v>
      </x:c>
      <x:c r="C3" s="12" t="str">
        <x:v>Regra 2</x:v>
      </x:c>
      <x:c r="D3" s="30" t="n">
        <x:v>22</x:v>
      </x:c>
      <x:c r="E3" s="30" t="n">
        <x:v>21</x:v>
      </x:c>
      <x:c r="F3" s="30" t="n">
        <x:v>20</x:v>
      </x:c>
      <x:c r="G3" s="30" t="n">
        <x:v>22</x:v>
      </x:c>
      <x:c r="H3" s="30" t="n">
        <x:v>23</x:v>
      </x:c>
      <x:c r="I3" s="30" t="n">
        <x:v>23</x:v>
      </x:c>
      <x:c r="J3" s="30" t="n">
        <x:v>35</x:v>
      </x:c>
      <x:c r="K3" s="30" t="n">
        <x:v>33</x:v>
      </x:c>
      <x:c r="L3" s="30" t="n">
        <x:v>30</x:v>
      </x:c>
      <x:c r="M3" s="30" t="n">
        <x:v>28</x:v>
      </x:c>
      <x:c r="N3" s="30" t="n">
        <x:v>26</x:v>
      </x:c>
      <x:c r="O3" s="30" t="n">
        <x:v>24</x:v>
      </x:c>
      <x:c r="P3" s="12" t="str">
        <x:v>p. 57</x:v>
      </x:c>
    </x:row>
    <x:row r="4">
      <x:c r="A4" s="12" t="str">
        <x:v>Canoas</x:v>
      </x:c>
      <x:c r="B4" s="12" t="str">
        <x:v>VM3 – Seca/Seca Severa</x:v>
      </x:c>
      <x:c r="C4" s="12" t="str">
        <x:v>Regra 2</x:v>
      </x:c>
      <x:c r="D4" s="30" t="n">
        <x:v>13</x:v>
      </x:c>
      <x:c r="E4" s="30" t="n">
        <x:v>12</x:v>
      </x:c>
      <x:c r="F4" s="30" t="n">
        <x:v>12</x:v>
      </x:c>
      <x:c r="G4" s="30" t="n">
        <x:v>13</x:v>
      </x:c>
      <x:c r="H4" s="30" t="n">
        <x:v>15</x:v>
      </x:c>
      <x:c r="I4" s="30" t="n">
        <x:v>15</x:v>
      </x:c>
      <x:c r="J4" s="30" t="n">
        <x:v>24</x:v>
      </x:c>
      <x:c r="K4" s="30" t="n">
        <x:v>22</x:v>
      </x:c>
      <x:c r="L4" s="30" t="n">
        <x:v>20</x:v>
      </x:c>
      <x:c r="M4" s="30" t="n">
        <x:v>18</x:v>
      </x:c>
      <x:c r="N4" s="30" t="n">
        <x:v>16</x:v>
      </x:c>
      <x:c r="O4" s="30" t="n">
        <x:v>15</x:v>
      </x:c>
      <x:c r="P4" s="12" t="str">
        <x:v>p. 57</x:v>
      </x:c>
    </x:row>
    <x:row r="5">
      <x:c r="A5" s="12" t="str">
        <x:v>Mundaú</x:v>
      </x:c>
      <x:c r="B5" s="12" t="str">
        <x:v>VM1 – Normal/Alerta</x:v>
      </x:c>
      <x:c r="C5" s="12" t="str">
        <x:v>Cenário 1</x:v>
      </x:c>
      <x:c r="D5" s="30" t="n">
        <x:v>55</x:v>
      </x:c>
      <x:c r="E5" s="30" t="n">
        <x:v>52</x:v>
      </x:c>
      <x:c r="F5" s="30" t="n">
        <x:v>50</x:v>
      </x:c>
      <x:c r="G5" s="30" t="n">
        <x:v>51</x:v>
      </x:c>
      <x:c r="H5" s="30" t="n">
        <x:v>54</x:v>
      </x:c>
      <x:c r="I5" s="30" t="n">
        <x:v>79</x:v>
      </x:c>
      <x:c r="J5" s="30" t="n">
        <x:v>78</x:v>
      </x:c>
      <x:c r="K5" s="30" t="n">
        <x:v>75</x:v>
      </x:c>
      <x:c r="L5" s="30" t="n">
        <x:v>71</x:v>
      </x:c>
      <x:c r="M5" s="30" t="n">
        <x:v>67</x:v>
      </x:c>
      <x:c r="N5" s="30" t="n">
        <x:v>63</x:v>
      </x:c>
      <x:c r="O5" s="30" t="n">
        <x:v>59</x:v>
      </x:c>
      <x:c r="P5" s="12" t="str">
        <x:v>pp. 56–58</x:v>
      </x:c>
    </x:row>
    <x:row r="6">
      <x:c r="A6" s="12" t="str">
        <x:v>Mundaú</x:v>
      </x:c>
      <x:c r="B6" s="12" t="str">
        <x:v>VM2 – Alerta/Seca</x:v>
      </x:c>
      <x:c r="C6" s="12" t="str">
        <x:v>Cenário 1</x:v>
      </x:c>
      <x:c r="D6" s="30" t="n">
        <x:v>35</x:v>
      </x:c>
      <x:c r="E6" s="30" t="n">
        <x:v>32</x:v>
      </x:c>
      <x:c r="F6" s="30" t="n">
        <x:v>30</x:v>
      </x:c>
      <x:c r="G6" s="30" t="n">
        <x:v>31</x:v>
      </x:c>
      <x:c r="H6" s="30" t="n">
        <x:v>35</x:v>
      </x:c>
      <x:c r="I6" s="30" t="n">
        <x:v>58</x:v>
      </x:c>
      <x:c r="J6" s="30" t="n">
        <x:v>57</x:v>
      </x:c>
      <x:c r="K6" s="30" t="n">
        <x:v>54</x:v>
      </x:c>
      <x:c r="L6" s="30" t="n">
        <x:v>50</x:v>
      </x:c>
      <x:c r="M6" s="30" t="n">
        <x:v>47</x:v>
      </x:c>
      <x:c r="N6" s="30" t="n">
        <x:v>43</x:v>
      </x:c>
      <x:c r="O6" s="30" t="n">
        <x:v>39</x:v>
      </x:c>
      <x:c r="P6" s="12" t="str">
        <x:v>pp. 56–58</x:v>
      </x:c>
    </x:row>
    <x:row r="7">
      <x:c r="A7" s="12" t="str">
        <x:v>Mundaú</x:v>
      </x:c>
      <x:c r="B7" s="12" t="str">
        <x:v>VM3 – Seca/Seca Severa</x:v>
      </x:c>
      <x:c r="C7" s="12" t="str">
        <x:v>Cenário 1</x:v>
      </x:c>
      <x:c r="D7" s="30" t="n">
        <x:v>21</x:v>
      </x:c>
      <x:c r="E7" s="30" t="n">
        <x:v>18</x:v>
      </x:c>
      <x:c r="F7" s="30" t="n">
        <x:v>16</x:v>
      </x:c>
      <x:c r="G7" s="30" t="n">
        <x:v>17</x:v>
      </x:c>
      <x:c r="H7" s="30" t="n">
        <x:v>21</x:v>
      </x:c>
      <x:c r="I7" s="30" t="n">
        <x:v>43</x:v>
      </x:c>
      <x:c r="J7" s="30" t="n">
        <x:v>42</x:v>
      </x:c>
      <x:c r="K7" s="30" t="n">
        <x:v>39</x:v>
      </x:c>
      <x:c r="L7" s="30" t="n">
        <x:v>36</x:v>
      </x:c>
      <x:c r="M7" s="30" t="n">
        <x:v>32</x:v>
      </x:c>
      <x:c r="N7" s="30" t="n">
        <x:v>28</x:v>
      </x:c>
      <x:c r="O7" s="30" t="n">
        <x:v>25</x:v>
      </x:c>
      <x:c r="P7" s="12" t="str">
        <x:v>pp. 56–58</x:v>
      </x:c>
    </x:row>
    <x:row r="8">
      <x:c r="A8" s="12" t="str">
        <x:v>Ubaldinho</x:v>
      </x:c>
      <x:c r="B8" s="12" t="str">
        <x:v>VM1 – Normal/Alerta</x:v>
      </x:c>
      <x:c r="C8" s="12" t="str">
        <x:v>Cenário 1</x:v>
      </x:c>
      <x:c r="D8" s="30" t="n">
        <x:v>36</x:v>
      </x:c>
      <x:c r="E8" s="30" t="n">
        <x:v>34</x:v>
      </x:c>
      <x:c r="F8" s="30" t="n">
        <x:v>32</x:v>
      </x:c>
      <x:c r="G8" s="30" t="n">
        <x:v>34</x:v>
      </x:c>
      <x:c r="H8" s="30" t="n">
        <x:v>38</x:v>
      </x:c>
      <x:c r="I8" s="30" t="n">
        <x:v>38</x:v>
      </x:c>
      <x:c r="J8" s="30" t="n">
        <x:v>56</x:v>
      </x:c>
      <x:c r="K8" s="30" t="n">
        <x:v>53</x:v>
      </x:c>
      <x:c r="L8" s="30" t="n">
        <x:v>49</x:v>
      </x:c>
      <x:c r="M8" s="30" t="n">
        <x:v>46</x:v>
      </x:c>
      <x:c r="N8" s="30" t="n">
        <x:v>43</x:v>
      </x:c>
      <x:c r="O8" s="30" t="n">
        <x:v>39</x:v>
      </x:c>
      <x:c r="P8" s="12" t="str">
        <x:v>pp. 75–76</x:v>
      </x:c>
    </x:row>
    <x:row r="9">
      <x:c r="A9" s="12" t="str">
        <x:v>Ubaldinho</x:v>
      </x:c>
      <x:c r="B9" s="12" t="str">
        <x:v>VM2 – Alerta/Seca</x:v>
      </x:c>
      <x:c r="C9" s="12" t="str">
        <x:v>Cenário 1</x:v>
      </x:c>
      <x:c r="D9" s="30" t="n">
        <x:v>21</x:v>
      </x:c>
      <x:c r="E9" s="30" t="n">
        <x:v>19</x:v>
      </x:c>
      <x:c r="F9" s="30" t="n">
        <x:v>17</x:v>
      </x:c>
      <x:c r="G9" s="30" t="n">
        <x:v>20</x:v>
      </x:c>
      <x:c r="H9" s="30" t="n">
        <x:v>24</x:v>
      </x:c>
      <x:c r="I9" s="30" t="n">
        <x:v>24</x:v>
      </x:c>
      <x:c r="J9" s="30" t="n">
        <x:v>37</x:v>
      </x:c>
      <x:c r="K9" s="30" t="n">
        <x:v>34</x:v>
      </x:c>
      <x:c r="L9" s="30" t="n">
        <x:v>31</x:v>
      </x:c>
      <x:c r="M9" s="30" t="n">
        <x:v>29</x:v>
      </x:c>
      <x:c r="N9" s="30" t="n">
        <x:v>26</x:v>
      </x:c>
      <x:c r="O9" s="30" t="n">
        <x:v>23</x:v>
      </x:c>
      <x:c r="P9" s="12" t="str">
        <x:v>pp. 75–76</x:v>
      </x:c>
    </x:row>
    <x:row r="10">
      <x:c r="A10" s="12" t="str">
        <x:v>Ubaldinho</x:v>
      </x:c>
      <x:c r="B10" s="12" t="str">
        <x:v>VM3 – Seca/Seca Severa</x:v>
      </x:c>
      <x:c r="C10" s="12" t="str">
        <x:v>Cenário 1</x:v>
      </x:c>
      <x:c r="D10" s="30" t="n">
        <x:v>9</x:v>
      </x:c>
      <x:c r="E10" s="30" t="n">
        <x:v>7</x:v>
      </x:c>
      <x:c r="F10" s="30" t="n">
        <x:v>6</x:v>
      </x:c>
      <x:c r="G10" s="30" t="n">
        <x:v>9</x:v>
      </x:c>
      <x:c r="H10" s="30" t="n">
        <x:v>13</x:v>
      </x:c>
      <x:c r="I10" s="30" t="n">
        <x:v>13</x:v>
      </x:c>
      <x:c r="J10" s="30" t="n">
        <x:v>22</x:v>
      </x:c>
      <x:c r="K10" s="30" t="n">
        <x:v>19</x:v>
      </x:c>
      <x:c r="L10" s="30" t="n">
        <x:v>17</x:v>
      </x:c>
      <x:c r="M10" s="30" t="n">
        <x:v>15</x:v>
      </x:c>
      <x:c r="N10" s="30" t="n">
        <x:v>13</x:v>
      </x:c>
      <x:c r="O10" s="30" t="n">
        <x:v>11</x:v>
      </x:c>
      <x:c r="P10" s="12" t="str">
        <x:v>pp. 75–76</x:v>
      </x:c>
    </x:row>
    <x:row r="11">
      <x:c r="A11" s="12" t="str">
        <x:v>Forquilha</x:v>
      </x:c>
      <x:c r="B11" s="12" t="str">
        <x:v>VM1 – Normal/Alerta</x:v>
      </x:c>
      <x:c r="C11" s="12" t="str">
        <x:v>Cenário 2</x:v>
      </x:c>
      <x:c r="D11" s="30" t="n">
        <x:v>17</x:v>
      </x:c>
      <x:c r="E11" s="30" t="n">
        <x:v>16</x:v>
      </x:c>
      <x:c r="F11" s="30" t="n">
        <x:v>15</x:v>
      </x:c>
      <x:c r="G11" s="30" t="n">
        <x:v>15</x:v>
      </x:c>
      <x:c r="H11" s="30" t="n">
        <x:v>17</x:v>
      </x:c>
      <x:c r="I11" s="30" t="n">
        <x:v>17</x:v>
      </x:c>
      <x:c r="J11" s="30" t="n">
        <x:v>31</x:v>
      </x:c>
      <x:c r="K11" s="30" t="n">
        <x:v>29</x:v>
      </x:c>
      <x:c r="L11" s="30" t="n">
        <x:v>27</x:v>
      </x:c>
      <x:c r="M11" s="30" t="n">
        <x:v>24</x:v>
      </x:c>
      <x:c r="N11" s="30" t="n">
        <x:v>22</x:v>
      </x:c>
      <x:c r="O11" s="30" t="n">
        <x:v>19</x:v>
      </x:c>
      <x:c r="P11" s="12" t="str">
        <x:v>pp. 58–60</x:v>
      </x:c>
    </x:row>
    <x:row r="12">
      <x:c r="A12" s="12" t="str">
        <x:v>Forquilha</x:v>
      </x:c>
      <x:c r="B12" s="12" t="str">
        <x:v>VM2 – Alerta/Seca</x:v>
      </x:c>
      <x:c r="C12" s="12" t="str">
        <x:v>Cenário 2</x:v>
      </x:c>
      <x:c r="D12" s="30" t="n">
        <x:v>11</x:v>
      </x:c>
      <x:c r="E12" s="30" t="n">
        <x:v>10</x:v>
      </x:c>
      <x:c r="F12" s="30" t="n">
        <x:v>9</x:v>
      </x:c>
      <x:c r="G12" s="30" t="n">
        <x:v>10</x:v>
      </x:c>
      <x:c r="H12" s="30" t="n">
        <x:v>11</x:v>
      </x:c>
      <x:c r="I12" s="30" t="n">
        <x:v>12</x:v>
      </x:c>
      <x:c r="J12" s="30" t="n">
        <x:v>23</x:v>
      </x:c>
      <x:c r="K12" s="30" t="n">
        <x:v>21</x:v>
      </x:c>
      <x:c r="L12" s="30" t="n">
        <x:v>19</x:v>
      </x:c>
      <x:c r="M12" s="30" t="n">
        <x:v>17</x:v>
      </x:c>
      <x:c r="N12" s="30" t="n">
        <x:v>15</x:v>
      </x:c>
      <x:c r="O12" s="30" t="n">
        <x:v>13</x:v>
      </x:c>
      <x:c r="P12" s="12" t="str">
        <x:v>pp. 58–60</x:v>
      </x:c>
    </x:row>
    <x:row r="13">
      <x:c r="A13" s="12" t="str">
        <x:v>Forquilha</x:v>
      </x:c>
      <x:c r="B13" s="12" t="str">
        <x:v>VM3 – Seca/Seca Severa</x:v>
      </x:c>
      <x:c r="C13" s="12" t="str">
        <x:v>Cenário 2</x:v>
      </x:c>
      <x:c r="D13" s="30" t="n">
        <x:v>7</x:v>
      </x:c>
      <x:c r="E13" s="30" t="n">
        <x:v>6</x:v>
      </x:c>
      <x:c r="F13" s="30" t="n">
        <x:v>5</x:v>
      </x:c>
      <x:c r="G13" s="30" t="n">
        <x:v>6</x:v>
      </x:c>
      <x:c r="H13" s="30" t="n">
        <x:v>8</x:v>
      </x:c>
      <x:c r="I13" s="30" t="n">
        <x:v>9</x:v>
      </x:c>
      <x:c r="J13" s="30" t="n">
        <x:v>17</x:v>
      </x:c>
      <x:c r="K13" s="30" t="n">
        <x:v>16</x:v>
      </x:c>
      <x:c r="L13" s="30" t="n">
        <x:v>14</x:v>
      </x:c>
      <x:c r="M13" s="30" t="n">
        <x:v>12</x:v>
      </x:c>
      <x:c r="N13" s="30" t="n">
        <x:v>10</x:v>
      </x:c>
      <x:c r="O13" s="30" t="n">
        <x:v>8</x:v>
      </x:c>
      <x:c r="P13" s="12" t="str">
        <x:v>pp. 58–60</x:v>
      </x:c>
    </x:row>
  </x:sheetData>
  <x:pageMargins left="0.7" right="0.7" top="0.75" bottom="0.75" header="0.3" footer="0.3"/>
  <x:tableParts count="1">
    <x:tablePart xmlns:r="http://schemas.openxmlformats.org/officeDocument/2006/relationships" r:id="Rf4abf6dfc5754a4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6" hidden="0" customWidth="1"/>
    <x:col min="4" max="4" width="65" hidden="0" customWidth="1"/>
    <x:col min="5" max="5" width="38" hidden="0" customWidth="1"/>
    <x:col min="6" max="6" width="58" hidden="0" customWidth="1"/>
  </x:cols>
  <x:sheetData>
    <x:row r="1" ht="36" customHeight="1">
      <x:c r="A1" s="5" t="str">
        <x:v>ID</x:v>
      </x:c>
      <x:c r="B1" s="5" t="str">
        <x:v>Etapa</x:v>
      </x:c>
      <x:c r="C1" s="5" t="str">
        <x:v>Aplica-se a</x:v>
      </x:c>
      <x:c r="D1" s="5" t="str">
        <x:v>Procedimento</x:v>
      </x:c>
      <x:c r="E1" s="5" t="str">
        <x:v>Evidência a guardar</x:v>
      </x:c>
      <x:c r="F1" s="5" t="str">
        <x:v>Critério de aceitação</x:v>
      </x:c>
    </x:row>
    <x:row r="2">
      <x:c r="A2" s="14" t="str">
        <x:v>T01</x:v>
      </x:c>
      <x:c r="B2" s="14" t="str">
        <x:v>Conferência paramétrica</x:v>
      </x:c>
      <x:c r="C2" s="14" t="str">
        <x:v>Todos</x:v>
      </x:c>
      <x:c r="D2" s="14" t="str">
        <x:v>Conferir capacidade, período, demanda base, CAV, evaporação e curvas meta com o PGPS antes de executar.</x:v>
      </x:c>
      <x:c r="E2" s="14" t="str">
        <x:v>Print/configuração + linha da matriz</x:v>
      </x:c>
      <x:c r="F2" s="14" t="str">
        <x:v>Parâmetros iguais à versão de referência do PGPS ou divergência explicitamente documentada.</x:v>
      </x:c>
    </x:row>
    <x:row r="3">
      <x:c r="A3" s="14" t="str">
        <x:v>T02</x:v>
      </x:c>
      <x:c r="B3" s="14" t="str">
        <x:v>Fronteira dos níveis meta</x:v>
      </x:c>
      <x:c r="C3" s="14" t="str">
        <x:v>Todos com curvas</x:v>
      </x:c>
      <x:c r="D3" s="14" t="str">
        <x:v>Para cada VM mensal selecionada, testar VM+ε, VM e VM−ε (ex.: ε=0,01 p.p.).</x:v>
      </x:c>
      <x:c r="E3" s="14" t="str">
        <x:v>Tabela estado esperado × obtido</x:v>
      </x:c>
      <x:c r="F3" s="14" t="str">
        <x:v>Classificação muda exatamente na fronteira definida pela regra implementada.</x:v>
      </x:c>
    </x:row>
    <x:row r="4">
      <x:c r="A4" s="14" t="str">
        <x:v>T03</x:v>
      </x:c>
      <x:c r="B4" s="14" t="str">
        <x:v>Racionamento / retirada</x:v>
      </x:c>
      <x:c r="C4" s="14" t="str">
        <x:v>Todos com níveis meta</x:v>
      </x:c>
      <x:c r="D4" s="14" t="str">
        <x:v>Forçar casos em Normal, Alerta, Seca e Seca Severa e comparar demanda atendida/retirada total.</x:v>
      </x:c>
      <x:c r="E4" s="14" t="str">
        <x:v>Tabela por estado</x:v>
      </x:c>
      <x:c r="F4" s="14" t="str">
        <x:v>Diferença dentro da tolerância numérica. Em Tipo I/II, comparar retirada total equivalente, não distribuição setorial.</x:v>
      </x:c>
    </x:row>
    <x:row r="5">
      <x:c r="A5" s="14" t="str">
        <x:v>T04</x:v>
      </x:c>
      <x:c r="B5" s="14" t="str">
        <x:v>Simulação histórica</x:v>
      </x:c>
      <x:c r="C5" s="14" t="str">
        <x:v>Quando o PGPS fornece série/figura</x:v>
      </x:c>
      <x:c r="D5" s="14" t="str">
        <x:v>Executar o mesmo período histórico com as curvas e política escolhidas.</x:v>
      </x:c>
      <x:c r="E5" s="14" t="str">
        <x:v>Exportação mensal completa</x:v>
      </x:c>
      <x:c r="F5" s="14" t="str">
        <x:v>Contagem de estados e indicadores reproduzem o benchmark dentro do que a fonte permite comparar.</x:v>
      </x:c>
    </x:row>
    <x:row r="6">
      <x:c r="A6" s="14" t="str">
        <x:v>T05</x:v>
      </x:c>
      <x:c r="B6" s="14" t="str">
        <x:v>Permanências</x:v>
      </x:c>
      <x:c r="C6" s="14" t="str">
        <x:v>Quando o PGPS informa metas/resultado</x:v>
      </x:c>
      <x:c r="D6" s="14" t="str">
        <x:v>Contar meses em cada estado e calcular percentual sobre o total válido.</x:v>
      </x:c>
      <x:c r="E6" s="14" t="str">
        <x:v>Tabela N/A/S/SS</x:v>
      </x:c>
      <x:c r="F6" s="14" t="str">
        <x:v>Percentuais e/ou contagens compatíveis com o resultado publicado; discrepâncias investigadas.</x:v>
      </x:c>
    </x:row>
    <x:row r="7">
      <x:c r="A7" s="14" t="str">
        <x:v>T06</x:v>
      </x:c>
      <x:c r="B7" s="14" t="str">
        <x:v>Conservação de massa</x:v>
      </x:c>
      <x:c r="C7" s="14" t="str">
        <x:v>Todos</x:v>
      </x:c>
      <x:c r="D7" s="14" t="str">
        <x:v>Calcular ε = Vf − (Vi + I + Tr − Te − R − E − S) para cada mês.</x:v>
      </x:c>
      <x:c r="E7" s="14" t="str">
        <x:v>Coluna de resíduo</x:v>
      </x:c>
      <x:c r="F7" s="14" t="str">
        <x:v>|ε| abaixo da tolerância definida no TCC; sugestão 1e-6 hm³ quando a exportação mantiver precisão suficiente.</x:v>
      </x:c>
    </x:row>
    <x:row r="8">
      <x:c r="A8" s="14" t="str">
        <x:v>T07</x:v>
      </x:c>
      <x:c r="B8" s="14" t="str">
        <x:v>Limites físicos</x:v>
      </x:c>
      <x:c r="C8" s="14" t="str">
        <x:v>Todos</x:v>
      </x:c>
      <x:c r="D8" s="14" t="str">
        <x:v>Verificar 0 ≤ Vfinal ≤ Vmáx em todos os meses.</x:v>
      </x:c>
      <x:c r="E8" s="14" t="str">
        <x:v>Mínimo/máximo + contagem de violações</x:v>
      </x:c>
      <x:c r="F8" s="14" t="str">
        <x:v>Zero violações físicas.</x:v>
      </x:c>
    </x:row>
    <x:row r="9">
      <x:c r="A9" s="14" t="str">
        <x:v>T08</x:v>
      </x:c>
      <x:c r="B9" s="14" t="str">
        <x:v>Operação especial</x:v>
      </x:c>
      <x:c r="C9" s="14" t="str">
        <x:v>Sazonal/rede/prioridades</x:v>
      </x:c>
      <x:c r="D9" s="14" t="str">
        <x:v>Aplicar teste específico para retirada mensal, apoio externo ou prioridade por classe quando o PGPS exigir.</x:v>
      </x:c>
      <x:c r="E9" s="14" t="str">
        <x:v>Caso controlado separado</x:v>
      </x:c>
      <x:c r="F9" s="14" t="str">
        <x:v>Regra especial reproduzida; se o modelo não suporta, registrar como limitação, não como falha numérica.</x:v>
      </x:c>
    </x:row>
    <x:row r="10">
      <x:c r="A10" s="14" t="str">
        <x:v>T09</x:v>
      </x:c>
      <x:c r="B10" s="14" t="str">
        <x:v>Comparação documental</x:v>
      </x:c>
      <x:c r="C10" s="14" t="str">
        <x:v>Todos</x:v>
      </x:c>
      <x:c r="D10" s="14" t="str">
        <x:v>Comparar cenário escolhido, Q, permanências, racionamentos e curvas com o PGPS.</x:v>
      </x:c>
      <x:c r="E10" s="14" t="str">
        <x:v>Ficha do hidrossistema</x:v>
      </x:c>
      <x:c r="F10" s="14" t="str">
        <x:v>Nenhuma divergência silenciosa; diferença classificada como dado, implementação, arredondamento ou inconsistência da fonte.</x:v>
      </x:c>
    </x:row>
    <x:row r="11">
      <x:c r="A11" s="14" t="str">
        <x:v>T10</x:v>
      </x:c>
      <x:c r="B11" s="14" t="str">
        <x:v>Registro final</x:v>
      </x:c>
      <x:c r="C11" s="14" t="str">
        <x:v>Todos</x:v>
      </x:c>
      <x:c r="D11" s="14" t="str">
        <x:v>Classificar o hidrossistema como direto, equivalência agregada, parcial sazonal ou referência incompleta.</x:v>
      </x:c>
      <x:c r="E11" s="14" t="str">
        <x:v>Linha de síntese</x:v>
      </x:c>
      <x:c r="F11" s="14" t="str">
        <x:v>Conclusão coerente com evidências; não chamar de validação real quando o teste é de verificação computacional.</x:v>
      </x:c>
    </x:row>
  </x:sheetData>
  <x:pageMargins left="0.7" right="0.7" top="0.75" bottom="0.75" header="0.3" footer="0.3"/>
  <x:tableParts count="1">
    <x:tablePart xmlns:r="http://schemas.openxmlformats.org/officeDocument/2006/relationships" r:id="R970b069f0ce7436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72" hidden="0" customWidth="1"/>
    <x:col min="4" max="4" width="64" hidden="0" customWidth="1"/>
  </x:cols>
  <x:sheetData>
    <x:row r="1" ht="36" customHeight="1">
      <x:c r="A1" s="35" t="str">
        <x:v>Hidrossistema</x:v>
      </x:c>
      <x:c r="B1" s="35" t="str">
        <x:v>Tipo</x:v>
      </x:c>
      <x:c r="C1" s="35" t="str">
        <x:v>Inconsistência encontrada no PGPS</x:v>
      </x:c>
      <x:c r="D1" s="35" t="str">
        <x:v>Tratamento recomendado</x:v>
      </x:c>
    </x:row>
    <x:row r="2">
      <x:c r="A2" s="14" t="str">
        <x:v>Arneiroz II</x:v>
      </x:c>
      <x:c r="B2" s="14" t="str">
        <x:v>Racionamento de Seca Severa</x:v>
      </x:c>
      <x:c r="C2" s="14" t="str">
        <x:v>A seção do cenário escolhido registra 20%, enquanto trechos anteriores indicam 75%/80%.</x:v>
      </x:c>
      <x:c r="D2" s="14" t="str">
        <x:v>Não usar benchmark definitivo de retirada em Seca Severa antes de esclarecer a referência.</x:v>
      </x:c>
    </x:row>
    <x:row r="3">
      <x:c r="A3" s="14" t="str">
        <x:v>Arneiroz II</x:v>
      </x:c>
      <x:c r="B3" s="14" t="str">
        <x:v>Período histórico</x:v>
      </x:c>
      <x:c r="C3" s="14" t="str">
        <x:v>Há menção textual a 2011–2021, mas 1332 meses corresponde a 1911–2021.</x:v>
      </x:c>
      <x:c r="D3" s="14" t="str">
        <x:v>Adotar o período efetivamente associado à série usada, documentando a divergência.</x:v>
      </x:c>
    </x:row>
    <x:row r="4">
      <x:c r="A4" s="14" t="str">
        <x:v>Pedras Brancas</x:v>
      </x:c>
      <x:c r="B4" s="14" t="str">
        <x:v>Capacidade</x:v>
      </x:c>
      <x:c r="C4" s="14" t="str">
        <x:v>Aparecem capacidade de projeto de 434 hm³ e valor próximo de 456 hm³ no cenário.</x:v>
      </x:c>
      <x:c r="D4" s="14" t="str">
        <x:v>Conferir capacidade do banco e da simulação oficial antes de comparar níveis absolutos.</x:v>
      </x:c>
    </x:row>
    <x:row r="5">
      <x:c r="A5" s="14" t="str">
        <x:v>Pedras Brancas</x:v>
      </x:c>
      <x:c r="B5" s="14" t="str">
        <x:v>Contagem histórica</x:v>
      </x:c>
      <x:c r="C5" s="14" t="str">
        <x:v>O total declarado é 1284 meses, mas 1088+91+55+47 = 1281.</x:v>
      </x:c>
      <x:c r="D5" s="14" t="str">
        <x:v>Não exigir igualdade com as quatro contagens sem esclarecer a diferença de 3 meses.</x:v>
      </x:c>
    </x:row>
    <x:row r="6">
      <x:c r="A6" s="14" t="str">
        <x:v>Batente</x:v>
      </x:c>
      <x:c r="B6" s="14" t="str">
        <x:v>Legendas</x:v>
      </x:c>
      <x:c r="C6" s="14" t="str">
        <x:v>Há referências editoriais a 'Castro' e valor de 150 L/s em trecho que não coincide com a decisão textual de 170 L/s.</x:v>
      </x:c>
      <x:c r="D6" s="14" t="str">
        <x:v>Usar a decisão textual/curva correta e registrar a legenda como erro editorial.</x:v>
      </x:c>
    </x:row>
    <x:row r="7">
      <x:c r="A7" s="14" t="str">
        <x:v>Benguê</x:v>
      </x:c>
      <x:c r="B7" s="14" t="str">
        <x:v>Permanência</x:v>
      </x:c>
      <x:c r="C7" s="14" t="str">
        <x:v>O plano apresenta valores conflitantes: 85/8/5/2 e 85/5/5/5.</x:v>
      </x:c>
      <x:c r="D7" s="14" t="str">
        <x:v>Definir a versão canônica antes do benchmark final.</x:v>
      </x:c>
    </x:row>
    <x:row r="8">
      <x:c r="A8" s="14" t="str">
        <x:v>Benguê</x:v>
      </x:c>
      <x:c r="B8" s="14" t="str">
        <x:v>Contagem histórica</x:v>
      </x:c>
      <x:c r="C8" s="14" t="str">
        <x:v>1040+68+66+67 = 1241, diferente de 1332 meses.</x:v>
      </x:c>
      <x:c r="D8" s="14" t="str">
        <x:v>Não usar essa contagem como critério rígido até revisão.</x:v>
      </x:c>
    </x:row>
    <x:row r="9">
      <x:c r="A9" s="14" t="str">
        <x:v>Benguê</x:v>
      </x:c>
      <x:c r="B9" s="14" t="str">
        <x:v>Vazão normal</x:v>
      </x:c>
      <x:c r="C9" s="14" t="str">
        <x:v>Tabela indica 73 L/s e a regra escolhida indica 75 L/s.</x:v>
      </x:c>
      <x:c r="D9" s="14" t="str">
        <x:v>Distinguir retirada tabelada do Q máximo do cenário.</x:v>
      </x:c>
    </x:row>
    <x:row r="10">
      <x:c r="A10" s="14" t="str">
        <x:v>Canoas</x:v>
      </x:c>
      <x:c r="B10" s="14" t="str">
        <x:v>Legenda da regra escolhida</x:v>
      </x:c>
      <x:c r="C10" s="14" t="str">
        <x:v>A legenda de uma figura cita Regra 1, enquanto o texto e a representação matemática afirmam Regra 2.</x:v>
      </x:c>
      <x:c r="D10" s="14" t="str">
        <x:v>Usar Regra 2 como cenário escolhido e registrar a inconsistência editorial.</x:v>
      </x:c>
    </x:row>
    <x:row r="11">
      <x:c r="A11" s="14" t="str">
        <x:v>Jenipapo</x:v>
      </x:c>
      <x:c r="B11" s="14" t="str">
        <x:v>Representação matemática</x:v>
      </x:c>
      <x:c r="C11" s="14" t="str">
        <x:v>Trecho final cita Q=120 L/s e níveis 31/23/17, incompatíveis com a decisão por Q=55 L/s.</x:v>
      </x:c>
      <x:c r="D11" s="14" t="str">
        <x:v>Não copiar esses valores para o simulador; transcrever a curva efetivamente escolhida.</x:v>
      </x:c>
    </x:row>
    <x:row r="12">
      <x:c r="A12" s="14" t="str">
        <x:v>Mundaú</x:v>
      </x:c>
      <x:c r="B12" s="14" t="str">
        <x:v>Mês de referência</x:v>
      </x:c>
      <x:c r="C12" s="14" t="str">
        <x:v>Texto aponta junho como pico, enquanto trecho/legenda próximo usa julho.</x:v>
      </x:c>
      <x:c r="D12" s="14" t="str">
        <x:v>Usar os 12 valores mensais completos em vez de depender do rótulo do mês.</x:v>
      </x:c>
    </x:row>
    <x:row r="13">
      <x:c r="A13" s="14" t="str">
        <x:v>Santo Antônio de Russas</x:v>
      </x:c>
      <x:c r="B13" s="14" t="str">
        <x:v>Legendas dos cenários</x:v>
      </x:c>
      <x:c r="C13" s="14" t="str">
        <x:v>Duas figuras são identificadas como Cenário 1 apesar de apresentarem Q diferentes.</x:v>
      </x:c>
      <x:c r="D13" s="14" t="str">
        <x:v>Usar a decisão textual de Cenário 2, Q=112 L/s.</x:v>
      </x:c>
    </x:row>
    <x:row r="14">
      <x:c r="A14" s="14" t="str">
        <x:v>Umari</x:v>
      </x:c>
      <x:c r="B14" s="14" t="str">
        <x:v>Contagem histórica</x:v>
      </x:c>
      <x:c r="C14" s="14" t="str">
        <x:v>Documento menciona 1335 meses; contagens 1268+26+27+13 = 1334. Além disso, 1911–2021 inclusivo teria 1332 meses.</x:v>
      </x:c>
      <x:c r="D14" s="14" t="str">
        <x:v>Tratar o benchmark histórico como inconsistente até esclarecimento.</x:v>
      </x:c>
    </x:row>
    <x:row r="15">
      <x:c r="A15" s="14" t="str">
        <x:v>Umari</x:v>
      </x:c>
      <x:c r="B15" s="14" t="str">
        <x:v>Permanência/legenda</x:v>
      </x:c>
      <x:c r="C15" s="14" t="str">
        <x:v>Uma legenda associa 80% ao Normal em combinação que no quadro aparece com outra permanência.</x:v>
      </x:c>
      <x:c r="D15" s="14" t="str">
        <x:v>Usar as tabelas/decisão textual e registrar a divergência.</x:v>
      </x:c>
    </x:row>
    <x:row r="16">
      <x:c r="A16" s="14" t="str">
        <x:v>Catucinzenta / Lagoa do Catu</x:v>
      </x:c>
      <x:c r="B16" s="14" t="str">
        <x:v>Capacidade</x:v>
      </x:c>
      <x:c r="C16" s="14" t="str">
        <x:v>Valores descritivos e valores implícitos do cenário não parecem usar a mesma capacidade.</x:v>
      </x:c>
      <x:c r="D16" s="14" t="str">
        <x:v>Conferir a capacidade que gerou as curvas escolhidas.</x:v>
      </x:c>
    </x:row>
    <x:row r="17">
      <x:c r="A17" s="14" t="str">
        <x:v>Aracoiaba</x:v>
      </x:c>
      <x:c r="B17" s="14" t="str">
        <x:v>Capacidade</x:v>
      </x:c>
      <x:c r="C17" s="14" t="str">
        <x:v>Há mais de um valor de capacidade mencionado no material consolidado.</x:v>
      </x:c>
      <x:c r="D17" s="14" t="str">
        <x:v>Conferir a capacidade usada pelo banco e pelo cenário oficial.</x:v>
      </x:c>
    </x:row>
    <x:row r="18">
      <x:c r="A18" s="14" t="str">
        <x:v>Rosário</x:v>
      </x:c>
      <x:c r="B18" s="14" t="str">
        <x:v>Capacidade</x:v>
      </x:c>
      <x:c r="C18" s="14" t="str">
        <x:v>O material cita valores próximos de 47,22 e 47,6 hm³.</x:v>
      </x:c>
      <x:c r="D18" s="14" t="str">
        <x:v>Fixar a capacidade do cenário escolhido antes de comparar volumes absolutos.</x:v>
      </x:c>
    </x:row>
  </x:sheetData>
  <x:conditionalFormatting sqref="C2:C18">
    <x:cfRule type="expression" dxfId="5" priority="1">
      <x:formula>LEN(C2)&gt;0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3546b0bd53454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2" t="str">
        <x:v>Matriz de Verificação dos 25 Hidrossistemas – PGPS × Simulador</x:v>
      </x:c>
      <x:c r="B1" s="42"/>
      <x:c r="C1" s="42"/>
      <x:c r="D1" s="42"/>
      <x:c r="E1" s="42"/>
      <x:c r="F1" s="42"/>
      <x:c r="G1" s="42"/>
      <x:c r="H1" s="42"/>
    </x:row>
    <x:row r="2">
      <x:c r="A2" s="42"/>
      <x:c r="B2" s="42"/>
      <x:c r="C2" s="42"/>
      <x:c r="D2" s="42"/>
      <x:c r="E2" s="42"/>
      <x:c r="F2" s="42"/>
      <x:c r="G2" s="42"/>
      <x:c r="H2" s="42"/>
    </x:row>
    <x:row r="3">
      <x:c r="A3" s="48" t="str">
        <x:v>Objetivo: padronizar o que deve ser executado, comparado e documentado em cada Plano de Gestão Proativa de Secas.</x:v>
      </x:c>
      <x:c r="B3" s="48"/>
      <x:c r="C3" s="48"/>
      <x:c r="D3" s="48"/>
      <x:c r="E3" s="48"/>
      <x:c r="F3" s="48"/>
      <x:c r="G3" s="48"/>
      <x:c r="H3" s="48"/>
    </x:row>
    <x:row r="5">
      <x:c r="A5" s="52" t="str">
        <x:v>Indicador</x:v>
      </x:c>
      <x:c r="B5" s="52" t="str">
        <x:v>Valor</x:v>
      </x:c>
      <x:c r="D5" s="68" t="str">
        <x:v>Leitura metodológica</x:v>
      </x:c>
      <x:c r="E5" s="68"/>
      <x:c r="F5" s="68"/>
      <x:c r="G5" s="68"/>
      <x:c r="H5" s="68"/>
    </x:row>
    <x:row r="6">
      <x:c r="A6" s="56" t="str">
        <x:v>Hidrossistemas analisados</x:v>
      </x:c>
      <x:c r="B6" s="62" t="n">
        <x:f>COUNTA(Resumo_25!B2:B26)</x:f>
        <x:v>25</x:v>
      </x:c>
      <x:c r="D6" s="74" t="str">
        <x:v>Os 25 PGPS não devem ser forçados a um único tipo de comparação. Direto = demanda/racionamento agregados compatíveis com o simulador atual. Equivalência agregada = o plano separa classes de demanda, mas é possível comparar a retirada total do reservatório. Parcial sazonal = o plano usa média anual/pulsos e exige retirada mensal para repetição histórica exata.</x:v>
      </x:c>
      <x:c r="E6" s="74"/>
      <x:c r="F6" s="74"/>
      <x:c r="G6" s="74"/>
      <x:c r="H6" s="74"/>
    </x:row>
    <x:row r="7">
      <x:c r="A7" s="56" t="str">
        <x:v>Benchmark direto*</x:v>
      </x:c>
      <x:c r="B7" s="62" t="n">
        <x:f>COUNTIF(Resumo_25!K2:K26,"Direto")+COUNTIF(Resumo_25!K2:K26,"Direto com ressalva documental")+COUNTIF(Resumo_25!K2:K26,"Direto com mapeamento pendente")+COUNTIF(Resumo_25!K2:K26,"Direto no reservatório / rede parcial")</x:f>
        <x:v>7</x:v>
      </x:c>
      <x:c r="D7" s="74"/>
      <x:c r="E7" s="74"/>
      <x:c r="F7" s="74"/>
      <x:c r="G7" s="74"/>
      <x:c r="H7" s="74"/>
    </x:row>
    <x:row r="8">
      <x:c r="A8" s="56" t="str">
        <x:v>Equivalência agregada*</x:v>
      </x:c>
      <x:c r="B8" s="62" t="n">
        <x:f>COUNTIF(Resumo_25!K2:K26,"Equivalência agregada")+COUNTIF(Resumo_25!K2:K26,"Equivalência agregada / referência incompleta")+COUNTIF(Resumo_25!K2:K26,"Equivalência agregada com ressalva documental")+COUNTIF(Resumo_25!K2:K26,"Parcial sazonal + equivalência agregada")</x:f>
        <x:v>13</x:v>
      </x:c>
      <x:c r="D8" s="74"/>
      <x:c r="E8" s="74"/>
      <x:c r="F8" s="74"/>
      <x:c r="G8" s="74"/>
      <x:c r="H8" s="74"/>
    </x:row>
    <x:row r="9">
      <x:c r="A9" s="56" t="str">
        <x:v>Parcial sazonal*</x:v>
      </x:c>
      <x:c r="B9" s="62" t="n">
        <x:f>COUNTIF(Resumo_25!K2:K26,"Parcial sazonal")+COUNTIF(Resumo_25!K2:K26,"Parcial sazonal + equivalência agregada")</x:f>
        <x:v>5</x:v>
      </x:c>
      <x:c r="D9" s="74"/>
      <x:c r="E9" s="74"/>
      <x:c r="F9" s="74"/>
      <x:c r="G9" s="74"/>
      <x:c r="H9" s="74"/>
    </x:row>
    <x:row r="10">
      <x:c r="A10" s="56" t="str">
        <x:v>Com pendência/inconsistência de fonte*</x:v>
      </x:c>
      <x:c r="B10" s="62" t="n">
        <x:f>COUNTIF(Resumo_25!L2:L26,"Inconsistência a resolver")+COUNTIF(Resumo_25!L2:L26,"Requer extração complementar")+COUNTIF(Resumo_25!L2:L26,"Mapeamento a confirmar")+COUNTIF(Resumo_25!L2:L26,"Mapeamento de racionamento a confirmar")+COUNTIF(Resumo_25!L2:L26,"Capacidade a conferir")</x:f>
        <x:v>11</x:v>
      </x:c>
      <x:c r="D10" s="74"/>
      <x:c r="E10" s="74"/>
      <x:c r="F10" s="74"/>
      <x:c r="G10" s="74"/>
      <x:c r="H10" s="74"/>
    </x:row>
    <x:row r="11">
      <x:c r="A11" s="86" t="str">
        <x:v>* As categorias não são mutuamente exclusivas: um PGPS pode exigir, por exemplo, equivalência agregada e operação sazonal ao mesmo tempo.</x:v>
      </x:c>
      <x:c r="B11" s="86"/>
      <x:c r="C11" s="86"/>
      <x:c r="D11" s="86"/>
      <x:c r="E11" s="86"/>
      <x:c r="F11" s="86"/>
      <x:c r="G11" s="86"/>
      <x:c r="H11" s="86"/>
    </x:row>
    <x:row r="13">
      <x:c r="A13" s="80" t="str">
        <x:v>Fonte: 25 PDFs do arquivo 'Planos de Secas.zip'. Os campos foram extraídos das seções de cenarização, estados de seca e cenário escolhido. Quando o próprio documento contém números conflitantes ou a informação não ficou inequívoca na extração, a matriz marca a pendência em vez de completá-la por inferência.</x:v>
      </x:c>
      <x:c r="B13" s="80"/>
      <x:c r="C13" s="80"/>
      <x:c r="D13" s="80"/>
      <x:c r="E13" s="80"/>
      <x:c r="F13" s="80"/>
      <x:c r="G13" s="80"/>
      <x:c r="H13" s="80"/>
    </x:row>
    <x:row r="14">
      <x:c r="A14" s="80"/>
      <x:c r="B14" s="80"/>
      <x:c r="C14" s="80"/>
      <x:c r="D14" s="80"/>
      <x:c r="E14" s="80"/>
      <x:c r="F14" s="80"/>
      <x:c r="G14" s="80"/>
      <x:c r="H14" s="80"/>
    </x:row>
    <x:row r="15">
      <x:c r="A15" s="80"/>
      <x:c r="B15" s="80"/>
      <x:c r="C15" s="80"/>
      <x:c r="D15" s="80"/>
      <x:c r="E15" s="80"/>
      <x:c r="F15" s="80"/>
      <x:c r="G15" s="80"/>
      <x:c r="H15" s="80"/>
    </x:row>
  </x:sheetData>
  <x:mergeCells>
    <x:mergeCell ref="A1:H2"/>
    <x:mergeCell ref="A3:H3"/>
    <x:mergeCell ref="D5:H5"/>
    <x:mergeCell ref="D6:H10"/>
    <x:mergeCell ref="A13:H15"/>
    <x:mergeCell ref="A11:H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34" hidden="0" customWidth="1"/>
    <x:col min="4" max="4" width="13" hidden="0" customWidth="1"/>
    <x:col min="5" max="5" width="8" hidden="0" customWidth="1"/>
    <x:col min="6" max="6" width="2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16" hidden="0" customWidth="1"/>
    <x:col min="20" max="20" width="62" hidden="0" customWidth="1"/>
    <x:col min="21" max="21" width="56" hidden="0" customWidth="1"/>
  </x:cols>
  <x:sheetData>
    <x:row r="1" ht="38" customHeight="1">
      <x:c r="A1" s="92" t="str">
        <x:v>Nº</x:v>
      </x:c>
      <x:c r="B1" s="92" t="str">
        <x:v>Hidrossistema</x:v>
      </x:c>
      <x:c r="C1" s="92" t="str">
        <x:v>Cenário/Regra escolhida</x:v>
      </x:c>
      <x:c r="D1" s="92" t="str">
        <x:v>Q normal (L/s)</x:v>
      </x:c>
      <x:c r="E1" s="92" t="str">
        <x:v>Curva</x:v>
      </x:c>
      <x:c r="F1" s="92" t="str">
        <x:v>Significado</x:v>
      </x:c>
      <x:c r="G1" s="92" t="str">
        <x:v>JAN</x:v>
      </x:c>
      <x:c r="H1" s="92" t="str">
        <x:v>FEV</x:v>
      </x:c>
      <x:c r="I1" s="92" t="str">
        <x:v>MAR</x:v>
      </x:c>
      <x:c r="J1" s="92" t="str">
        <x:v>ABR</x:v>
      </x:c>
      <x:c r="K1" s="92" t="str">
        <x:v>MAI</x:v>
      </x:c>
      <x:c r="L1" s="92" t="str">
        <x:v>JUN</x:v>
      </x:c>
      <x:c r="M1" s="92" t="str">
        <x:v>JUL</x:v>
      </x:c>
      <x:c r="N1" s="92" t="str">
        <x:v>AGO</x:v>
      </x:c>
      <x:c r="O1" s="92" t="str">
        <x:v>SET</x:v>
      </x:c>
      <x:c r="P1" s="92" t="str">
        <x:v>OUT</x:v>
      </x:c>
      <x:c r="Q1" s="92" t="str">
        <x:v>NOV</x:v>
      </x:c>
      <x:c r="R1" s="92" t="str">
        <x:v>DEZ</x:v>
      </x:c>
      <x:c r="S1" s="92" t="str">
        <x:v>Página do PGPS</x:v>
      </x:c>
      <x:c r="T1" s="92" t="str">
        <x:v>Observação</x:v>
      </x:c>
      <x:c r="U1" s="92" t="str">
        <x:v>Arquivo-fonte</x:v>
      </x:c>
    </x:row>
    <x:row r="2">
      <x:c r="A2" s="14" t="n">
        <x:v>1</x:v>
      </x:c>
      <x:c r="B2" s="14" t="str">
        <x:v>Acarape do Meio</x:v>
      </x:c>
      <x:c r="C2" s="14" t="str">
        <x:v>Cenário ótimo/aprovado</x:v>
      </x:c>
      <x:c r="D2" s="18" t="n">
        <x:v>748</x:v>
      </x:c>
      <x:c r="E2" s="14" t="str">
        <x:v>VM1</x:v>
      </x:c>
      <x:c r="F2" s="14" t="str">
        <x:v>Limite Normal → Alerta</x:v>
      </x:c>
      <x:c r="G2" s="93" t="n">
        <x:v>35</x:v>
      </x:c>
      <x:c r="H2" s="93" t="n">
        <x:v>29</x:v>
      </x:c>
      <x:c r="I2" s="93" t="n">
        <x:v>24</x:v>
      </x:c>
      <x:c r="J2" s="93" t="n">
        <x:v>23</x:v>
      </x:c>
      <x:c r="K2" s="93" t="n">
        <x:v>32</x:v>
      </x:c>
      <x:c r="L2" s="93" t="n">
        <x:v>40</x:v>
      </x:c>
      <x:c r="M2" s="93" t="n">
        <x:v>69</x:v>
      </x:c>
      <x:c r="N2" s="93" t="n">
        <x:v>65</x:v>
      </x:c>
      <x:c r="O2" s="93" t="n">
        <x:v>59</x:v>
      </x:c>
      <x:c r="P2" s="93" t="n">
        <x:v>53</x:v>
      </x:c>
      <x:c r="Q2" s="93" t="n">
        <x:v>47</x:v>
      </x:c>
      <x:c r="R2" s="93" t="n">
        <x:v>41</x:v>
      </x:c>
      <x:c r="S2" s="14" t="str">
        <x:v>p. 54</x:v>
      </x:c>
      <x:c r="T2" s="14" t="str">
        <x:v>Figura 5.3. A figura aprovada informa vazão total de 748 L/s.</x:v>
      </x:c>
      <x:c r="U2" s="14" t="str">
        <x:v>PLANO DE GESTÃO PROATIVA DE SECAS - HIDROSSISTEMA ACARAPE DO MEIO.pdf</x:v>
      </x:c>
    </x:row>
    <x:row r="3">
      <x:c r="A3" s="14" t="n">
        <x:v>1</x:v>
      </x:c>
      <x:c r="B3" s="14" t="str">
        <x:v>Acarape do Meio</x:v>
      </x:c>
      <x:c r="C3" s="14" t="str">
        <x:v>Cenário ótimo/aprovado</x:v>
      </x:c>
      <x:c r="D3" s="18" t="n">
        <x:v>748</x:v>
      </x:c>
      <x:c r="E3" s="14" t="str">
        <x:v>VM2</x:v>
      </x:c>
      <x:c r="F3" s="14" t="str">
        <x:v>Limite Alerta → Seca</x:v>
      </x:c>
      <x:c r="G3" s="93" t="n">
        <x:v>25</x:v>
      </x:c>
      <x:c r="H3" s="93" t="n">
        <x:v>20</x:v>
      </x:c>
      <x:c r="I3" s="93" t="n">
        <x:v>15</x:v>
      </x:c>
      <x:c r="J3" s="93" t="n">
        <x:v>14</x:v>
      </x:c>
      <x:c r="K3" s="93" t="n">
        <x:v>23</x:v>
      </x:c>
      <x:c r="L3" s="93" t="n">
        <x:v>31</x:v>
      </x:c>
      <x:c r="M3" s="93" t="n">
        <x:v>59</x:v>
      </x:c>
      <x:c r="N3" s="93" t="n">
        <x:v>55</x:v>
      </x:c>
      <x:c r="O3" s="93" t="n">
        <x:v>49</x:v>
      </x:c>
      <x:c r="P3" s="93" t="n">
        <x:v>43</x:v>
      </x:c>
      <x:c r="Q3" s="93" t="n">
        <x:v>37</x:v>
      </x:c>
      <x:c r="R3" s="93" t="n">
        <x:v>31</x:v>
      </x:c>
      <x:c r="S3" s="14" t="str">
        <x:v>p. 54</x:v>
      </x:c>
      <x:c r="T3" s="14" t="str">
        <x:v>Figura 5.3. A figura aprovada informa vazão total de 748 L/s.</x:v>
      </x:c>
      <x:c r="U3" s="14" t="str">
        <x:v>PLANO DE GESTÃO PROATIVA DE SECAS - HIDROSSISTEMA ACARAPE DO MEIO.pdf</x:v>
      </x:c>
    </x:row>
    <x:row r="4">
      <x:c r="A4" s="14" t="n">
        <x:v>1</x:v>
      </x:c>
      <x:c r="B4" s="14" t="str">
        <x:v>Acarape do Meio</x:v>
      </x:c>
      <x:c r="C4" s="14" t="str">
        <x:v>Cenário ótimo/aprovado</x:v>
      </x:c>
      <x:c r="D4" s="18" t="n">
        <x:v>748</x:v>
      </x:c>
      <x:c r="E4" s="14" t="str">
        <x:v>VM3</x:v>
      </x:c>
      <x:c r="F4" s="14" t="str">
        <x:v>Limite Seca → Seca Severa</x:v>
      </x:c>
      <x:c r="G4" s="93" t="n">
        <x:v>17</x:v>
      </x:c>
      <x:c r="H4" s="93" t="n">
        <x:v>11</x:v>
      </x:c>
      <x:c r="I4" s="93" t="n">
        <x:v>6</x:v>
      </x:c>
      <x:c r="J4" s="93" t="n">
        <x:v>5</x:v>
      </x:c>
      <x:c r="K4" s="93" t="n">
        <x:v>14</x:v>
      </x:c>
      <x:c r="L4" s="93" t="n">
        <x:v>23</x:v>
      </x:c>
      <x:c r="M4" s="93" t="n">
        <x:v>50</x:v>
      </x:c>
      <x:c r="N4" s="93" t="n">
        <x:v>46</x:v>
      </x:c>
      <x:c r="O4" s="93" t="n">
        <x:v>41</x:v>
      </x:c>
      <x:c r="P4" s="93" t="n">
        <x:v>35</x:v>
      </x:c>
      <x:c r="Q4" s="93" t="n">
        <x:v>29</x:v>
      </x:c>
      <x:c r="R4" s="93" t="n">
        <x:v>22</x:v>
      </x:c>
      <x:c r="S4" s="14" t="str">
        <x:v>p. 54</x:v>
      </x:c>
      <x:c r="T4" s="14" t="str">
        <x:v>Figura 5.3. A figura aprovada informa vazão total de 748 L/s.</x:v>
      </x:c>
      <x:c r="U4" s="14" t="str">
        <x:v>PLANO DE GESTÃO PROATIVA DE SECAS - HIDROSSISTEMA ACARAPE DO MEIO.pdf</x:v>
      </x:c>
    </x:row>
    <x:row r="5">
      <x:c r="A5" s="14" t="n">
        <x:v>2</x:v>
      </x:c>
      <x:c r="B5" s="14" t="str">
        <x:v>Angicos</x:v>
      </x:c>
      <x:c r="C5" s="14" t="str">
        <x:v>Cenário escolhido – 300 L/s</x:v>
      </x:c>
      <x:c r="D5" s="18" t="n">
        <x:v>300</x:v>
      </x:c>
      <x:c r="E5" s="14" t="str">
        <x:v>VM1</x:v>
      </x:c>
      <x:c r="F5" s="14" t="str">
        <x:v>Limite Normal → Alerta</x:v>
      </x:c>
      <x:c r="G5" s="93" t="n">
        <x:v>20</x:v>
      </x:c>
      <x:c r="H5" s="93" t="n">
        <x:v>17</x:v>
      </x:c>
      <x:c r="I5" s="93" t="n">
        <x:v>15</x:v>
      </x:c>
      <x:c r="J5" s="93" t="n">
        <x:v>15</x:v>
      </x:c>
      <x:c r="K5" s="93" t="n">
        <x:v>17</x:v>
      </x:c>
      <x:c r="L5" s="93" t="n">
        <x:v>19</x:v>
      </x:c>
      <x:c r="M5" s="93" t="n">
        <x:v>38</x:v>
      </x:c>
      <x:c r="N5" s="93" t="n">
        <x:v>35</x:v>
      </x:c>
      <x:c r="O5" s="93" t="n">
        <x:v>32</x:v>
      </x:c>
      <x:c r="P5" s="93" t="n">
        <x:v>29</x:v>
      </x:c>
      <x:c r="Q5" s="93" t="n">
        <x:v>25</x:v>
      </x:c>
      <x:c r="R5" s="93" t="n">
        <x:v>22</x:v>
      </x:c>
      <x:c r="S5" s="14" t="str">
        <x:v>p. 55</x:v>
      </x:c>
      <x:c r="T5" s="14" t="str">
        <x:v>Figura 5.3.</x:v>
      </x:c>
      <x:c r="U5" s="14" t="str">
        <x:v>PLANO DE GESTÃO PROATIVA DE SECAS - HIDROSSISTEMA ANGICOS.pdf</x:v>
      </x:c>
    </x:row>
    <x:row r="6">
      <x:c r="A6" s="14" t="n">
        <x:v>2</x:v>
      </x:c>
      <x:c r="B6" s="14" t="str">
        <x:v>Angicos</x:v>
      </x:c>
      <x:c r="C6" s="14" t="str">
        <x:v>Cenário escolhido – 300 L/s</x:v>
      </x:c>
      <x:c r="D6" s="18" t="n">
        <x:v>300</x:v>
      </x:c>
      <x:c r="E6" s="14" t="str">
        <x:v>VM2</x:v>
      </x:c>
      <x:c r="F6" s="14" t="str">
        <x:v>Limite Alerta → Seca</x:v>
      </x:c>
      <x:c r="G6" s="93" t="n">
        <x:v>12</x:v>
      </x:c>
      <x:c r="H6" s="93" t="n">
        <x:v>10</x:v>
      </x:c>
      <x:c r="I6" s="93" t="n">
        <x:v>8</x:v>
      </x:c>
      <x:c r="J6" s="93" t="n">
        <x:v>9</x:v>
      </x:c>
      <x:c r="K6" s="93" t="n">
        <x:v>11</x:v>
      </x:c>
      <x:c r="L6" s="93" t="n">
        <x:v>12</x:v>
      </x:c>
      <x:c r="M6" s="93" t="n">
        <x:v>29</x:v>
      </x:c>
      <x:c r="N6" s="93" t="n">
        <x:v>26</x:v>
      </x:c>
      <x:c r="O6" s="93" t="n">
        <x:v>24</x:v>
      </x:c>
      <x:c r="P6" s="93" t="n">
        <x:v>21</x:v>
      </x:c>
      <x:c r="Q6" s="93" t="n">
        <x:v>18</x:v>
      </x:c>
      <x:c r="R6" s="93" t="n">
        <x:v>15</x:v>
      </x:c>
      <x:c r="S6" s="14" t="str">
        <x:v>p. 55</x:v>
      </x:c>
      <x:c r="T6" s="14" t="str">
        <x:v>Figura 5.3.</x:v>
      </x:c>
      <x:c r="U6" s="14" t="str">
        <x:v>PLANO DE GESTÃO PROATIVA DE SECAS - HIDROSSISTEMA ANGICOS.pdf</x:v>
      </x:c>
    </x:row>
    <x:row r="7">
      <x:c r="A7" s="14" t="n">
        <x:v>2</x:v>
      </x:c>
      <x:c r="B7" s="14" t="str">
        <x:v>Angicos</x:v>
      </x:c>
      <x:c r="C7" s="14" t="str">
        <x:v>Cenário escolhido – 300 L/s</x:v>
      </x:c>
      <x:c r="D7" s="18" t="n">
        <x:v>300</x:v>
      </x:c>
      <x:c r="E7" s="14" t="str">
        <x:v>VM3</x:v>
      </x:c>
      <x:c r="F7" s="14" t="str">
        <x:v>Limite Seca → Seca Severa</x:v>
      </x:c>
      <x:c r="G7" s="93" t="n">
        <x:v>9</x:v>
      </x:c>
      <x:c r="H7" s="93" t="n">
        <x:v>7</x:v>
      </x:c>
      <x:c r="I7" s="93" t="n">
        <x:v>5</x:v>
      </x:c>
      <x:c r="J7" s="93" t="n">
        <x:v>5</x:v>
      </x:c>
      <x:c r="K7" s="93" t="n">
        <x:v>8</x:v>
      </x:c>
      <x:c r="L7" s="93" t="n">
        <x:v>9</x:v>
      </x:c>
      <x:c r="M7" s="93" t="n">
        <x:v>24</x:v>
      </x:c>
      <x:c r="N7" s="93" t="n">
        <x:v>22</x:v>
      </x:c>
      <x:c r="O7" s="93" t="n">
        <x:v>19</x:v>
      </x:c>
      <x:c r="P7" s="93" t="n">
        <x:v>16</x:v>
      </x:c>
      <x:c r="Q7" s="93" t="n">
        <x:v>14</x:v>
      </x:c>
      <x:c r="R7" s="93" t="n">
        <x:v>11</x:v>
      </x:c>
      <x:c r="S7" s="14" t="str">
        <x:v>p. 55</x:v>
      </x:c>
      <x:c r="T7" s="14" t="str">
        <x:v>Figura 5.3.</x:v>
      </x:c>
      <x:c r="U7" s="14" t="str">
        <x:v>PLANO DE GESTÃO PROATIVA DE SECAS - HIDROSSISTEMA ANGICOS.pdf</x:v>
      </x:c>
    </x:row>
    <x:row r="8">
      <x:c r="A8" s="14" t="n">
        <x:v>3</x:v>
      </x:c>
      <x:c r="B8" s="14" t="str">
        <x:v>Arneiroz II</x:v>
      </x:c>
      <x:c r="C8" s="14" t="str">
        <x:v>Regra 1</x:v>
      </x:c>
      <x:c r="D8" s="18" t="n">
        <x:v>700</x:v>
      </x:c>
      <x:c r="E8" s="14" t="str">
        <x:v>VM1</x:v>
      </x:c>
      <x:c r="F8" s="14" t="str">
        <x:v>Limite Normal → Alerta</x:v>
      </x:c>
      <x:c r="G8" s="93" t="n">
        <x:v>30</x:v>
      </x:c>
      <x:c r="H8" s="93" t="n">
        <x:v>28</x:v>
      </x:c>
      <x:c r="I8" s="93" t="n">
        <x:v>26</x:v>
      </x:c>
      <x:c r="J8" s="93" t="n">
        <x:v>26</x:v>
      </x:c>
      <x:c r="K8" s="93" t="n">
        <x:v>28</x:v>
      </x:c>
      <x:c r="L8" s="93" t="n">
        <x:v>28</x:v>
      </x:c>
      <x:c r="M8" s="93" t="n">
        <x:v>44</x:v>
      </x:c>
      <x:c r="N8" s="93" t="n">
        <x:v>42</x:v>
      </x:c>
      <x:c r="O8" s="93" t="n">
        <x:v>40</x:v>
      </x:c>
      <x:c r="P8" s="93" t="n">
        <x:v>37</x:v>
      </x:c>
      <x:c r="Q8" s="93" t="n">
        <x:v>35</x:v>
      </x:c>
      <x:c r="R8" s="93" t="n">
        <x:v>32</x:v>
      </x:c>
      <x:c r="S8" s="14" t="str">
        <x:v>p. 59</x:v>
      </x:c>
      <x:c r="T8" s="14" t="str">
        <x:v>Figura 5.5.</x:v>
      </x:c>
      <x:c r="U8" s="14" t="str">
        <x:v>PLANO DE GESTÃO PROATIVA DE SECAS - HIDROSSISTEMA ARNEIROZ II.pdf</x:v>
      </x:c>
    </x:row>
    <x:row r="9">
      <x:c r="A9" s="14" t="n">
        <x:v>3</x:v>
      </x:c>
      <x:c r="B9" s="14" t="str">
        <x:v>Arneiroz II</x:v>
      </x:c>
      <x:c r="C9" s="14" t="str">
        <x:v>Regra 1</x:v>
      </x:c>
      <x:c r="D9" s="18" t="n">
        <x:v>700</x:v>
      </x:c>
      <x:c r="E9" s="14" t="str">
        <x:v>VM2</x:v>
      </x:c>
      <x:c r="F9" s="14" t="str">
        <x:v>Limite Alerta → Seca</x:v>
      </x:c>
      <x:c r="G9" s="93" t="n">
        <x:v>23</x:v>
      </x:c>
      <x:c r="H9" s="93" t="n">
        <x:v>22</x:v>
      </x:c>
      <x:c r="I9" s="93" t="n">
        <x:v>20</x:v>
      </x:c>
      <x:c r="J9" s="93" t="n">
        <x:v>20</x:v>
      </x:c>
      <x:c r="K9" s="93" t="n">
        <x:v>22</x:v>
      </x:c>
      <x:c r="L9" s="93" t="n">
        <x:v>22</x:v>
      </x:c>
      <x:c r="M9" s="93" t="n">
        <x:v>36</x:v>
      </x:c>
      <x:c r="N9" s="93" t="n">
        <x:v>34</x:v>
      </x:c>
      <x:c r="O9" s="93" t="n">
        <x:v>32</x:v>
      </x:c>
      <x:c r="P9" s="93" t="n">
        <x:v>30</x:v>
      </x:c>
      <x:c r="Q9" s="93" t="n">
        <x:v>27</x:v>
      </x:c>
      <x:c r="R9" s="93" t="n">
        <x:v>25</x:v>
      </x:c>
      <x:c r="S9" s="14" t="str">
        <x:v>p. 59</x:v>
      </x:c>
      <x:c r="T9" s="14" t="str">
        <x:v>Figura 5.5.</x:v>
      </x:c>
      <x:c r="U9" s="14" t="str">
        <x:v>PLANO DE GESTÃO PROATIVA DE SECAS - HIDROSSISTEMA ARNEIROZ II.pdf</x:v>
      </x:c>
    </x:row>
    <x:row r="10">
      <x:c r="A10" s="14" t="n">
        <x:v>3</x:v>
      </x:c>
      <x:c r="B10" s="14" t="str">
        <x:v>Arneiroz II</x:v>
      </x:c>
      <x:c r="C10" s="14" t="str">
        <x:v>Regra 1</x:v>
      </x:c>
      <x:c r="D10" s="18" t="n">
        <x:v>700</x:v>
      </x:c>
      <x:c r="E10" s="14" t="str">
        <x:v>VM3</x:v>
      </x:c>
      <x:c r="F10" s="14" t="str">
        <x:v>Limite Seca → Seca Severa</x:v>
      </x:c>
      <x:c r="G10" s="93" t="n">
        <x:v>12</x:v>
      </x:c>
      <x:c r="H10" s="93" t="n">
        <x:v>11</x:v>
      </x:c>
      <x:c r="I10" s="93" t="n">
        <x:v>10</x:v>
      </x:c>
      <x:c r="J10" s="93" t="n">
        <x:v>10</x:v>
      </x:c>
      <x:c r="K10" s="93" t="n">
        <x:v>12</x:v>
      </x:c>
      <x:c r="L10" s="93" t="n">
        <x:v>12</x:v>
      </x:c>
      <x:c r="M10" s="93" t="n">
        <x:v>22</x:v>
      </x:c>
      <x:c r="N10" s="93" t="n">
        <x:v>21</x:v>
      </x:c>
      <x:c r="O10" s="93" t="n">
        <x:v>19</x:v>
      </x:c>
      <x:c r="P10" s="93" t="n">
        <x:v>18</x:v>
      </x:c>
      <x:c r="Q10" s="93" t="n">
        <x:v>16</x:v>
      </x:c>
      <x:c r="R10" s="93" t="n">
        <x:v>14</x:v>
      </x:c>
      <x:c r="S10" s="14" t="str">
        <x:v>p. 59</x:v>
      </x:c>
      <x:c r="T10" s="14" t="str">
        <x:v>Figura 5.5.</x:v>
      </x:c>
      <x:c r="U10" s="14" t="str">
        <x:v>PLANO DE GESTÃO PROATIVA DE SECAS - HIDROSSISTEMA ARNEIROZ II.pdf</x:v>
      </x:c>
    </x:row>
    <x:row r="11">
      <x:c r="A11" s="14" t="n">
        <x:v>4</x:v>
      </x:c>
      <x:c r="B11" s="14" t="str">
        <x:v>Catucinzenta / Lagoa do Catu</x:v>
      </x:c>
      <x:c r="C11" s="14" t="str">
        <x:v>Possibilidade 1 – 87 L/s</x:v>
      </x:c>
      <x:c r="D11" s="18" t="n">
        <x:v>87</x:v>
      </x:c>
      <x:c r="E11" s="14" t="str">
        <x:v>VM1</x:v>
      </x:c>
      <x:c r="F11" s="14" t="str">
        <x:v>Limite Normal → Alerta</x:v>
      </x:c>
      <x:c r="G11" s="93" t="n">
        <x:v>16</x:v>
      </x:c>
      <x:c r="H11" s="93" t="n">
        <x:v>15</x:v>
      </x:c>
      <x:c r="I11" s="93" t="n">
        <x:v>14</x:v>
      </x:c>
      <x:c r="J11" s="93" t="n">
        <x:v>15</x:v>
      </x:c>
      <x:c r="K11" s="93" t="n">
        <x:v>17</x:v>
      </x:c>
      <x:c r="L11" s="93" t="n">
        <x:v>18</x:v>
      </x:c>
      <x:c r="M11" s="93" t="n">
        <x:v>26</x:v>
      </x:c>
      <x:c r="N11" s="93" t="n">
        <x:v>24</x:v>
      </x:c>
      <x:c r="O11" s="93" t="n">
        <x:v>23</x:v>
      </x:c>
      <x:c r="P11" s="93" t="n">
        <x:v>21</x:v>
      </x:c>
      <x:c r="Q11" s="93" t="n">
        <x:v>19</x:v>
      </x:c>
      <x:c r="R11" s="93" t="n">
        <x:v>18</x:v>
      </x:c>
      <x:c r="S11" s="14" t="str">
        <x:v>p. 62</x:v>
      </x:c>
      <x:c r="T11" s="14" t="str">
        <x:v>Figura 5.3.</x:v>
      </x:c>
      <x:c r="U11" s="14" t="str">
        <x:v>PLANO DE GESTÃO PROATIVA DE SECAS - HIDROSSISTEMA CATUCINZENTA LAGOA DO CATU (1).pdf</x:v>
      </x:c>
    </x:row>
    <x:row r="12">
      <x:c r="A12" s="14" t="n">
        <x:v>4</x:v>
      </x:c>
      <x:c r="B12" s="14" t="str">
        <x:v>Catucinzenta / Lagoa do Catu</x:v>
      </x:c>
      <x:c r="C12" s="14" t="str">
        <x:v>Possibilidade 1 – 87 L/s</x:v>
      </x:c>
      <x:c r="D12" s="18" t="n">
        <x:v>87</x:v>
      </x:c>
      <x:c r="E12" s="14" t="str">
        <x:v>VM2</x:v>
      </x:c>
      <x:c r="F12" s="14" t="str">
        <x:v>Limite Alerta → Seca</x:v>
      </x:c>
      <x:c r="G12" s="93" t="n">
        <x:v>10</x:v>
      </x:c>
      <x:c r="H12" s="93" t="n">
        <x:v>9</x:v>
      </x:c>
      <x:c r="I12" s="93" t="n">
        <x:v>8</x:v>
      </x:c>
      <x:c r="J12" s="93" t="n">
        <x:v>9</x:v>
      </x:c>
      <x:c r="K12" s="93" t="n">
        <x:v>11</x:v>
      </x:c>
      <x:c r="L12" s="93" t="n">
        <x:v>12</x:v>
      </x:c>
      <x:c r="M12" s="93" t="n">
        <x:v>18</x:v>
      </x:c>
      <x:c r="N12" s="93" t="n">
        <x:v>17</x:v>
      </x:c>
      <x:c r="O12" s="93" t="n">
        <x:v>16</x:v>
      </x:c>
      <x:c r="P12" s="93" t="n">
        <x:v>14</x:v>
      </x:c>
      <x:c r="Q12" s="93" t="n">
        <x:v>13</x:v>
      </x:c>
      <x:c r="R12" s="93" t="n">
        <x:v>11</x:v>
      </x:c>
      <x:c r="S12" s="14" t="str">
        <x:v>p. 62</x:v>
      </x:c>
      <x:c r="T12" s="14" t="str">
        <x:v>Figura 5.3.</x:v>
      </x:c>
      <x:c r="U12" s="14" t="str">
        <x:v>PLANO DE GESTÃO PROATIVA DE SECAS - HIDROSSISTEMA CATUCINZENTA LAGOA DO CATU (1).pdf</x:v>
      </x:c>
    </x:row>
    <x:row r="13">
      <x:c r="A13" s="14" t="n">
        <x:v>4</x:v>
      </x:c>
      <x:c r="B13" s="14" t="str">
        <x:v>Catucinzenta / Lagoa do Catu</x:v>
      </x:c>
      <x:c r="C13" s="14" t="str">
        <x:v>Possibilidade 1 – 87 L/s</x:v>
      </x:c>
      <x:c r="D13" s="18" t="n">
        <x:v>87</x:v>
      </x:c>
      <x:c r="E13" s="14" t="str">
        <x:v>VM3</x:v>
      </x:c>
      <x:c r="F13" s="14" t="str">
        <x:v>Limite Seca → Seca Severa</x:v>
      </x:c>
      <x:c r="G13" s="93" t="n">
        <x:v>6</x:v>
      </x:c>
      <x:c r="H13" s="93" t="n">
        <x:v>6</x:v>
      </x:c>
      <x:c r="I13" s="93" t="n">
        <x:v>5</x:v>
      </x:c>
      <x:c r="J13" s="93" t="n">
        <x:v>6</x:v>
      </x:c>
      <x:c r="K13" s="93" t="n">
        <x:v>8</x:v>
      </x:c>
      <x:c r="L13" s="93" t="n">
        <x:v>9</x:v>
      </x:c>
      <x:c r="M13" s="93" t="n">
        <x:v>14</x:v>
      </x:c>
      <x:c r="N13" s="93" t="n">
        <x:v>13</x:v>
      </x:c>
      <x:c r="O13" s="93" t="n">
        <x:v>12</x:v>
      </x:c>
      <x:c r="P13" s="93" t="n">
        <x:v>11</x:v>
      </x:c>
      <x:c r="Q13" s="93" t="n">
        <x:v>9</x:v>
      </x:c>
      <x:c r="R13" s="93" t="n">
        <x:v>8</x:v>
      </x:c>
      <x:c r="S13" s="14" t="str">
        <x:v>p. 62</x:v>
      </x:c>
      <x:c r="T13" s="14" t="str">
        <x:v>Figura 5.3.</x:v>
      </x:c>
      <x:c r="U13" s="14" t="str">
        <x:v>PLANO DE GESTÃO PROATIVA DE SECAS - HIDROSSISTEMA CATUCINZENTA LAGOA DO CATU (1).pdf</x:v>
      </x:c>
    </x:row>
    <x:row r="14">
      <x:c r="A14" s="14" t="n">
        <x:v>5</x:v>
      </x:c>
      <x:c r="B14" s="14" t="str">
        <x:v>Pedras Brancas</x:v>
      </x:c>
      <x:c r="C14" s="14" t="str">
        <x:v>Cenário A escolhido (ajustado)</x:v>
      </x:c>
      <x:c r="D14" s="18" t="n">
        <x:v>415</x:v>
      </x:c>
      <x:c r="E14" s="14" t="str">
        <x:v>VM1</x:v>
      </x:c>
      <x:c r="F14" s="14" t="str">
        <x:v>Limite Normal → Alerta</x:v>
      </x:c>
      <x:c r="G14" s="93" t="n">
        <x:v>15</x:v>
      </x:c>
      <x:c r="H14" s="93" t="n">
        <x:v>14</x:v>
      </x:c>
      <x:c r="I14" s="93" t="n">
        <x:v>14</x:v>
      </x:c>
      <x:c r="J14" s="93" t="n">
        <x:v>13</x:v>
      </x:c>
      <x:c r="K14" s="93" t="n">
        <x:v>14</x:v>
      </x:c>
      <x:c r="L14" s="93" t="n">
        <x:v>14</x:v>
      </x:c>
      <x:c r="M14" s="93" t="n">
        <x:v>22</x:v>
      </x:c>
      <x:c r="N14" s="93" t="n">
        <x:v>21</x:v>
      </x:c>
      <x:c r="O14" s="93" t="n">
        <x:v>20</x:v>
      </x:c>
      <x:c r="P14" s="93" t="n">
        <x:v>19</x:v>
      </x:c>
      <x:c r="Q14" s="93" t="n">
        <x:v>18</x:v>
      </x:c>
      <x:c r="R14" s="93" t="n">
        <x:v>17</x:v>
      </x:c>
      <x:c r="S14" s="14" t="str">
        <x:v>p. 90</x:v>
      </x:c>
      <x:c r="T14" s="14" t="str">
        <x:v>Figura 5.5 após ajustes solicitados pela Comissão Gestora.</x:v>
      </x:c>
      <x:c r="U14" s="14" t="str">
        <x:v>PLANO DE GESTÃO PROATIVA DE SECAS - HIDROSSISTEMA PEDRAS BRANCAS.pdf</x:v>
      </x:c>
    </x:row>
    <x:row r="15">
      <x:c r="A15" s="14" t="n">
        <x:v>5</x:v>
      </x:c>
      <x:c r="B15" s="14" t="str">
        <x:v>Pedras Brancas</x:v>
      </x:c>
      <x:c r="C15" s="14" t="str">
        <x:v>Cenário A escolhido (ajustado)</x:v>
      </x:c>
      <x:c r="D15" s="18" t="n">
        <x:v>415</x:v>
      </x:c>
      <x:c r="E15" s="14" t="str">
        <x:v>VM2</x:v>
      </x:c>
      <x:c r="F15" s="14" t="str">
        <x:v>Limite Alerta → Seca</x:v>
      </x:c>
      <x:c r="G15" s="93" t="n">
        <x:v>9</x:v>
      </x:c>
      <x:c r="H15" s="93" t="n">
        <x:v>8</x:v>
      </x:c>
      <x:c r="I15" s="93" t="n">
        <x:v>8</x:v>
      </x:c>
      <x:c r="J15" s="93" t="n">
        <x:v>7</x:v>
      </x:c>
      <x:c r="K15" s="93" t="n">
        <x:v>8</x:v>
      </x:c>
      <x:c r="L15" s="93" t="n">
        <x:v>8</x:v>
      </x:c>
      <x:c r="M15" s="93" t="n">
        <x:v>14</x:v>
      </x:c>
      <x:c r="N15" s="93" t="n">
        <x:v>14</x:v>
      </x:c>
      <x:c r="O15" s="93" t="n">
        <x:v>13</x:v>
      </x:c>
      <x:c r="P15" s="93" t="n">
        <x:v>12</x:v>
      </x:c>
      <x:c r="Q15" s="93" t="n">
        <x:v>11</x:v>
      </x:c>
      <x:c r="R15" s="93" t="n">
        <x:v>10</x:v>
      </x:c>
      <x:c r="S15" s="14" t="str">
        <x:v>p. 90</x:v>
      </x:c>
      <x:c r="T15" s="14" t="str">
        <x:v>Figura 5.5 após ajustes solicitados pela Comissão Gestora.</x:v>
      </x:c>
      <x:c r="U15" s="14" t="str">
        <x:v>PLANO DE GESTÃO PROATIVA DE SECAS - HIDROSSISTEMA PEDRAS BRANCAS.pdf</x:v>
      </x:c>
    </x:row>
    <x:row r="16">
      <x:c r="A16" s="14" t="n">
        <x:v>5</x:v>
      </x:c>
      <x:c r="B16" s="14" t="str">
        <x:v>Pedras Brancas</x:v>
      </x:c>
      <x:c r="C16" s="14" t="str">
        <x:v>Cenário A escolhido (ajustado)</x:v>
      </x:c>
      <x:c r="D16" s="18" t="n">
        <x:v>415</x:v>
      </x:c>
      <x:c r="E16" s="14" t="str">
        <x:v>VM3</x:v>
      </x:c>
      <x:c r="F16" s="14" t="str">
        <x:v>Limite Seca → Seca Severa</x:v>
      </x:c>
      <x:c r="G16" s="93" t="n">
        <x:v>6</x:v>
      </x:c>
      <x:c r="H16" s="93" t="n">
        <x:v>6</x:v>
      </x:c>
      <x:c r="I16" s="93" t="n">
        <x:v>5</x:v>
      </x:c>
      <x:c r="J16" s="93" t="n">
        <x:v>5</x:v>
      </x:c>
      <x:c r="K16" s="93" t="n">
        <x:v>6</x:v>
      </x:c>
      <x:c r="L16" s="93" t="n">
        <x:v>6</x:v>
      </x:c>
      <x:c r="M16" s="93" t="n">
        <x:v>11</x:v>
      </x:c>
      <x:c r="N16" s="93" t="n">
        <x:v>10</x:v>
      </x:c>
      <x:c r="O16" s="93" t="n">
        <x:v>9</x:v>
      </x:c>
      <x:c r="P16" s="93" t="n">
        <x:v>8</x:v>
      </x:c>
      <x:c r="Q16" s="93" t="n">
        <x:v>8</x:v>
      </x:c>
      <x:c r="R16" s="93" t="n">
        <x:v>7</x:v>
      </x:c>
      <x:c r="S16" s="14" t="str">
        <x:v>p. 90</x:v>
      </x:c>
      <x:c r="T16" s="14" t="str">
        <x:v>Figura 5.5 após ajustes solicitados pela Comissão Gestora.</x:v>
      </x:c>
      <x:c r="U16" s="14" t="str">
        <x:v>PLANO DE GESTÃO PROATIVA DE SECAS - HIDROSSISTEMA PEDRAS BRANCAS.pdf</x:v>
      </x:c>
    </x:row>
    <x:row r="17">
      <x:c r="A17" s="14" t="n">
        <x:v>6</x:v>
      </x:c>
      <x:c r="B17" s="14" t="str">
        <x:v>Riacho do Sangue</x:v>
      </x:c>
      <x:c r="C17" s="14" t="str">
        <x:v>Cenário 2</x:v>
      </x:c>
      <x:c r="D17" s="18" t="n">
        <x:v>320</x:v>
      </x:c>
      <x:c r="E17" s="14" t="str">
        <x:v>VM1</x:v>
      </x:c>
      <x:c r="F17" s="14" t="str">
        <x:v>Limite Normal → Alerta</x:v>
      </x:c>
      <x:c r="G17" s="93" t="n">
        <x:v>17</x:v>
      </x:c>
      <x:c r="H17" s="93" t="n">
        <x:v>14</x:v>
      </x:c>
      <x:c r="I17" s="93" t="n">
        <x:v>12</x:v>
      </x:c>
      <x:c r="J17" s="93" t="n">
        <x:v>12</x:v>
      </x:c>
      <x:c r="K17" s="93" t="n">
        <x:v>13</x:v>
      </x:c>
      <x:c r="L17" s="93" t="n">
        <x:v>14</x:v>
      </x:c>
      <x:c r="M17" s="93" t="n">
        <x:v>33</x:v>
      </x:c>
      <x:c r="N17" s="93" t="n">
        <x:v>31</x:v>
      </x:c>
      <x:c r="O17" s="93" t="n">
        <x:v>28</x:v>
      </x:c>
      <x:c r="P17" s="93" t="n">
        <x:v>25</x:v>
      </x:c>
      <x:c r="Q17" s="93" t="n">
        <x:v>22</x:v>
      </x:c>
      <x:c r="R17" s="93" t="n">
        <x:v>19</x:v>
      </x:c>
      <x:c r="S17" s="14" t="str">
        <x:v>p. 54</x:v>
      </x:c>
      <x:c r="T17" s="14" t="str">
        <x:v>Figura 4.7.</x:v>
      </x:c>
      <x:c r="U17" s="14" t="str">
        <x:v>PLANO DE GESTÃO PROATIVA DE SECAS - HIDROSSISTEMA RIACHO DO SANGUE.pdf</x:v>
      </x:c>
    </x:row>
    <x:row r="18">
      <x:c r="A18" s="14" t="n">
        <x:v>6</x:v>
      </x:c>
      <x:c r="B18" s="14" t="str">
        <x:v>Riacho do Sangue</x:v>
      </x:c>
      <x:c r="C18" s="14" t="str">
        <x:v>Cenário 2</x:v>
      </x:c>
      <x:c r="D18" s="18" t="n">
        <x:v>320</x:v>
      </x:c>
      <x:c r="E18" s="14" t="str">
        <x:v>VM2</x:v>
      </x:c>
      <x:c r="F18" s="14" t="str">
        <x:v>Limite Alerta → Seca</x:v>
      </x:c>
      <x:c r="G18" s="93" t="n">
        <x:v>12</x:v>
      </x:c>
      <x:c r="H18" s="93" t="n">
        <x:v>10</x:v>
      </x:c>
      <x:c r="I18" s="93" t="n">
        <x:v>8</x:v>
      </x:c>
      <x:c r="J18" s="93" t="n">
        <x:v>7</x:v>
      </x:c>
      <x:c r="K18" s="93" t="n">
        <x:v>9</x:v>
      </x:c>
      <x:c r="L18" s="93" t="n">
        <x:v>9</x:v>
      </x:c>
      <x:c r="M18" s="93" t="n">
        <x:v>28</x:v>
      </x:c>
      <x:c r="N18" s="93" t="n">
        <x:v>25</x:v>
      </x:c>
      <x:c r="O18" s="93" t="n">
        <x:v>23</x:v>
      </x:c>
      <x:c r="P18" s="93" t="n">
        <x:v>20</x:v>
      </x:c>
      <x:c r="Q18" s="93" t="n">
        <x:v>17</x:v>
      </x:c>
      <x:c r="R18" s="93" t="n">
        <x:v>15</x:v>
      </x:c>
      <x:c r="S18" s="14" t="str">
        <x:v>p. 54</x:v>
      </x:c>
      <x:c r="T18" s="14" t="str">
        <x:v>Figura 4.7.</x:v>
      </x:c>
      <x:c r="U18" s="14" t="str">
        <x:v>PLANO DE GESTÃO PROATIVA DE SECAS - HIDROSSISTEMA RIACHO DO SANGUE.pdf</x:v>
      </x:c>
    </x:row>
    <x:row r="19">
      <x:c r="A19" s="14" t="n">
        <x:v>6</x:v>
      </x:c>
      <x:c r="B19" s="14" t="str">
        <x:v>Riacho do Sangue</x:v>
      </x:c>
      <x:c r="C19" s="14" t="str">
        <x:v>Cenário 2</x:v>
      </x:c>
      <x:c r="D19" s="18" t="n">
        <x:v>320</x:v>
      </x:c>
      <x:c r="E19" s="14" t="str">
        <x:v>VM3</x:v>
      </x:c>
      <x:c r="F19" s="14" t="str">
        <x:v>Limite Seca → Seca Severa</x:v>
      </x:c>
      <x:c r="G19" s="93" t="n">
        <x:v>9</x:v>
      </x:c>
      <x:c r="H19" s="93" t="n">
        <x:v>7</x:v>
      </x:c>
      <x:c r="I19" s="93" t="n">
        <x:v>6</x:v>
      </x:c>
      <x:c r="J19" s="93" t="n">
        <x:v>5</x:v>
      </x:c>
      <x:c r="K19" s="93" t="n">
        <x:v>6</x:v>
      </x:c>
      <x:c r="L19" s="93" t="n">
        <x:v>7</x:v>
      </x:c>
      <x:c r="M19" s="93" t="n">
        <x:v>25</x:v>
      </x:c>
      <x:c r="N19" s="93" t="n">
        <x:v>22</x:v>
      </x:c>
      <x:c r="O19" s="93" t="n">
        <x:v>20</x:v>
      </x:c>
      <x:c r="P19" s="93" t="n">
        <x:v>17</x:v>
      </x:c>
      <x:c r="Q19" s="93" t="n">
        <x:v>14</x:v>
      </x:c>
      <x:c r="R19" s="93" t="n">
        <x:v>12</x:v>
      </x:c>
      <x:c r="S19" s="14" t="str">
        <x:v>p. 54</x:v>
      </x:c>
      <x:c r="T19" s="14" t="str">
        <x:v>Figura 4.7.</x:v>
      </x:c>
      <x:c r="U19" s="14" t="str">
        <x:v>PLANO DE GESTÃO PROATIVA DE SECAS - HIDROSSISTEMA RIACHO DO SANGUE.pdf</x:v>
      </x:c>
    </x:row>
    <x:row r="20">
      <x:c r="A20" s="14" t="n">
        <x:v>7</x:v>
      </x:c>
      <x:c r="B20" s="14" t="str">
        <x:v>Trussu</x:v>
      </x:c>
      <x:c r="C20" s="14" t="str">
        <x:v>Cenário A</x:v>
      </x:c>
      <x:c r="D20" s="18" t="n">
        <x:v>500</x:v>
      </x:c>
      <x:c r="E20" s="14" t="str">
        <x:v>VM1</x:v>
      </x:c>
      <x:c r="F20" s="14" t="str">
        <x:v>Limite Normal → Alerta</x:v>
      </x:c>
      <x:c r="G20" s="93" t="n">
        <x:v>50</x:v>
      </x:c>
      <x:c r="H20" s="93" t="n">
        <x:v>49</x:v>
      </x:c>
      <x:c r="I20" s="93" t="n">
        <x:v>49</x:v>
      </x:c>
      <x:c r="J20" s="93" t="n">
        <x:v>51</x:v>
      </x:c>
      <x:c r="K20" s="93" t="n">
        <x:v>54</x:v>
      </x:c>
      <x:c r="L20" s="93" t="n">
        <x:v>55</x:v>
      </x:c>
      <x:c r="M20" s="93" t="n">
        <x:v>60</x:v>
      </x:c>
      <x:c r="N20" s="93" t="n">
        <x:v>59</x:v>
      </x:c>
      <x:c r="O20" s="93" t="n">
        <x:v>57</x:v>
      </x:c>
      <x:c r="P20" s="93" t="n">
        <x:v>55</x:v>
      </x:c>
      <x:c r="Q20" s="93" t="n">
        <x:v>53</x:v>
      </x:c>
      <x:c r="R20" s="93" t="n">
        <x:v>52</x:v>
      </x:c>
      <x:c r="S20" s="14" t="str">
        <x:v>p. 77</x:v>
      </x:c>
      <x:c r="T20" s="14" t="str">
        <x:v>Figura 5.6.</x:v>
      </x:c>
      <x:c r="U20" s="14" t="str">
        <x:v>PLANO DE GESTÃO PROATIVA DE SECAS - HIDROSSISTEMA TRUSSU.pdf</x:v>
      </x:c>
    </x:row>
    <x:row r="21">
      <x:c r="A21" s="14" t="n">
        <x:v>7</x:v>
      </x:c>
      <x:c r="B21" s="14" t="str">
        <x:v>Trussu</x:v>
      </x:c>
      <x:c r="C21" s="14" t="str">
        <x:v>Cenário A</x:v>
      </x:c>
      <x:c r="D21" s="18" t="n">
        <x:v>500</x:v>
      </x:c>
      <x:c r="E21" s="14" t="str">
        <x:v>VM2</x:v>
      </x:c>
      <x:c r="F21" s="14" t="str">
        <x:v>Limite Alerta → Seca</x:v>
      </x:c>
      <x:c r="G21" s="93" t="n">
        <x:v>42</x:v>
      </x:c>
      <x:c r="H21" s="93" t="n">
        <x:v>41</x:v>
      </x:c>
      <x:c r="I21" s="93" t="n">
        <x:v>41</x:v>
      </x:c>
      <x:c r="J21" s="93" t="n">
        <x:v>43</x:v>
      </x:c>
      <x:c r="K21" s="93" t="n">
        <x:v>46</x:v>
      </x:c>
      <x:c r="L21" s="93" t="n">
        <x:v>47</x:v>
      </x:c>
      <x:c r="M21" s="93" t="n">
        <x:v>51</x:v>
      </x:c>
      <x:c r="N21" s="93" t="n">
        <x:v>50</x:v>
      </x:c>
      <x:c r="O21" s="93" t="n">
        <x:v>48</x:v>
      </x:c>
      <x:c r="P21" s="93" t="n">
        <x:v>47</x:v>
      </x:c>
      <x:c r="Q21" s="93" t="n">
        <x:v>45</x:v>
      </x:c>
      <x:c r="R21" s="93" t="n">
        <x:v>43</x:v>
      </x:c>
      <x:c r="S21" s="14" t="str">
        <x:v>p. 77</x:v>
      </x:c>
      <x:c r="T21" s="14" t="str">
        <x:v>Figura 5.6.</x:v>
      </x:c>
      <x:c r="U21" s="14" t="str">
        <x:v>PLANO DE GESTÃO PROATIVA DE SECAS - HIDROSSISTEMA TRUSSU.pdf</x:v>
      </x:c>
    </x:row>
    <x:row r="22">
      <x:c r="A22" s="14" t="n">
        <x:v>7</x:v>
      </x:c>
      <x:c r="B22" s="14" t="str">
        <x:v>Trussu</x:v>
      </x:c>
      <x:c r="C22" s="14" t="str">
        <x:v>Cenário A</x:v>
      </x:c>
      <x:c r="D22" s="18" t="n">
        <x:v>500</x:v>
      </x:c>
      <x:c r="E22" s="14" t="str">
        <x:v>VM3</x:v>
      </x:c>
      <x:c r="F22" s="14" t="str">
        <x:v>Limite Seca → Seca Severa</x:v>
      </x:c>
      <x:c r="G22" s="93" t="n">
        <x:v>39</x:v>
      </x:c>
      <x:c r="H22" s="93" t="n">
        <x:v>38</x:v>
      </x:c>
      <x:c r="I22" s="93" t="n">
        <x:v>38</x:v>
      </x:c>
      <x:c r="J22" s="93" t="n">
        <x:v>40</x:v>
      </x:c>
      <x:c r="K22" s="93" t="n">
        <x:v>43</x:v>
      </x:c>
      <x:c r="L22" s="93" t="n">
        <x:v>44</x:v>
      </x:c>
      <x:c r="M22" s="93" t="n">
        <x:v>48</x:v>
      </x:c>
      <x:c r="N22" s="93" t="n">
        <x:v>47</x:v>
      </x:c>
      <x:c r="O22" s="93" t="n">
        <x:v>45</x:v>
      </x:c>
      <x:c r="P22" s="93" t="n">
        <x:v>43</x:v>
      </x:c>
      <x:c r="Q22" s="93" t="n">
        <x:v>42</x:v>
      </x:c>
      <x:c r="R22" s="93" t="n">
        <x:v>40</x:v>
      </x:c>
      <x:c r="S22" s="14" t="str">
        <x:v>p. 77</x:v>
      </x:c>
      <x:c r="T22" s="14" t="str">
        <x:v>Figura 5.6.</x:v>
      </x:c>
      <x:c r="U22" s="14" t="str">
        <x:v>PLANO DE GESTÃO PROATIVA DE SECAS - HIDROSSISTEMA TRUSSU.pdf</x:v>
      </x:c>
    </x:row>
    <x:row r="23">
      <x:c r="A23" s="14" t="n">
        <x:v>8</x:v>
      </x:c>
      <x:c r="B23" s="14" t="str">
        <x:v>Ubaldinho</x:v>
      </x:c>
      <x:c r="C23" s="14" t="str">
        <x:v>Cenário 1</x:v>
      </x:c>
      <x:c r="D23" s="18" t="n">
        <x:v>150</x:v>
      </x:c>
      <x:c r="E23" s="14" t="str">
        <x:v>VM1</x:v>
      </x:c>
      <x:c r="F23" s="14" t="str">
        <x:v>Limite Normal → Alerta</x:v>
      </x:c>
      <x:c r="G23" s="93" t="n">
        <x:v>36</x:v>
      </x:c>
      <x:c r="H23" s="93" t="n">
        <x:v>34</x:v>
      </x:c>
      <x:c r="I23" s="93" t="n">
        <x:v>32</x:v>
      </x:c>
      <x:c r="J23" s="93" t="n">
        <x:v>34</x:v>
      </x:c>
      <x:c r="K23" s="93" t="n">
        <x:v>38</x:v>
      </x:c>
      <x:c r="L23" s="93" t="n">
        <x:v>38</x:v>
      </x:c>
      <x:c r="M23" s="93" t="n">
        <x:v>56</x:v>
      </x:c>
      <x:c r="N23" s="93" t="n">
        <x:v>53</x:v>
      </x:c>
      <x:c r="O23" s="93" t="n">
        <x:v>49</x:v>
      </x:c>
      <x:c r="P23" s="93" t="n">
        <x:v>46</x:v>
      </x:c>
      <x:c r="Q23" s="93" t="n">
        <x:v>43</x:v>
      </x:c>
      <x:c r="R23" s="93" t="n">
        <x:v>39</x:v>
      </x:c>
      <x:c r="S23" s="14" t="str">
        <x:v>p. 76</x:v>
      </x:c>
      <x:c r="T23" s="14" t="str">
        <x:v>Figura 5.7.</x:v>
      </x:c>
      <x:c r="U23" s="14" t="str">
        <x:v>PLANO DE GESTÃO PROATIVA DE SECAS - HIDROSSISTEMA UBALDINHO.pdf</x:v>
      </x:c>
    </x:row>
    <x:row r="24">
      <x:c r="A24" s="14" t="n">
        <x:v>8</x:v>
      </x:c>
      <x:c r="B24" s="14" t="str">
        <x:v>Ubaldinho</x:v>
      </x:c>
      <x:c r="C24" s="14" t="str">
        <x:v>Cenário 1</x:v>
      </x:c>
      <x:c r="D24" s="18" t="n">
        <x:v>150</x:v>
      </x:c>
      <x:c r="E24" s="14" t="str">
        <x:v>VM2</x:v>
      </x:c>
      <x:c r="F24" s="14" t="str">
        <x:v>Limite Alerta → Seca</x:v>
      </x:c>
      <x:c r="G24" s="93" t="n">
        <x:v>21</x:v>
      </x:c>
      <x:c r="H24" s="93" t="n">
        <x:v>19</x:v>
      </x:c>
      <x:c r="I24" s="93" t="n">
        <x:v>17</x:v>
      </x:c>
      <x:c r="J24" s="93" t="n">
        <x:v>20</x:v>
      </x:c>
      <x:c r="K24" s="93" t="n">
        <x:v>24</x:v>
      </x:c>
      <x:c r="L24" s="93" t="n">
        <x:v>24</x:v>
      </x:c>
      <x:c r="M24" s="93" t="n">
        <x:v>37</x:v>
      </x:c>
      <x:c r="N24" s="93" t="n">
        <x:v>34</x:v>
      </x:c>
      <x:c r="O24" s="93" t="n">
        <x:v>31</x:v>
      </x:c>
      <x:c r="P24" s="93" t="n">
        <x:v>29</x:v>
      </x:c>
      <x:c r="Q24" s="93" t="n">
        <x:v>26</x:v>
      </x:c>
      <x:c r="R24" s="93" t="n">
        <x:v>23</x:v>
      </x:c>
      <x:c r="S24" s="14" t="str">
        <x:v>p. 76</x:v>
      </x:c>
      <x:c r="T24" s="14" t="str">
        <x:v>Figura 5.7.</x:v>
      </x:c>
      <x:c r="U24" s="14" t="str">
        <x:v>PLANO DE GESTÃO PROATIVA DE SECAS - HIDROSSISTEMA UBALDINHO.pdf</x:v>
      </x:c>
    </x:row>
    <x:row r="25">
      <x:c r="A25" s="14" t="n">
        <x:v>8</x:v>
      </x:c>
      <x:c r="B25" s="14" t="str">
        <x:v>Ubaldinho</x:v>
      </x:c>
      <x:c r="C25" s="14" t="str">
        <x:v>Cenário 1</x:v>
      </x:c>
      <x:c r="D25" s="18" t="n">
        <x:v>150</x:v>
      </x:c>
      <x:c r="E25" s="14" t="str">
        <x:v>VM3</x:v>
      </x:c>
      <x:c r="F25" s="14" t="str">
        <x:v>Limite Seca → Seca Severa</x:v>
      </x:c>
      <x:c r="G25" s="93" t="n">
        <x:v>9</x:v>
      </x:c>
      <x:c r="H25" s="93" t="n">
        <x:v>7</x:v>
      </x:c>
      <x:c r="I25" s="93" t="n">
        <x:v>6</x:v>
      </x:c>
      <x:c r="J25" s="93" t="n">
        <x:v>9</x:v>
      </x:c>
      <x:c r="K25" s="93" t="n">
        <x:v>13</x:v>
      </x:c>
      <x:c r="L25" s="93" t="n">
        <x:v>13</x:v>
      </x:c>
      <x:c r="M25" s="93" t="n">
        <x:v>22</x:v>
      </x:c>
      <x:c r="N25" s="93" t="n">
        <x:v>19</x:v>
      </x:c>
      <x:c r="O25" s="93" t="n">
        <x:v>17</x:v>
      </x:c>
      <x:c r="P25" s="93" t="n">
        <x:v>15</x:v>
      </x:c>
      <x:c r="Q25" s="93" t="n">
        <x:v>13</x:v>
      </x:c>
      <x:c r="R25" s="93" t="n">
        <x:v>11</x:v>
      </x:c>
      <x:c r="S25" s="14" t="str">
        <x:v>p. 76</x:v>
      </x:c>
      <x:c r="T25" s="14" t="str">
        <x:v>Figura 5.7.</x:v>
      </x:c>
      <x:c r="U25" s="14" t="str">
        <x:v>PLANO DE GESTÃO PROATIVA DE SECAS - HIDROSSISTEMA UBALDINHO.pdf</x:v>
      </x:c>
    </x:row>
    <x:row r="26">
      <x:c r="A26" s="14" t="n">
        <x:v>9</x:v>
      </x:c>
      <x:c r="B26" s="14" t="str">
        <x:v>Aracoiaba</x:v>
      </x:c>
      <x:c r="C26" s="14" t="str">
        <x:v>Cenário 2</x:v>
      </x:c>
      <x:c r="D26" s="18" t="n">
        <x:v>432</x:v>
      </x:c>
      <x:c r="E26" s="14" t="str">
        <x:v>VM1</x:v>
      </x:c>
      <x:c r="F26" s="14" t="str">
        <x:v>Limite Normal → Alerta</x:v>
      </x:c>
      <x:c r="G26" s="93" t="n">
        <x:v>58</x:v>
      </x:c>
      <x:c r="H26" s="93" t="n">
        <x:v>57</x:v>
      </x:c>
      <x:c r="I26" s="93" t="n">
        <x:v>56</x:v>
      </x:c>
      <x:c r="J26" s="93" t="n">
        <x:v>57</x:v>
      </x:c>
      <x:c r="K26" s="93" t="n">
        <x:v>60</x:v>
      </x:c>
      <x:c r="L26" s="93" t="n">
        <x:v>62</x:v>
      </x:c>
      <x:c r="M26" s="93" t="n">
        <x:v>69</x:v>
      </x:c>
      <x:c r="N26" s="93" t="n">
        <x:v>68</x:v>
      </x:c>
      <x:c r="O26" s="93" t="n">
        <x:v>67</x:v>
      </x:c>
      <x:c r="P26" s="93" t="n">
        <x:v>65</x:v>
      </x:c>
      <x:c r="Q26" s="93" t="n">
        <x:v>62</x:v>
      </x:c>
      <x:c r="R26" s="93" t="n">
        <x:v>60</x:v>
      </x:c>
      <x:c r="S26" s="14" t="str">
        <x:v>p. 56</x:v>
      </x:c>
      <x:c r="T26" s="14" t="str">
        <x:v>Figura 5.3b.</x:v>
      </x:c>
      <x:c r="U26" s="14" t="str">
        <x:v>Plano de Gestão Proativa de Secas - Hidrossistema Aracoiaba.pdf</x:v>
      </x:c>
    </x:row>
    <x:row r="27">
      <x:c r="A27" s="14" t="n">
        <x:v>9</x:v>
      </x:c>
      <x:c r="B27" s="14" t="str">
        <x:v>Aracoiaba</x:v>
      </x:c>
      <x:c r="C27" s="14" t="str">
        <x:v>Cenário 2</x:v>
      </x:c>
      <x:c r="D27" s="18" t="n">
        <x:v>432</x:v>
      </x:c>
      <x:c r="E27" s="14" t="str">
        <x:v>VM2</x:v>
      </x:c>
      <x:c r="F27" s="14" t="str">
        <x:v>Limite Alerta → Seca</x:v>
      </x:c>
      <x:c r="G27" s="93" t="n">
        <x:v>44</x:v>
      </x:c>
      <x:c r="H27" s="93" t="n">
        <x:v>43</x:v>
      </x:c>
      <x:c r="I27" s="93" t="n">
        <x:v>43</x:v>
      </x:c>
      <x:c r="J27" s="93" t="n">
        <x:v>44</x:v>
      </x:c>
      <x:c r="K27" s="93" t="n">
        <x:v>47</x:v>
      </x:c>
      <x:c r="L27" s="93" t="n">
        <x:v>49</x:v>
      </x:c>
      <x:c r="M27" s="93" t="n">
        <x:v>54</x:v>
      </x:c>
      <x:c r="N27" s="93" t="n">
        <x:v>53</x:v>
      </x:c>
      <x:c r="O27" s="93" t="n">
        <x:v>52</x:v>
      </x:c>
      <x:c r="P27" s="93" t="n">
        <x:v>50</x:v>
      </x:c>
      <x:c r="Q27" s="93" t="n">
        <x:v>48</x:v>
      </x:c>
      <x:c r="R27" s="93" t="n">
        <x:v>46</x:v>
      </x:c>
      <x:c r="S27" s="14" t="str">
        <x:v>p. 56</x:v>
      </x:c>
      <x:c r="T27" s="14" t="str">
        <x:v>Figura 5.3b.</x:v>
      </x:c>
      <x:c r="U27" s="14" t="str">
        <x:v>Plano de Gestão Proativa de Secas - Hidrossistema Aracoiaba.pdf</x:v>
      </x:c>
    </x:row>
    <x:row r="28">
      <x:c r="A28" s="14" t="n">
        <x:v>9</x:v>
      </x:c>
      <x:c r="B28" s="14" t="str">
        <x:v>Aracoiaba</x:v>
      </x:c>
      <x:c r="C28" s="14" t="str">
        <x:v>Cenário 2</x:v>
      </x:c>
      <x:c r="D28" s="18" t="n">
        <x:v>432</x:v>
      </x:c>
      <x:c r="E28" s="14" t="str">
        <x:v>VM3</x:v>
      </x:c>
      <x:c r="F28" s="14" t="str">
        <x:v>Limite Seca → Seca Severa</x:v>
      </x:c>
      <x:c r="G28" s="93" t="n">
        <x:v>39</x:v>
      </x:c>
      <x:c r="H28" s="93" t="n">
        <x:v>38</x:v>
      </x:c>
      <x:c r="I28" s="93" t="n">
        <x:v>38</x:v>
      </x:c>
      <x:c r="J28" s="93" t="n">
        <x:v>39</x:v>
      </x:c>
      <x:c r="K28" s="93" t="n">
        <x:v>42</x:v>
      </x:c>
      <x:c r="L28" s="93" t="n">
        <x:v>44</x:v>
      </x:c>
      <x:c r="M28" s="93" t="n">
        <x:v>48</x:v>
      </x:c>
      <x:c r="N28" s="93" t="n">
        <x:v>47</x:v>
      </x:c>
      <x:c r="O28" s="93" t="n">
        <x:v>46</x:v>
      </x:c>
      <x:c r="P28" s="93" t="n">
        <x:v>44</x:v>
      </x:c>
      <x:c r="Q28" s="93" t="n">
        <x:v>43</x:v>
      </x:c>
      <x:c r="R28" s="93" t="n">
        <x:v>41</x:v>
      </x:c>
      <x:c r="S28" s="14" t="str">
        <x:v>p. 56</x:v>
      </x:c>
      <x:c r="T28" s="14" t="str">
        <x:v>Figura 5.3b.</x:v>
      </x:c>
      <x:c r="U28" s="14" t="str">
        <x:v>Plano de Gestão Proativa de Secas - Hidrossistema Aracoiaba.pdf</x:v>
      </x:c>
    </x:row>
    <x:row r="29">
      <x:c r="A29" s="14" t="n">
        <x:v>10</x:v>
      </x:c>
      <x:c r="B29" s="14" t="str">
        <x:v>Batente</x:v>
      </x:c>
      <x:c r="C29" s="14" t="str">
        <x:v>Possibilidade 1 / Cenário 1</x:v>
      </x:c>
      <x:c r="D29" s="18" t="n">
        <x:v>170</x:v>
      </x:c>
      <x:c r="E29" s="14" t="str">
        <x:v>VM1</x:v>
      </x:c>
      <x:c r="F29" s="14" t="str">
        <x:v>Limite Normal → Alerta</x:v>
      </x:c>
      <x:c r="G29" s="93" t="n">
        <x:v>30</x:v>
      </x:c>
      <x:c r="H29" s="93" t="n">
        <x:v>27</x:v>
      </x:c>
      <x:c r="I29" s="93" t="n">
        <x:v>25</x:v>
      </x:c>
      <x:c r="J29" s="93" t="n">
        <x:v>28</x:v>
      </x:c>
      <x:c r="K29" s="93" t="n">
        <x:v>42</x:v>
      </x:c>
      <x:c r="L29" s="93" t="n">
        <x:v>49</x:v>
      </x:c>
      <x:c r="M29" s="93" t="n">
        <x:v>54</x:v>
      </x:c>
      <x:c r="N29" s="93" t="n">
        <x:v>52</x:v>
      </x:c>
      <x:c r="O29" s="93" t="n">
        <x:v>48</x:v>
      </x:c>
      <x:c r="P29" s="93" t="n">
        <x:v>43</x:v>
      </x:c>
      <x:c r="Q29" s="93" t="n">
        <x:v>39</x:v>
      </x:c>
      <x:c r="R29" s="93" t="n">
        <x:v>34</x:v>
      </x:c>
      <x:c r="S29" s="14" t="str">
        <x:v>p. 59 e p. 62</x:v>
      </x:c>
      <x:c r="T29" s="14" t="str">
        <x:v>Figura 5.4; p. 62 confirma a escolha da Possibilidade 1.</x:v>
      </x:c>
      <x:c r="U29" s="14" t="str">
        <x:v>Plano de Gestão Proativa de Secas - Hidrossistema Batente.pdf</x:v>
      </x:c>
    </x:row>
    <x:row r="30">
      <x:c r="A30" s="14" t="n">
        <x:v>10</x:v>
      </x:c>
      <x:c r="B30" s="14" t="str">
        <x:v>Batente</x:v>
      </x:c>
      <x:c r="C30" s="14" t="str">
        <x:v>Possibilidade 1 / Cenário 1</x:v>
      </x:c>
      <x:c r="D30" s="18" t="n">
        <x:v>170</x:v>
      </x:c>
      <x:c r="E30" s="14" t="str">
        <x:v>VM2</x:v>
      </x:c>
      <x:c r="F30" s="14" t="str">
        <x:v>Limite Alerta → Seca</x:v>
      </x:c>
      <x:c r="G30" s="93" t="n">
        <x:v>24</x:v>
      </x:c>
      <x:c r="H30" s="93" t="n">
        <x:v>21</x:v>
      </x:c>
      <x:c r="I30" s="93" t="n">
        <x:v>20</x:v>
      </x:c>
      <x:c r="J30" s="93" t="n">
        <x:v>22</x:v>
      </x:c>
      <x:c r="K30" s="93" t="n">
        <x:v>36</x:v>
      </x:c>
      <x:c r="L30" s="93" t="n">
        <x:v>44</x:v>
      </x:c>
      <x:c r="M30" s="93" t="n">
        <x:v>46</x:v>
      </x:c>
      <x:c r="N30" s="93" t="n">
        <x:v>44</x:v>
      </x:c>
      <x:c r="O30" s="93" t="n">
        <x:v>40</x:v>
      </x:c>
      <x:c r="P30" s="93" t="n">
        <x:v>36</x:v>
      </x:c>
      <x:c r="Q30" s="93" t="n">
        <x:v>32</x:v>
      </x:c>
      <x:c r="R30" s="93" t="n">
        <x:v>28</x:v>
      </x:c>
      <x:c r="S30" s="14" t="str">
        <x:v>p. 59 e p. 62</x:v>
      </x:c>
      <x:c r="T30" s="14" t="str">
        <x:v>Figura 5.4; p. 62 confirma a escolha da Possibilidade 1.</x:v>
      </x:c>
      <x:c r="U30" s="14" t="str">
        <x:v>Plano de Gestão Proativa de Secas - Hidrossistema Batente.pdf</x:v>
      </x:c>
    </x:row>
    <x:row r="31">
      <x:c r="A31" s="14" t="n">
        <x:v>10</x:v>
      </x:c>
      <x:c r="B31" s="14" t="str">
        <x:v>Batente</x:v>
      </x:c>
      <x:c r="C31" s="14" t="str">
        <x:v>Possibilidade 1 / Cenário 1</x:v>
      </x:c>
      <x:c r="D31" s="18" t="n">
        <x:v>170</x:v>
      </x:c>
      <x:c r="E31" s="14" t="str">
        <x:v>VM3</x:v>
      </x:c>
      <x:c r="F31" s="14" t="str">
        <x:v>Limite Seca → Seca Severa</x:v>
      </x:c>
      <x:c r="G31" s="93" t="n">
        <x:v>15</x:v>
      </x:c>
      <x:c r="H31" s="93" t="n">
        <x:v>13</x:v>
      </x:c>
      <x:c r="I31" s="93" t="n">
        <x:v>12</x:v>
      </x:c>
      <x:c r="J31" s="93" t="n">
        <x:v>15</x:v>
      </x:c>
      <x:c r="K31" s="93" t="n">
        <x:v>29</x:v>
      </x:c>
      <x:c r="L31" s="93" t="n">
        <x:v>35</x:v>
      </x:c>
      <x:c r="M31" s="93" t="n">
        <x:v>32</x:v>
      </x:c>
      <x:c r="N31" s="93" t="n">
        <x:v>30</x:v>
      </x:c>
      <x:c r="O31" s="93" t="n">
        <x:v>27</x:v>
      </x:c>
      <x:c r="P31" s="93" t="n">
        <x:v>24</x:v>
      </x:c>
      <x:c r="Q31" s="93" t="n">
        <x:v>20</x:v>
      </x:c>
      <x:c r="R31" s="93" t="n">
        <x:v>18</x:v>
      </x:c>
      <x:c r="S31" s="14" t="str">
        <x:v>p. 59 e p. 62</x:v>
      </x:c>
      <x:c r="T31" s="14" t="str">
        <x:v>Figura 5.4; p. 62 confirma a escolha da Possibilidade 1.</x:v>
      </x:c>
      <x:c r="U31" s="14" t="str">
        <x:v>Plano de Gestão Proativa de Secas - Hidrossistema Batente.pdf</x:v>
      </x:c>
    </x:row>
    <x:row r="32">
      <x:c r="A32" s="14" t="n">
        <x:v>11</x:v>
      </x:c>
      <x:c r="B32" s="14" t="str">
        <x:v>Benguê</x:v>
      </x:c>
      <x:c r="C32" s="14" t="str">
        <x:v>Regra 2</x:v>
      </x:c>
      <x:c r="D32" s="18" t="n">
        <x:v>75</x:v>
      </x:c>
      <x:c r="E32" s="14" t="str">
        <x:v>VM1</x:v>
      </x:c>
      <x:c r="F32" s="14" t="str">
        <x:v>Limite Normal → Alerta</x:v>
      </x:c>
      <x:c r="G32" s="93" t="n">
        <x:v>45</x:v>
      </x:c>
      <x:c r="H32" s="93" t="n">
        <x:v>43</x:v>
      </x:c>
      <x:c r="I32" s="93" t="n">
        <x:v>42</x:v>
      </x:c>
      <x:c r="J32" s="93" t="n">
        <x:v>46</x:v>
      </x:c>
      <x:c r="K32" s="93" t="n">
        <x:v>52</x:v>
      </x:c>
      <x:c r="L32" s="93" t="n">
        <x:v>52</x:v>
      </x:c>
      <x:c r="M32" s="93" t="n">
        <x:v>67</x:v>
      </x:c>
      <x:c r="N32" s="93" t="n">
        <x:v>64</x:v>
      </x:c>
      <x:c r="O32" s="93" t="n">
        <x:v>59</x:v>
      </x:c>
      <x:c r="P32" s="93" t="n">
        <x:v>55</x:v>
      </x:c>
      <x:c r="Q32" s="93" t="n">
        <x:v>52</x:v>
      </x:c>
      <x:c r="R32" s="93" t="n">
        <x:v>48</x:v>
      </x:c>
      <x:c r="S32" s="14" t="str">
        <x:v>p. 59</x:v>
      </x:c>
      <x:c r="T32" s="14" t="str">
        <x:v>Figura 5.5.</x:v>
      </x:c>
      <x:c r="U32" s="14" t="str">
        <x:v>Plano de Gestão Proativa de Secas - Hidrossistema Benguê.pdf</x:v>
      </x:c>
    </x:row>
    <x:row r="33">
      <x:c r="A33" s="14" t="n">
        <x:v>11</x:v>
      </x:c>
      <x:c r="B33" s="14" t="str">
        <x:v>Benguê</x:v>
      </x:c>
      <x:c r="C33" s="14" t="str">
        <x:v>Regra 2</x:v>
      </x:c>
      <x:c r="D33" s="18" t="n">
        <x:v>75</x:v>
      </x:c>
      <x:c r="E33" s="14" t="str">
        <x:v>VM2</x:v>
      </x:c>
      <x:c r="F33" s="14" t="str">
        <x:v>Limite Alerta → Seca</x:v>
      </x:c>
      <x:c r="G33" s="93" t="n">
        <x:v>31</x:v>
      </x:c>
      <x:c r="H33" s="93" t="n">
        <x:v>29</x:v>
      </x:c>
      <x:c r="I33" s="93" t="n">
        <x:v>29</x:v>
      </x:c>
      <x:c r="J33" s="93" t="n">
        <x:v>32</x:v>
      </x:c>
      <x:c r="K33" s="93" t="n">
        <x:v>38</x:v>
      </x:c>
      <x:c r="L33" s="93" t="n">
        <x:v>39</x:v>
      </x:c>
      <x:c r="M33" s="93" t="n">
        <x:v>49</x:v>
      </x:c>
      <x:c r="N33" s="93" t="n">
        <x:v>47</x:v>
      </x:c>
      <x:c r="O33" s="93" t="n">
        <x:v>43</x:v>
      </x:c>
      <x:c r="P33" s="93" t="n">
        <x:v>39</x:v>
      </x:c>
      <x:c r="Q33" s="93" t="n">
        <x:v>36</x:v>
      </x:c>
      <x:c r="R33" s="93" t="n">
        <x:v>33</x:v>
      </x:c>
      <x:c r="S33" s="14" t="str">
        <x:v>p. 59</x:v>
      </x:c>
      <x:c r="T33" s="14" t="str">
        <x:v>Figura 5.5.</x:v>
      </x:c>
      <x:c r="U33" s="14" t="str">
        <x:v>Plano de Gestão Proativa de Secas - Hidrossistema Benguê.pdf</x:v>
      </x:c>
    </x:row>
    <x:row r="34">
      <x:c r="A34" s="14" t="n">
        <x:v>11</x:v>
      </x:c>
      <x:c r="B34" s="14" t="str">
        <x:v>Benguê</x:v>
      </x:c>
      <x:c r="C34" s="14" t="str">
        <x:v>Regra 2</x:v>
      </x:c>
      <x:c r="D34" s="18" t="n">
        <x:v>75</x:v>
      </x:c>
      <x:c r="E34" s="14" t="str">
        <x:v>VM3</x:v>
      </x:c>
      <x:c r="F34" s="14" t="str">
        <x:v>Limite Seca → Seca Severa</x:v>
      </x:c>
      <x:c r="G34" s="93" t="n">
        <x:v>18</x:v>
      </x:c>
      <x:c r="H34" s="93" t="n">
        <x:v>16</x:v>
      </x:c>
      <x:c r="I34" s="93" t="n">
        <x:v>16</x:v>
      </x:c>
      <x:c r="J34" s="93" t="n">
        <x:v>20</x:v>
      </x:c>
      <x:c r="K34" s="93" t="n">
        <x:v>26</x:v>
      </x:c>
      <x:c r="L34" s="93" t="n">
        <x:v>27</x:v>
      </x:c>
      <x:c r="M34" s="93" t="n">
        <x:v>33</x:v>
      </x:c>
      <x:c r="N34" s="93" t="n">
        <x:v>31</x:v>
      </x:c>
      <x:c r="O34" s="93" t="n">
        <x:v>28</x:v>
      </x:c>
      <x:c r="P34" s="93" t="n">
        <x:v>25</x:v>
      </x:c>
      <x:c r="Q34" s="93" t="n">
        <x:v>22</x:v>
      </x:c>
      <x:c r="R34" s="93" t="n">
        <x:v>20</x:v>
      </x:c>
      <x:c r="S34" s="14" t="str">
        <x:v>p. 59</x:v>
      </x:c>
      <x:c r="T34" s="14" t="str">
        <x:v>Figura 5.5.</x:v>
      </x:c>
      <x:c r="U34" s="14" t="str">
        <x:v>Plano de Gestão Proativa de Secas - Hidrossistema Benguê.pdf</x:v>
      </x:c>
    </x:row>
    <x:row r="35">
      <x:c r="A35" s="14" t="n">
        <x:v>12</x:v>
      </x:c>
      <x:c r="B35" s="14" t="str">
        <x:v>Cachoeira</x:v>
      </x:c>
      <x:c r="C35" s="14" t="str">
        <x:v>Cenário 4</x:v>
      </x:c>
      <x:c r="D35" s="18" t="n">
        <x:v>120</x:v>
      </x:c>
      <x:c r="E35" s="14" t="str">
        <x:v>VM1</x:v>
      </x:c>
      <x:c r="F35" s="14" t="str">
        <x:v>Limite Normal → Alerta</x:v>
      </x:c>
      <x:c r="G35" s="93" t="n">
        <x:v>48</x:v>
      </x:c>
      <x:c r="H35" s="93" t="n">
        <x:v>46</x:v>
      </x:c>
      <x:c r="I35" s="93" t="n">
        <x:v>44</x:v>
      </x:c>
      <x:c r="J35" s="93" t="n">
        <x:v>45</x:v>
      </x:c>
      <x:c r="K35" s="93" t="n">
        <x:v>47</x:v>
      </x:c>
      <x:c r="L35" s="93" t="n">
        <x:v>46</x:v>
      </x:c>
      <x:c r="M35" s="93" t="n">
        <x:v>68</x:v>
      </x:c>
      <x:c r="N35" s="93" t="n">
        <x:v>65</x:v>
      </x:c>
      <x:c r="O35" s="93" t="n">
        <x:v>61</x:v>
      </x:c>
      <x:c r="P35" s="93" t="n">
        <x:v>57</x:v>
      </x:c>
      <x:c r="Q35" s="93" t="n">
        <x:v>54</x:v>
      </x:c>
      <x:c r="R35" s="93" t="n">
        <x:v>51</x:v>
      </x:c>
      <x:c r="S35" s="14" t="str">
        <x:v>p. 95</x:v>
      </x:c>
      <x:c r="T35" s="14" t="str">
        <x:v>Figura 5.9.</x:v>
      </x:c>
      <x:c r="U35" s="14" t="str">
        <x:v>Plano de Gestão Proativa de Secas - Hidrossistema Cachoeira.pdf</x:v>
      </x:c>
    </x:row>
    <x:row r="36">
      <x:c r="A36" s="14" t="n">
        <x:v>12</x:v>
      </x:c>
      <x:c r="B36" s="14" t="str">
        <x:v>Cachoeira</x:v>
      </x:c>
      <x:c r="C36" s="14" t="str">
        <x:v>Cenário 4</x:v>
      </x:c>
      <x:c r="D36" s="18" t="n">
        <x:v>120</x:v>
      </x:c>
      <x:c r="E36" s="14" t="str">
        <x:v>VM2</x:v>
      </x:c>
      <x:c r="F36" s="14" t="str">
        <x:v>Limite Alerta → Seca</x:v>
      </x:c>
      <x:c r="G36" s="93" t="n">
        <x:v>27</x:v>
      </x:c>
      <x:c r="H36" s="93" t="n">
        <x:v>25</x:v>
      </x:c>
      <x:c r="I36" s="93" t="n">
        <x:v>24</x:v>
      </x:c>
      <x:c r="J36" s="93" t="n">
        <x:v>25</x:v>
      </x:c>
      <x:c r="K36" s="93" t="n">
        <x:v>27</x:v>
      </x:c>
      <x:c r="L36" s="93" t="n">
        <x:v>26</x:v>
      </x:c>
      <x:c r="M36" s="93" t="n">
        <x:v>43</x:v>
      </x:c>
      <x:c r="N36" s="93" t="n">
        <x:v>40</x:v>
      </x:c>
      <x:c r="O36" s="93" t="n">
        <x:v>37</x:v>
      </x:c>
      <x:c r="P36" s="93" t="n">
        <x:v>34</x:v>
      </x:c>
      <x:c r="Q36" s="93" t="n">
        <x:v>31</x:v>
      </x:c>
      <x:c r="R36" s="93" t="n">
        <x:v>29</x:v>
      </x:c>
      <x:c r="S36" s="14" t="str">
        <x:v>p. 95</x:v>
      </x:c>
      <x:c r="T36" s="14" t="str">
        <x:v>Figura 5.9.</x:v>
      </x:c>
      <x:c r="U36" s="14" t="str">
        <x:v>Plano de Gestão Proativa de Secas - Hidrossistema Cachoeira.pdf</x:v>
      </x:c>
    </x:row>
    <x:row r="37">
      <x:c r="A37" s="14" t="n">
        <x:v>12</x:v>
      </x:c>
      <x:c r="B37" s="14" t="str">
        <x:v>Cachoeira</x:v>
      </x:c>
      <x:c r="C37" s="14" t="str">
        <x:v>Cenário 4</x:v>
      </x:c>
      <x:c r="D37" s="18" t="n">
        <x:v>120</x:v>
      </x:c>
      <x:c r="E37" s="14" t="str">
        <x:v>VM3</x:v>
      </x:c>
      <x:c r="F37" s="14" t="str">
        <x:v>Limite Seca → Seca Severa</x:v>
      </x:c>
      <x:c r="G37" s="93" t="n">
        <x:v>7</x:v>
      </x:c>
      <x:c r="H37" s="93" t="n">
        <x:v>6</x:v>
      </x:c>
      <x:c r="I37" s="93" t="n">
        <x:v>5</x:v>
      </x:c>
      <x:c r="J37" s="93" t="n">
        <x:v>7</x:v>
      </x:c>
      <x:c r="K37" s="93" t="n">
        <x:v>9</x:v>
      </x:c>
      <x:c r="L37" s="93" t="n">
        <x:v>9</x:v>
      </x:c>
      <x:c r="M37" s="93" t="n">
        <x:v>18</x:v>
      </x:c>
      <x:c r="N37" s="93" t="n">
        <x:v>16</x:v>
      </x:c>
      <x:c r="O37" s="93" t="n">
        <x:v>14</x:v>
      </x:c>
      <x:c r="P37" s="93" t="n">
        <x:v>12</x:v>
      </x:c>
      <x:c r="Q37" s="93" t="n">
        <x:v>10</x:v>
      </x:c>
      <x:c r="R37" s="93" t="n">
        <x:v>9</x:v>
      </x:c>
      <x:c r="S37" s="14" t="str">
        <x:v>p. 95</x:v>
      </x:c>
      <x:c r="T37" s="14" t="str">
        <x:v>Figura 5.9.</x:v>
      </x:c>
      <x:c r="U37" s="14" t="str">
        <x:v>Plano de Gestão Proativa de Secas - Hidrossistema Cachoeira.pdf</x:v>
      </x:c>
    </x:row>
    <x:row r="38">
      <x:c r="A38" s="14" t="n">
        <x:v>13</x:v>
      </x:c>
      <x:c r="B38" s="14" t="str">
        <x:v>Canoas</x:v>
      </x:c>
      <x:c r="C38" s="14" t="str">
        <x:v>Regra 2</x:v>
      </x:c>
      <x:c r="D38" s="18" t="n">
        <x:v>190</x:v>
      </x:c>
      <x:c r="E38" s="14" t="str">
        <x:v>VM1</x:v>
      </x:c>
      <x:c r="F38" s="14" t="str">
        <x:v>Limite Normal → Alerta</x:v>
      </x:c>
      <x:c r="G38" s="93" t="n">
        <x:v>33</x:v>
      </x:c>
      <x:c r="H38" s="93" t="n">
        <x:v>32</x:v>
      </x:c>
      <x:c r="I38" s="93" t="n">
        <x:v>31</x:v>
      </x:c>
      <x:c r="J38" s="93" t="n">
        <x:v>32</x:v>
      </x:c>
      <x:c r="K38" s="93" t="n">
        <x:v>34</x:v>
      </x:c>
      <x:c r="L38" s="93" t="n">
        <x:v>33</x:v>
      </x:c>
      <x:c r="M38" s="93" t="n">
        <x:v>48</x:v>
      </x:c>
      <x:c r="N38" s="93" t="n">
        <x:v>46</x:v>
      </x:c>
      <x:c r="O38" s="93" t="n">
        <x:v>43</x:v>
      </x:c>
      <x:c r="P38" s="93" t="n">
        <x:v>40</x:v>
      </x:c>
      <x:c r="Q38" s="93" t="n">
        <x:v>38</x:v>
      </x:c>
      <x:c r="R38" s="93" t="n">
        <x:v>35</x:v>
      </x:c>
      <x:c r="S38" s="14" t="str">
        <x:v>p. 57</x:v>
      </x:c>
      <x:c r="T38" s="14" t="str">
        <x:v>Figura 5.5.</x:v>
      </x:c>
      <x:c r="U38" s="14" t="str">
        <x:v>Plano de Gestão Proativa de Secas - Hidrossistema Canoas.pdf</x:v>
      </x:c>
    </x:row>
    <x:row r="39">
      <x:c r="A39" s="14" t="n">
        <x:v>13</x:v>
      </x:c>
      <x:c r="B39" s="14" t="str">
        <x:v>Canoas</x:v>
      </x:c>
      <x:c r="C39" s="14" t="str">
        <x:v>Regra 2</x:v>
      </x:c>
      <x:c r="D39" s="18" t="n">
        <x:v>190</x:v>
      </x:c>
      <x:c r="E39" s="14" t="str">
        <x:v>VM2</x:v>
      </x:c>
      <x:c r="F39" s="14" t="str">
        <x:v>Limite Alerta → Seca</x:v>
      </x:c>
      <x:c r="G39" s="93" t="n">
        <x:v>22</x:v>
      </x:c>
      <x:c r="H39" s="93" t="n">
        <x:v>21</x:v>
      </x:c>
      <x:c r="I39" s="93" t="n">
        <x:v>20</x:v>
      </x:c>
      <x:c r="J39" s="93" t="n">
        <x:v>22</x:v>
      </x:c>
      <x:c r="K39" s="93" t="n">
        <x:v>23</x:v>
      </x:c>
      <x:c r="L39" s="93" t="n">
        <x:v>23</x:v>
      </x:c>
      <x:c r="M39" s="93" t="n">
        <x:v>35</x:v>
      </x:c>
      <x:c r="N39" s="93" t="n">
        <x:v>33</x:v>
      </x:c>
      <x:c r="O39" s="93" t="n">
        <x:v>30</x:v>
      </x:c>
      <x:c r="P39" s="93" t="n">
        <x:v>28</x:v>
      </x:c>
      <x:c r="Q39" s="93" t="n">
        <x:v>26</x:v>
      </x:c>
      <x:c r="R39" s="93" t="n">
        <x:v>24</x:v>
      </x:c>
      <x:c r="S39" s="14" t="str">
        <x:v>p. 57</x:v>
      </x:c>
      <x:c r="T39" s="14" t="str">
        <x:v>Figura 5.5.</x:v>
      </x:c>
      <x:c r="U39" s="14" t="str">
        <x:v>Plano de Gestão Proativa de Secas - Hidrossistema Canoas.pdf</x:v>
      </x:c>
    </x:row>
    <x:row r="40">
      <x:c r="A40" s="14" t="n">
        <x:v>13</x:v>
      </x:c>
      <x:c r="B40" s="14" t="str">
        <x:v>Canoas</x:v>
      </x:c>
      <x:c r="C40" s="14" t="str">
        <x:v>Regra 2</x:v>
      </x:c>
      <x:c r="D40" s="18" t="n">
        <x:v>190</x:v>
      </x:c>
      <x:c r="E40" s="14" t="str">
        <x:v>VM3</x:v>
      </x:c>
      <x:c r="F40" s="14" t="str">
        <x:v>Limite Seca → Seca Severa</x:v>
      </x:c>
      <x:c r="G40" s="93" t="n">
        <x:v>13</x:v>
      </x:c>
      <x:c r="H40" s="93" t="n">
        <x:v>12</x:v>
      </x:c>
      <x:c r="I40" s="93" t="n">
        <x:v>12</x:v>
      </x:c>
      <x:c r="J40" s="93" t="n">
        <x:v>13</x:v>
      </x:c>
      <x:c r="K40" s="93" t="n">
        <x:v>15</x:v>
      </x:c>
      <x:c r="L40" s="93" t="n">
        <x:v>15</x:v>
      </x:c>
      <x:c r="M40" s="93" t="n">
        <x:v>24</x:v>
      </x:c>
      <x:c r="N40" s="93" t="n">
        <x:v>22</x:v>
      </x:c>
      <x:c r="O40" s="93" t="n">
        <x:v>20</x:v>
      </x:c>
      <x:c r="P40" s="93" t="n">
        <x:v>18</x:v>
      </x:c>
      <x:c r="Q40" s="93" t="n">
        <x:v>16</x:v>
      </x:c>
      <x:c r="R40" s="93" t="n">
        <x:v>15</x:v>
      </x:c>
      <x:c r="S40" s="14" t="str">
        <x:v>p. 57</x:v>
      </x:c>
      <x:c r="T40" s="14" t="str">
        <x:v>Figura 5.5.</x:v>
      </x:c>
      <x:c r="U40" s="14" t="str">
        <x:v>Plano de Gestão Proativa de Secas - Hidrossistema Canoas.pdf</x:v>
      </x:c>
    </x:row>
    <x:row r="41">
      <x:c r="A41" s="14" t="n">
        <x:v>14</x:v>
      </x:c>
      <x:c r="B41" s="14" t="str">
        <x:v>Castro</x:v>
      </x:c>
      <x:c r="C41" s="14" t="str">
        <x:v>Possibilidade 1 / Cenário 1 – 150 L/s</x:v>
      </x:c>
      <x:c r="D41" s="18" t="n">
        <x:v>150</x:v>
      </x:c>
      <x:c r="E41" s="14" t="str">
        <x:v>VM1</x:v>
      </x:c>
      <x:c r="F41" s="14" t="str">
        <x:v>Limite Normal → Alerta</x:v>
      </x:c>
      <x:c r="G41" s="93" t="n">
        <x:v>34</x:v>
      </x:c>
      <x:c r="H41" s="93" t="n">
        <x:v>32</x:v>
      </x:c>
      <x:c r="I41" s="93" t="n">
        <x:v>31</x:v>
      </x:c>
      <x:c r="J41" s="93" t="n">
        <x:v>31</x:v>
      </x:c>
      <x:c r="K41" s="93" t="n">
        <x:v>31</x:v>
      </x:c>
      <x:c r="L41" s="93" t="n">
        <x:v>32</x:v>
      </x:c>
      <x:c r="M41" s="93" t="n">
        <x:v>43</x:v>
      </x:c>
      <x:c r="N41" s="93" t="n">
        <x:v>42</x:v>
      </x:c>
      <x:c r="O41" s="93" t="n">
        <x:v>41</x:v>
      </x:c>
      <x:c r="P41" s="93" t="n">
        <x:v>39</x:v>
      </x:c>
      <x:c r="Q41" s="93" t="n">
        <x:v>37</x:v>
      </x:c>
      <x:c r="R41" s="93" t="n">
        <x:v>35</x:v>
      </x:c>
      <x:c r="S41" s="14" t="str">
        <x:v>p. 59</x:v>
      </x:c>
      <x:c r="T41" s="14" t="str">
        <x:v>Figura 5.5.</x:v>
      </x:c>
      <x:c r="U41" s="14" t="str">
        <x:v>Plano de Gestão Proativa de Secas - Hidrossistema Castro.pdf</x:v>
      </x:c>
    </x:row>
    <x:row r="42">
      <x:c r="A42" s="14" t="n">
        <x:v>14</x:v>
      </x:c>
      <x:c r="B42" s="14" t="str">
        <x:v>Castro</x:v>
      </x:c>
      <x:c r="C42" s="14" t="str">
        <x:v>Possibilidade 1 / Cenário 1 – 150 L/s</x:v>
      </x:c>
      <x:c r="D42" s="18" t="n">
        <x:v>150</x:v>
      </x:c>
      <x:c r="E42" s="14" t="str">
        <x:v>VM2</x:v>
      </x:c>
      <x:c r="F42" s="14" t="str">
        <x:v>Limite Alerta → Seca</x:v>
      </x:c>
      <x:c r="G42" s="93" t="n">
        <x:v>22</x:v>
      </x:c>
      <x:c r="H42" s="93" t="n">
        <x:v>21</x:v>
      </x:c>
      <x:c r="I42" s="93" t="n">
        <x:v>20</x:v>
      </x:c>
      <x:c r="J42" s="93" t="n">
        <x:v>19</x:v>
      </x:c>
      <x:c r="K42" s="93" t="n">
        <x:v>20</x:v>
      </x:c>
      <x:c r="L42" s="93" t="n">
        <x:v>21</x:v>
      </x:c>
      <x:c r="M42" s="93" t="n">
        <x:v>29</x:v>
      </x:c>
      <x:c r="N42" s="93" t="n">
        <x:v>28</x:v>
      </x:c>
      <x:c r="O42" s="93" t="n">
        <x:v>27</x:v>
      </x:c>
      <x:c r="P42" s="93" t="n">
        <x:v>26</x:v>
      </x:c>
      <x:c r="Q42" s="93" t="n">
        <x:v>24</x:v>
      </x:c>
      <x:c r="R42" s="93" t="n">
        <x:v>23</x:v>
      </x:c>
      <x:c r="S42" s="14" t="str">
        <x:v>p. 59</x:v>
      </x:c>
      <x:c r="T42" s="14" t="str">
        <x:v>Figura 5.5.</x:v>
      </x:c>
      <x:c r="U42" s="14" t="str">
        <x:v>Plano de Gestão Proativa de Secas - Hidrossistema Castro.pdf</x:v>
      </x:c>
    </x:row>
    <x:row r="43">
      <x:c r="A43" s="14" t="n">
        <x:v>14</x:v>
      </x:c>
      <x:c r="B43" s="14" t="str">
        <x:v>Castro</x:v>
      </x:c>
      <x:c r="C43" s="14" t="str">
        <x:v>Possibilidade 1 / Cenário 1 – 150 L/s</x:v>
      </x:c>
      <x:c r="D43" s="18" t="n">
        <x:v>150</x:v>
      </x:c>
      <x:c r="E43" s="14" t="str">
        <x:v>VM3</x:v>
      </x:c>
      <x:c r="F43" s="14" t="str">
        <x:v>Limite Seca → Seca Severa</x:v>
      </x:c>
      <x:c r="G43" s="93" t="n">
        <x:v>12</x:v>
      </x:c>
      <x:c r="H43" s="93" t="n">
        <x:v>12</x:v>
      </x:c>
      <x:c r="I43" s="93" t="n">
        <x:v>11</x:v>
      </x:c>
      <x:c r="J43" s="93" t="n">
        <x:v>11</x:v>
      </x:c>
      <x:c r="K43" s="93" t="n">
        <x:v>11</x:v>
      </x:c>
      <x:c r="L43" s="93" t="n">
        <x:v>13</x:v>
      </x:c>
      <x:c r="M43" s="93" t="n">
        <x:v>18</x:v>
      </x:c>
      <x:c r="N43" s="93" t="n">
        <x:v>17</x:v>
      </x:c>
      <x:c r="O43" s="93" t="n">
        <x:v>17</x:v>
      </x:c>
      <x:c r="P43" s="93" t="n">
        <x:v>16</x:v>
      </x:c>
      <x:c r="Q43" s="93" t="n">
        <x:v>14</x:v>
      </x:c>
      <x:c r="R43" s="93" t="n">
        <x:v>13</x:v>
      </x:c>
      <x:c r="S43" s="14" t="str">
        <x:v>p. 59</x:v>
      </x:c>
      <x:c r="T43" s="14" t="str">
        <x:v>Figura 5.5.</x:v>
      </x:c>
      <x:c r="U43" s="14" t="str">
        <x:v>Plano de Gestão Proativa de Secas - Hidrossistema Castro.pdf</x:v>
      </x:c>
    </x:row>
    <x:row r="44">
      <x:c r="A44" s="14" t="n">
        <x:v>15</x:v>
      </x:c>
      <x:c r="B44" s="14" t="str">
        <x:v>Forquilha</x:v>
      </x:c>
      <x:c r="C44" s="14" t="str">
        <x:v>Cenário 2</x:v>
      </x:c>
      <x:c r="D44" s="18" t="n">
        <x:v>120</x:v>
      </x:c>
      <x:c r="E44" s="14" t="str">
        <x:v>VM1</x:v>
      </x:c>
      <x:c r="F44" s="14" t="str">
        <x:v>Limite Normal → Alerta</x:v>
      </x:c>
      <x:c r="G44" s="93" t="n">
        <x:v>17</x:v>
      </x:c>
      <x:c r="H44" s="93" t="n">
        <x:v>16</x:v>
      </x:c>
      <x:c r="I44" s="93" t="n">
        <x:v>15</x:v>
      </x:c>
      <x:c r="J44" s="93" t="n">
        <x:v>15</x:v>
      </x:c>
      <x:c r="K44" s="93" t="n">
        <x:v>17</x:v>
      </x:c>
      <x:c r="L44" s="93" t="n">
        <x:v>17</x:v>
      </x:c>
      <x:c r="M44" s="93" t="n">
        <x:v>31</x:v>
      </x:c>
      <x:c r="N44" s="93" t="n">
        <x:v>29</x:v>
      </x:c>
      <x:c r="O44" s="93" t="n">
        <x:v>27</x:v>
      </x:c>
      <x:c r="P44" s="93" t="n">
        <x:v>24</x:v>
      </x:c>
      <x:c r="Q44" s="93" t="n">
        <x:v>22</x:v>
      </x:c>
      <x:c r="R44" s="93" t="n">
        <x:v>19</x:v>
      </x:c>
      <x:c r="S44" s="14" t="str">
        <x:v>p. 58</x:v>
      </x:c>
      <x:c r="T44" s="14" t="str">
        <x:v>Figura 5.3.</x:v>
      </x:c>
      <x:c r="U44" s="14" t="str">
        <x:v>Plano de Gestão Proativa de Secas - Hidrossistema Forquilha.pdf</x:v>
      </x:c>
    </x:row>
    <x:row r="45">
      <x:c r="A45" s="14" t="n">
        <x:v>15</x:v>
      </x:c>
      <x:c r="B45" s="14" t="str">
        <x:v>Forquilha</x:v>
      </x:c>
      <x:c r="C45" s="14" t="str">
        <x:v>Cenário 2</x:v>
      </x:c>
      <x:c r="D45" s="18" t="n">
        <x:v>120</x:v>
      </x:c>
      <x:c r="E45" s="14" t="str">
        <x:v>VM2</x:v>
      </x:c>
      <x:c r="F45" s="14" t="str">
        <x:v>Limite Alerta → Seca</x:v>
      </x:c>
      <x:c r="G45" s="93" t="n">
        <x:v>11</x:v>
      </x:c>
      <x:c r="H45" s="93" t="n">
        <x:v>10</x:v>
      </x:c>
      <x:c r="I45" s="93" t="n">
        <x:v>9</x:v>
      </x:c>
      <x:c r="J45" s="93" t="n">
        <x:v>10</x:v>
      </x:c>
      <x:c r="K45" s="93" t="n">
        <x:v>11</x:v>
      </x:c>
      <x:c r="L45" s="93" t="n">
        <x:v>12</x:v>
      </x:c>
      <x:c r="M45" s="93" t="n">
        <x:v>23</x:v>
      </x:c>
      <x:c r="N45" s="93" t="n">
        <x:v>21</x:v>
      </x:c>
      <x:c r="O45" s="93" t="n">
        <x:v>19</x:v>
      </x:c>
      <x:c r="P45" s="93" t="n">
        <x:v>17</x:v>
      </x:c>
      <x:c r="Q45" s="93" t="n">
        <x:v>15</x:v>
      </x:c>
      <x:c r="R45" s="93" t="n">
        <x:v>13</x:v>
      </x:c>
      <x:c r="S45" s="14" t="str">
        <x:v>p. 58</x:v>
      </x:c>
      <x:c r="T45" s="14" t="str">
        <x:v>Figura 5.3.</x:v>
      </x:c>
      <x:c r="U45" s="14" t="str">
        <x:v>Plano de Gestão Proativa de Secas - Hidrossistema Forquilha.pdf</x:v>
      </x:c>
    </x:row>
    <x:row r="46">
      <x:c r="A46" s="14" t="n">
        <x:v>15</x:v>
      </x:c>
      <x:c r="B46" s="14" t="str">
        <x:v>Forquilha</x:v>
      </x:c>
      <x:c r="C46" s="14" t="str">
        <x:v>Cenário 2</x:v>
      </x:c>
      <x:c r="D46" s="18" t="n">
        <x:v>120</x:v>
      </x:c>
      <x:c r="E46" s="14" t="str">
        <x:v>VM3</x:v>
      </x:c>
      <x:c r="F46" s="14" t="str">
        <x:v>Limite Seca → Seca Severa</x:v>
      </x:c>
      <x:c r="G46" s="93" t="n">
        <x:v>7</x:v>
      </x:c>
      <x:c r="H46" s="93" t="n">
        <x:v>6</x:v>
      </x:c>
      <x:c r="I46" s="93" t="n">
        <x:v>5</x:v>
      </x:c>
      <x:c r="J46" s="93" t="n">
        <x:v>6</x:v>
      </x:c>
      <x:c r="K46" s="93" t="n">
        <x:v>8</x:v>
      </x:c>
      <x:c r="L46" s="93" t="n">
        <x:v>9</x:v>
      </x:c>
      <x:c r="M46" s="93" t="n">
        <x:v>17</x:v>
      </x:c>
      <x:c r="N46" s="93" t="n">
        <x:v>16</x:v>
      </x:c>
      <x:c r="O46" s="93" t="n">
        <x:v>14</x:v>
      </x:c>
      <x:c r="P46" s="93" t="n">
        <x:v>12</x:v>
      </x:c>
      <x:c r="Q46" s="93" t="n">
        <x:v>10</x:v>
      </x:c>
      <x:c r="R46" s="93" t="n">
        <x:v>8</x:v>
      </x:c>
      <x:c r="S46" s="14" t="str">
        <x:v>p. 58</x:v>
      </x:c>
      <x:c r="T46" s="14" t="str">
        <x:v>Figura 5.3.</x:v>
      </x:c>
      <x:c r="U46" s="14" t="str">
        <x:v>Plano de Gestão Proativa de Secas - Hidrossistema Forquilha.pdf</x:v>
      </x:c>
    </x:row>
    <x:row r="47">
      <x:c r="A47" s="14" t="n">
        <x:v>16</x:v>
      </x:c>
      <x:c r="B47" s="14" t="str">
        <x:v>Jenipapo</x:v>
      </x:c>
      <x:c r="C47" s="14" t="str">
        <x:v>Cenário 2</x:v>
      </x:c>
      <x:c r="D47" s="18" t="n">
        <x:v>55</x:v>
      </x:c>
      <x:c r="E47" s="14" t="str">
        <x:v>VM1</x:v>
      </x:c>
      <x:c r="F47" s="14" t="str">
        <x:v>Limite Normal → Alerta</x:v>
      </x:c>
      <x:c r="G47" s="93" t="n">
        <x:v>61</x:v>
      </x:c>
      <x:c r="H47" s="93" t="n">
        <x:v>58</x:v>
      </x:c>
      <x:c r="I47" s="93" t="n">
        <x:v>55</x:v>
      </x:c>
      <x:c r="J47" s="93" t="n">
        <x:v>55</x:v>
      </x:c>
      <x:c r="K47" s="93" t="n">
        <x:v>56</x:v>
      </x:c>
      <x:c r="L47" s="93" t="n">
        <x:v>55</x:v>
      </x:c>
      <x:c r="M47" s="93" t="n">
        <x:v>79</x:v>
      </x:c>
      <x:c r="N47" s="93" t="n">
        <x:v>76</x:v>
      </x:c>
      <x:c r="O47" s="93" t="n">
        <x:v>73</x:v>
      </x:c>
      <x:c r="P47" s="93" t="n">
        <x:v>70</x:v>
      </x:c>
      <x:c r="Q47" s="93" t="n">
        <x:v>67</x:v>
      </x:c>
      <x:c r="R47" s="93" t="n">
        <x:v>64</x:v>
      </x:c>
      <x:c r="S47" s="14" t="str">
        <x:v>p. 60</x:v>
      </x:c>
      <x:c r="T47" s="14" t="str">
        <x:v>Figura 5.5 usada como referência. O texto cita 31/23/17% em julho e 120 L/s, mas isso conflita com a figura final de 55 L/s.</x:v>
      </x:c>
      <x:c r="U47" s="14" t="str">
        <x:v>Plano de Gestão Proativa de Secas - Hidrossistema Jenipapo.pdf</x:v>
      </x:c>
    </x:row>
    <x:row r="48">
      <x:c r="A48" s="14" t="n">
        <x:v>16</x:v>
      </x:c>
      <x:c r="B48" s="14" t="str">
        <x:v>Jenipapo</x:v>
      </x:c>
      <x:c r="C48" s="14" t="str">
        <x:v>Cenário 2</x:v>
      </x:c>
      <x:c r="D48" s="18" t="n">
        <x:v>55</x:v>
      </x:c>
      <x:c r="E48" s="14" t="str">
        <x:v>VM2</x:v>
      </x:c>
      <x:c r="F48" s="14" t="str">
        <x:v>Limite Alerta → Seca</x:v>
      </x:c>
      <x:c r="G48" s="93" t="n">
        <x:v>55</x:v>
      </x:c>
      <x:c r="H48" s="93" t="n">
        <x:v>52</x:v>
      </x:c>
      <x:c r="I48" s="93" t="n">
        <x:v>50</x:v>
      </x:c>
      <x:c r="J48" s="93" t="n">
        <x:v>49</x:v>
      </x:c>
      <x:c r="K48" s="93" t="n">
        <x:v>50</x:v>
      </x:c>
      <x:c r="L48" s="93" t="n">
        <x:v>50</x:v>
      </x:c>
      <x:c r="M48" s="93" t="n">
        <x:v>73</x:v>
      </x:c>
      <x:c r="N48" s="93" t="n">
        <x:v>71</x:v>
      </x:c>
      <x:c r="O48" s="93" t="n">
        <x:v>68</x:v>
      </x:c>
      <x:c r="P48" s="93" t="n">
        <x:v>65</x:v>
      </x:c>
      <x:c r="Q48" s="93" t="n">
        <x:v>61</x:v>
      </x:c>
      <x:c r="R48" s="93" t="n">
        <x:v>58</x:v>
      </x:c>
      <x:c r="S48" s="14" t="str">
        <x:v>p. 60</x:v>
      </x:c>
      <x:c r="T48" s="14" t="str">
        <x:v>Figura 5.5 usada como referência. O texto cita 31/23/17% em julho e 120 L/s, mas isso conflita com a figura final de 55 L/s.</x:v>
      </x:c>
      <x:c r="U48" s="14" t="str">
        <x:v>Plano de Gestão Proativa de Secas - Hidrossistema Jenipapo.pdf</x:v>
      </x:c>
    </x:row>
    <x:row r="49">
      <x:c r="A49" s="14" t="n">
        <x:v>16</x:v>
      </x:c>
      <x:c r="B49" s="14" t="str">
        <x:v>Jenipapo</x:v>
      </x:c>
      <x:c r="C49" s="14" t="str">
        <x:v>Cenário 2</x:v>
      </x:c>
      <x:c r="D49" s="18" t="n">
        <x:v>55</x:v>
      </x:c>
      <x:c r="E49" s="14" t="str">
        <x:v>VM3</x:v>
      </x:c>
      <x:c r="F49" s="14" t="str">
        <x:v>Limite Seca → Seca Severa</x:v>
      </x:c>
      <x:c r="G49" s="93" t="n">
        <x:v>26</x:v>
      </x:c>
      <x:c r="H49" s="93" t="n">
        <x:v>23</x:v>
      </x:c>
      <x:c r="I49" s="93" t="n">
        <x:v>21</x:v>
      </x:c>
      <x:c r="J49" s="93" t="n">
        <x:v>20</x:v>
      </x:c>
      <x:c r="K49" s="93" t="n">
        <x:v>21</x:v>
      </x:c>
      <x:c r="L49" s="93" t="n">
        <x:v>21</x:v>
      </x:c>
      <x:c r="M49" s="93" t="n">
        <x:v>43</x:v>
      </x:c>
      <x:c r="N49" s="93" t="n">
        <x:v>41</x:v>
      </x:c>
      <x:c r="O49" s="93" t="n">
        <x:v>38</x:v>
      </x:c>
      <x:c r="P49" s="93" t="n">
        <x:v>35</x:v>
      </x:c>
      <x:c r="Q49" s="93" t="n">
        <x:v>32</x:v>
      </x:c>
      <x:c r="R49" s="93" t="n">
        <x:v>29</x:v>
      </x:c>
      <x:c r="S49" s="14" t="str">
        <x:v>p. 60</x:v>
      </x:c>
      <x:c r="T49" s="14" t="str">
        <x:v>Figura 5.5 usada como referência. O texto cita 31/23/17% em julho e 120 L/s, mas isso conflita com a figura final de 55 L/s.</x:v>
      </x:c>
      <x:c r="U49" s="14" t="str">
        <x:v>Plano de Gestão Proativa de Secas - Hidrossistema Jenipapo.pdf</x:v>
      </x:c>
    </x:row>
    <x:row r="50">
      <x:c r="A50" s="14" t="n">
        <x:v>17</x:v>
      </x:c>
      <x:c r="B50" s="14" t="str">
        <x:v>Joaquim Távora (Feiticeiro)</x:v>
      </x:c>
      <x:c r="C50" s="14" t="str">
        <x:v>Cenário 1 – 105 L/s</x:v>
      </x:c>
      <x:c r="D50" s="18" t="n">
        <x:v>105</x:v>
      </x:c>
      <x:c r="E50" s="14" t="str">
        <x:v>VM1</x:v>
      </x:c>
      <x:c r="F50" s="14" t="str">
        <x:v>Limite Normal → Alerta</x:v>
      </x:c>
      <x:c r="G50" s="93" t="n">
        <x:v>12</x:v>
      </x:c>
      <x:c r="H50" s="93" t="n">
        <x:v>11</x:v>
      </x:c>
      <x:c r="I50" s="93" t="n">
        <x:v>10</x:v>
      </x:c>
      <x:c r="J50" s="93" t="n">
        <x:v>11</x:v>
      </x:c>
      <x:c r="K50" s="93" t="n">
        <x:v>13</x:v>
      </x:c>
      <x:c r="L50" s="93" t="n">
        <x:v>14</x:v>
      </x:c>
      <x:c r="M50" s="93" t="n">
        <x:v>19</x:v>
      </x:c>
      <x:c r="N50" s="93" t="n">
        <x:v>18</x:v>
      </x:c>
      <x:c r="O50" s="93" t="n">
        <x:v>16</x:v>
      </x:c>
      <x:c r="P50" s="93" t="n">
        <x:v>15</x:v>
      </x:c>
      <x:c r="Q50" s="93" t="n">
        <x:v>14</x:v>
      </x:c>
      <x:c r="R50" s="93" t="n">
        <x:v>13</x:v>
      </x:c>
      <x:c r="S50" s="14" t="str">
        <x:v>p. 93</x:v>
      </x:c>
      <x:c r="T50" s="14" t="str">
        <x:v>Figura 4.3; o texto registra a escolha do Cenário 1 com 105 L/s.</x:v>
      </x:c>
      <x:c r="U50" s="14" t="str">
        <x:v>Plano de Gestão Proativa de Secas - Hidrossistema Joaquim Távora Feiticeiro.pdf</x:v>
      </x:c>
    </x:row>
    <x:row r="51">
      <x:c r="A51" s="14" t="n">
        <x:v>17</x:v>
      </x:c>
      <x:c r="B51" s="14" t="str">
        <x:v>Joaquim Távora (Feiticeiro)</x:v>
      </x:c>
      <x:c r="C51" s="14" t="str">
        <x:v>Cenário 1 – 105 L/s</x:v>
      </x:c>
      <x:c r="D51" s="18" t="n">
        <x:v>105</x:v>
      </x:c>
      <x:c r="E51" s="14" t="str">
        <x:v>VM2</x:v>
      </x:c>
      <x:c r="F51" s="14" t="str">
        <x:v>Limite Alerta → Seca</x:v>
      </x:c>
      <x:c r="G51" s="93" t="n">
        <x:v>8</x:v>
      </x:c>
      <x:c r="H51" s="93" t="n">
        <x:v>7</x:v>
      </x:c>
      <x:c r="I51" s="93" t="n">
        <x:v>7</x:v>
      </x:c>
      <x:c r="J51" s="93" t="n">
        <x:v>8</x:v>
      </x:c>
      <x:c r="K51" s="93" t="n">
        <x:v>10</x:v>
      </x:c>
      <x:c r="L51" s="93" t="n">
        <x:v>10</x:v>
      </x:c>
      <x:c r="M51" s="93" t="n">
        <x:v>13</x:v>
      </x:c>
      <x:c r="N51" s="93" t="n">
        <x:v>12</x:v>
      </x:c>
      <x:c r="O51" s="93" t="n">
        <x:v>11</x:v>
      </x:c>
      <x:c r="P51" s="93" t="n">
        <x:v>10</x:v>
      </x:c>
      <x:c r="Q51" s="93" t="n">
        <x:v>9</x:v>
      </x:c>
      <x:c r="R51" s="93" t="n">
        <x:v>8</x:v>
      </x:c>
      <x:c r="S51" s="14" t="str">
        <x:v>p. 93</x:v>
      </x:c>
      <x:c r="T51" s="14" t="str">
        <x:v>Figura 4.3; o texto registra a escolha do Cenário 1 com 105 L/s.</x:v>
      </x:c>
      <x:c r="U51" s="14" t="str">
        <x:v>Plano de Gestão Proativa de Secas - Hidrossistema Joaquim Távora Feiticeiro.pdf</x:v>
      </x:c>
    </x:row>
    <x:row r="52">
      <x:c r="A52" s="14" t="n">
        <x:v>17</x:v>
      </x:c>
      <x:c r="B52" s="14" t="str">
        <x:v>Joaquim Távora (Feiticeiro)</x:v>
      </x:c>
      <x:c r="C52" s="14" t="str">
        <x:v>Cenário 1 – 105 L/s</x:v>
      </x:c>
      <x:c r="D52" s="18" t="n">
        <x:v>105</x:v>
      </x:c>
      <x:c r="E52" s="14" t="str">
        <x:v>VM3</x:v>
      </x:c>
      <x:c r="F52" s="14" t="str">
        <x:v>Limite Seca → Seca Severa</x:v>
      </x:c>
      <x:c r="G52" s="93" t="n">
        <x:v>6</x:v>
      </x:c>
      <x:c r="H52" s="93" t="n">
        <x:v>6</x:v>
      </x:c>
      <x:c r="I52" s="93" t="n">
        <x:v>6</x:v>
      </x:c>
      <x:c r="J52" s="93" t="n">
        <x:v>7</x:v>
      </x:c>
      <x:c r="K52" s="93" t="n">
        <x:v>9</x:v>
      </x:c>
      <x:c r="L52" s="93" t="n">
        <x:v>9</x:v>
      </x:c>
      <x:c r="M52" s="93" t="n">
        <x:v>11</x:v>
      </x:c>
      <x:c r="N52" s="93" t="n">
        <x:v>11</x:v>
      </x:c>
      <x:c r="O52" s="93" t="n">
        <x:v>10</x:v>
      </x:c>
      <x:c r="P52" s="93" t="n">
        <x:v>9</x:v>
      </x:c>
      <x:c r="Q52" s="93" t="n">
        <x:v>8</x:v>
      </x:c>
      <x:c r="R52" s="93" t="n">
        <x:v>7</x:v>
      </x:c>
      <x:c r="S52" s="14" t="str">
        <x:v>p. 93</x:v>
      </x:c>
      <x:c r="T52" s="14" t="str">
        <x:v>Figura 4.3; o texto registra a escolha do Cenário 1 com 105 L/s.</x:v>
      </x:c>
      <x:c r="U52" s="14" t="str">
        <x:v>Plano de Gestão Proativa de Secas - Hidrossistema Joaquim Távora Feiticeiro.pdf</x:v>
      </x:c>
    </x:row>
    <x:row r="53">
      <x:c r="A53" s="14" t="n">
        <x:v>18</x:v>
      </x:c>
      <x:c r="B53" s="14" t="str">
        <x:v>Mundaú</x:v>
      </x:c>
      <x:c r="C53" s="14" t="str">
        <x:v>Cenário 1</x:v>
      </x:c>
      <x:c r="D53" s="18" t="n">
        <x:v>250</x:v>
      </x:c>
      <x:c r="E53" s="14" t="str">
        <x:v>VM1</x:v>
      </x:c>
      <x:c r="F53" s="14" t="str">
        <x:v>Limite Normal → Alerta</x:v>
      </x:c>
      <x:c r="G53" s="93" t="n">
        <x:v>55</x:v>
      </x:c>
      <x:c r="H53" s="93" t="n">
        <x:v>52</x:v>
      </x:c>
      <x:c r="I53" s="93" t="n">
        <x:v>50</x:v>
      </x:c>
      <x:c r="J53" s="93" t="n">
        <x:v>51</x:v>
      </x:c>
      <x:c r="K53" s="93" t="n">
        <x:v>54</x:v>
      </x:c>
      <x:c r="L53" s="93" t="n">
        <x:v>79</x:v>
      </x:c>
      <x:c r="M53" s="93" t="n">
        <x:v>78</x:v>
      </x:c>
      <x:c r="N53" s="93" t="n">
        <x:v>75</x:v>
      </x:c>
      <x:c r="O53" s="93" t="n">
        <x:v>71</x:v>
      </x:c>
      <x:c r="P53" s="93" t="n">
        <x:v>67</x:v>
      </x:c>
      <x:c r="Q53" s="93" t="n">
        <x:v>63</x:v>
      </x:c>
      <x:c r="R53" s="93" t="n">
        <x:v>59</x:v>
      </x:c>
      <x:c r="S53" s="14" t="str">
        <x:v>p. 58</x:v>
      </x:c>
      <x:c r="T53" s="14" t="str">
        <x:v>Figura 5.5.</x:v>
      </x:c>
      <x:c r="U53" s="14" t="str">
        <x:v>Plano de Gestão Proativa de Secas - Hidrossistema Mundaú.pdf</x:v>
      </x:c>
    </x:row>
    <x:row r="54">
      <x:c r="A54" s="14" t="n">
        <x:v>18</x:v>
      </x:c>
      <x:c r="B54" s="14" t="str">
        <x:v>Mundaú</x:v>
      </x:c>
      <x:c r="C54" s="14" t="str">
        <x:v>Cenário 1</x:v>
      </x:c>
      <x:c r="D54" s="18" t="n">
        <x:v>250</x:v>
      </x:c>
      <x:c r="E54" s="14" t="str">
        <x:v>VM2</x:v>
      </x:c>
      <x:c r="F54" s="14" t="str">
        <x:v>Limite Alerta → Seca</x:v>
      </x:c>
      <x:c r="G54" s="93" t="n">
        <x:v>35</x:v>
      </x:c>
      <x:c r="H54" s="93" t="n">
        <x:v>32</x:v>
      </x:c>
      <x:c r="I54" s="93" t="n">
        <x:v>30</x:v>
      </x:c>
      <x:c r="J54" s="93" t="n">
        <x:v>31</x:v>
      </x:c>
      <x:c r="K54" s="93" t="n">
        <x:v>35</x:v>
      </x:c>
      <x:c r="L54" s="93" t="n">
        <x:v>58</x:v>
      </x:c>
      <x:c r="M54" s="93" t="n">
        <x:v>57</x:v>
      </x:c>
      <x:c r="N54" s="93" t="n">
        <x:v>54</x:v>
      </x:c>
      <x:c r="O54" s="93" t="n">
        <x:v>50</x:v>
      </x:c>
      <x:c r="P54" s="93" t="n">
        <x:v>47</x:v>
      </x:c>
      <x:c r="Q54" s="93" t="n">
        <x:v>43</x:v>
      </x:c>
      <x:c r="R54" s="93" t="n">
        <x:v>39</x:v>
      </x:c>
      <x:c r="S54" s="14" t="str">
        <x:v>p. 58</x:v>
      </x:c>
      <x:c r="T54" s="14" t="str">
        <x:v>Figura 5.5.</x:v>
      </x:c>
      <x:c r="U54" s="14" t="str">
        <x:v>Plano de Gestão Proativa de Secas - Hidrossistema Mundaú.pdf</x:v>
      </x:c>
    </x:row>
    <x:row r="55">
      <x:c r="A55" s="14" t="n">
        <x:v>18</x:v>
      </x:c>
      <x:c r="B55" s="14" t="str">
        <x:v>Mundaú</x:v>
      </x:c>
      <x:c r="C55" s="14" t="str">
        <x:v>Cenário 1</x:v>
      </x:c>
      <x:c r="D55" s="18" t="n">
        <x:v>250</x:v>
      </x:c>
      <x:c r="E55" s="14" t="str">
        <x:v>VM3</x:v>
      </x:c>
      <x:c r="F55" s="14" t="str">
        <x:v>Limite Seca → Seca Severa</x:v>
      </x:c>
      <x:c r="G55" s="93" t="n">
        <x:v>21</x:v>
      </x:c>
      <x:c r="H55" s="93" t="n">
        <x:v>18</x:v>
      </x:c>
      <x:c r="I55" s="93" t="n">
        <x:v>16</x:v>
      </x:c>
      <x:c r="J55" s="93" t="n">
        <x:v>17</x:v>
      </x:c>
      <x:c r="K55" s="93" t="n">
        <x:v>21</x:v>
      </x:c>
      <x:c r="L55" s="93" t="n">
        <x:v>43</x:v>
      </x:c>
      <x:c r="M55" s="93" t="n">
        <x:v>42</x:v>
      </x:c>
      <x:c r="N55" s="93" t="n">
        <x:v>39</x:v>
      </x:c>
      <x:c r="O55" s="93" t="n">
        <x:v>36</x:v>
      </x:c>
      <x:c r="P55" s="93" t="n">
        <x:v>32</x:v>
      </x:c>
      <x:c r="Q55" s="93" t="n">
        <x:v>28</x:v>
      </x:c>
      <x:c r="R55" s="93" t="n">
        <x:v>25</x:v>
      </x:c>
      <x:c r="S55" s="14" t="str">
        <x:v>p. 58</x:v>
      </x:c>
      <x:c r="T55" s="14" t="str">
        <x:v>Figura 5.5.</x:v>
      </x:c>
      <x:c r="U55" s="14" t="str">
        <x:v>Plano de Gestão Proativa de Secas - Hidrossistema Mundaú.pdf</x:v>
      </x:c>
    </x:row>
    <x:row r="56">
      <x:c r="A56" s="14" t="n">
        <x:v>19</x:v>
      </x:c>
      <x:c r="B56" s="14" t="str">
        <x:v>Olho D’Água</x:v>
      </x:c>
      <x:c r="C56" s="14" t="str">
        <x:v>Cenário A (figura final nomeia Cenário 1)</x:v>
      </x:c>
      <x:c r="D56" s="18" t="n">
        <x:v>100</x:v>
      </x:c>
      <x:c r="E56" s="14" t="str">
        <x:v>VM1</x:v>
      </x:c>
      <x:c r="F56" s="14" t="str">
        <x:v>Limite Normal → Alerta</x:v>
      </x:c>
      <x:c r="G56" s="93" t="n">
        <x:v>33</x:v>
      </x:c>
      <x:c r="H56" s="93" t="n">
        <x:v>30</x:v>
      </x:c>
      <x:c r="I56" s="93" t="n">
        <x:v>29</x:v>
      </x:c>
      <x:c r="J56" s="93" t="n">
        <x:v>29</x:v>
      </x:c>
      <x:c r="K56" s="93" t="n">
        <x:v>30</x:v>
      </x:c>
      <x:c r="L56" s="93" t="n">
        <x:v>29</x:v>
      </x:c>
      <x:c r="M56" s="93" t="n">
        <x:v>50</x:v>
      </x:c>
      <x:c r="N56" s="93" t="n">
        <x:v>47</x:v>
      </x:c>
      <x:c r="O56" s="93" t="n">
        <x:v>44</x:v>
      </x:c>
      <x:c r="P56" s="93" t="n">
        <x:v>41</x:v>
      </x:c>
      <x:c r="Q56" s="93" t="n">
        <x:v>38</x:v>
      </x:c>
      <x:c r="R56" s="93" t="n">
        <x:v>35</x:v>
      </x:c>
      <x:c r="S56" s="14" t="str">
        <x:v>p. 100</x:v>
      </x:c>
      <x:c r="T56" s="14" t="str">
        <x:v>Figura 5.7.</x:v>
      </x:c>
      <x:c r="U56" s="14" t="str">
        <x:v>Plano de Gestão Proativa de Secas - Hidrossistema Olho D’Água.pdf</x:v>
      </x:c>
    </x:row>
    <x:row r="57">
      <x:c r="A57" s="14" t="n">
        <x:v>19</x:v>
      </x:c>
      <x:c r="B57" s="14" t="str">
        <x:v>Olho D’Água</x:v>
      </x:c>
      <x:c r="C57" s="14" t="str">
        <x:v>Cenário A (figura final nomeia Cenário 1)</x:v>
      </x:c>
      <x:c r="D57" s="18" t="n">
        <x:v>100</x:v>
      </x:c>
      <x:c r="E57" s="14" t="str">
        <x:v>VM2</x:v>
      </x:c>
      <x:c r="F57" s="14" t="str">
        <x:v>Limite Alerta → Seca</x:v>
      </x:c>
      <x:c r="G57" s="93" t="n">
        <x:v>15</x:v>
      </x:c>
      <x:c r="H57" s="93" t="n">
        <x:v>13</x:v>
      </x:c>
      <x:c r="I57" s="93" t="n">
        <x:v>12</x:v>
      </x:c>
      <x:c r="J57" s="93" t="n">
        <x:v>12</x:v>
      </x:c>
      <x:c r="K57" s="93" t="n">
        <x:v>13</x:v>
      </x:c>
      <x:c r="L57" s="93" t="n">
        <x:v>13</x:v>
      </x:c>
      <x:c r="M57" s="93" t="n">
        <x:v>30</x:v>
      </x:c>
      <x:c r="N57" s="93" t="n">
        <x:v>27</x:v>
      </x:c>
      <x:c r="O57" s="93" t="n">
        <x:v>25</x:v>
      </x:c>
      <x:c r="P57" s="93" t="n">
        <x:v>22</x:v>
      </x:c>
      <x:c r="Q57" s="93" t="n">
        <x:v>19</x:v>
      </x:c>
      <x:c r="R57" s="93" t="n">
        <x:v>17</x:v>
      </x:c>
      <x:c r="S57" s="14" t="str">
        <x:v>p. 100</x:v>
      </x:c>
      <x:c r="T57" s="14" t="str">
        <x:v>Figura 5.7.</x:v>
      </x:c>
      <x:c r="U57" s="14" t="str">
        <x:v>Plano de Gestão Proativa de Secas - Hidrossistema Olho D’Água.pdf</x:v>
      </x:c>
    </x:row>
    <x:row r="58">
      <x:c r="A58" s="14" t="n">
        <x:v>19</x:v>
      </x:c>
      <x:c r="B58" s="14" t="str">
        <x:v>Olho D’Água</x:v>
      </x:c>
      <x:c r="C58" s="14" t="str">
        <x:v>Cenário A (figura final nomeia Cenário 1)</x:v>
      </x:c>
      <x:c r="D58" s="18" t="n">
        <x:v>100</x:v>
      </x:c>
      <x:c r="E58" s="14" t="str">
        <x:v>VM3</x:v>
      </x:c>
      <x:c r="F58" s="14" t="str">
        <x:v>Limite Seca → Seca Severa</x:v>
      </x:c>
      <x:c r="G58" s="93" t="n">
        <x:v>7</x:v>
      </x:c>
      <x:c r="H58" s="93" t="n">
        <x:v>5</x:v>
      </x:c>
      <x:c r="I58" s="93" t="n">
        <x:v>4</x:v>
      </x:c>
      <x:c r="J58" s="93" t="n">
        <x:v>5</x:v>
      </x:c>
      <x:c r="K58" s="93" t="n">
        <x:v>6</x:v>
      </x:c>
      <x:c r="L58" s="93" t="n">
        <x:v>5</x:v>
      </x:c>
      <x:c r="M58" s="93" t="n">
        <x:v>20</x:v>
      </x:c>
      <x:c r="N58" s="93" t="n">
        <x:v>18</x:v>
      </x:c>
      <x:c r="O58" s="93" t="n">
        <x:v>15</x:v>
      </x:c>
      <x:c r="P58" s="93" t="n">
        <x:v>13</x:v>
      </x:c>
      <x:c r="Q58" s="93" t="n">
        <x:v>10</x:v>
      </x:c>
      <x:c r="R58" s="93" t="n">
        <x:v>8</x:v>
      </x:c>
      <x:c r="S58" s="14" t="str">
        <x:v>p. 100</x:v>
      </x:c>
      <x:c r="T58" s="14" t="str">
        <x:v>Figura 5.7.</x:v>
      </x:c>
      <x:c r="U58" s="14" t="str">
        <x:v>Plano de Gestão Proativa de Secas - Hidrossistema Olho D’Água.pdf</x:v>
      </x:c>
    </x:row>
    <x:row r="59">
      <x:c r="A59" s="14" t="n">
        <x:v>20</x:v>
      </x:c>
      <x:c r="B59" s="14" t="str">
        <x:v>Pesqueiro</x:v>
      </x:c>
      <x:c r="C59" s="14" t="str">
        <x:v>Cenário 2</x:v>
      </x:c>
      <x:c r="D59" s="18" t="n">
        <x:v>33</x:v>
      </x:c>
      <x:c r="E59" s="14" t="str">
        <x:v>VM1</x:v>
      </x:c>
      <x:c r="F59" s="14" t="str">
        <x:v>Limite Normal → Alerta</x:v>
      </x:c>
      <x:c r="G59" s="93" t="n">
        <x:v>28</x:v>
      </x:c>
      <x:c r="H59" s="93" t="n">
        <x:v>27</x:v>
      </x:c>
      <x:c r="I59" s="93" t="n">
        <x:v>25</x:v>
      </x:c>
      <x:c r="J59" s="93" t="n">
        <x:v>25</x:v>
      </x:c>
      <x:c r="K59" s="93" t="n">
        <x:v>26</x:v>
      </x:c>
      <x:c r="L59" s="93" t="n">
        <x:v>28</x:v>
      </x:c>
      <x:c r="M59" s="93" t="n">
        <x:v>43</x:v>
      </x:c>
      <x:c r="N59" s="93" t="n">
        <x:v>41</x:v>
      </x:c>
      <x:c r="O59" s="93" t="n">
        <x:v>39</x:v>
      </x:c>
      <x:c r="P59" s="93" t="n">
        <x:v>36</x:v>
      </x:c>
      <x:c r="Q59" s="93" t="n">
        <x:v>33</x:v>
      </x:c>
      <x:c r="R59" s="93" t="n">
        <x:v>31</x:v>
      </x:c>
      <x:c r="S59" s="14" t="str">
        <x:v>p. 52</x:v>
      </x:c>
      <x:c r="T59" s="14" t="str">
        <x:v>Figura 5.4; o texto confirma a escolha do Cenário 2.</x:v>
      </x:c>
      <x:c r="U59" s="14" t="str">
        <x:v>Plano de Gestão Proativa de Secas - Hidrossistema Pesqueiro.pdf</x:v>
      </x:c>
    </x:row>
    <x:row r="60">
      <x:c r="A60" s="14" t="n">
        <x:v>20</x:v>
      </x:c>
      <x:c r="B60" s="14" t="str">
        <x:v>Pesqueiro</x:v>
      </x:c>
      <x:c r="C60" s="14" t="str">
        <x:v>Cenário 2</x:v>
      </x:c>
      <x:c r="D60" s="18" t="n">
        <x:v>33</x:v>
      </x:c>
      <x:c r="E60" s="14" t="str">
        <x:v>VM2</x:v>
      </x:c>
      <x:c r="F60" s="14" t="str">
        <x:v>Limite Alerta → Seca</x:v>
      </x:c>
      <x:c r="G60" s="93" t="n">
        <x:v>17</x:v>
      </x:c>
      <x:c r="H60" s="93" t="n">
        <x:v>16</x:v>
      </x:c>
      <x:c r="I60" s="93" t="n">
        <x:v>15</x:v>
      </x:c>
      <x:c r="J60" s="93" t="n">
        <x:v>15</x:v>
      </x:c>
      <x:c r="K60" s="93" t="n">
        <x:v>16</x:v>
      </x:c>
      <x:c r="L60" s="93" t="n">
        <x:v>18</x:v>
      </x:c>
      <x:c r="M60" s="93" t="n">
        <x:v>28</x:v>
      </x:c>
      <x:c r="N60" s="93" t="n">
        <x:v>27</x:v>
      </x:c>
      <x:c r="O60" s="93" t="n">
        <x:v>25</x:v>
      </x:c>
      <x:c r="P60" s="93" t="n">
        <x:v>23</x:v>
      </x:c>
      <x:c r="Q60" s="93" t="n">
        <x:v>21</x:v>
      </x:c>
      <x:c r="R60" s="93" t="n">
        <x:v>19</x:v>
      </x:c>
      <x:c r="S60" s="14" t="str">
        <x:v>p. 52</x:v>
      </x:c>
      <x:c r="T60" s="14" t="str">
        <x:v>Figura 5.4; o texto confirma a escolha do Cenário 2.</x:v>
      </x:c>
      <x:c r="U60" s="14" t="str">
        <x:v>Plano de Gestão Proativa de Secas - Hidrossistema Pesqueiro.pdf</x:v>
      </x:c>
    </x:row>
    <x:row r="61">
      <x:c r="A61" s="14" t="n">
        <x:v>20</x:v>
      </x:c>
      <x:c r="B61" s="14" t="str">
        <x:v>Pesqueiro</x:v>
      </x:c>
      <x:c r="C61" s="14" t="str">
        <x:v>Cenário 2</x:v>
      </x:c>
      <x:c r="D61" s="18" t="n">
        <x:v>33</x:v>
      </x:c>
      <x:c r="E61" s="14" t="str">
        <x:v>VM3</x:v>
      </x:c>
      <x:c r="F61" s="14" t="str">
        <x:v>Limite Seca → Seca Severa</x:v>
      </x:c>
      <x:c r="G61" s="93" t="n">
        <x:v>7</x:v>
      </x:c>
      <x:c r="H61" s="93" t="n">
        <x:v>6</x:v>
      </x:c>
      <x:c r="I61" s="93" t="n">
        <x:v>6</x:v>
      </x:c>
      <x:c r="J61" s="93" t="n">
        <x:v>6</x:v>
      </x:c>
      <x:c r="K61" s="93" t="n">
        <x:v>7</x:v>
      </x:c>
      <x:c r="L61" s="93" t="n">
        <x:v>9</x:v>
      </x:c>
      <x:c r="M61" s="93" t="n">
        <x:v>15</x:v>
      </x:c>
      <x:c r="N61" s="93" t="n">
        <x:v>15</x:v>
      </x:c>
      <x:c r="O61" s="93" t="n">
        <x:v>13</x:v>
      </x:c>
      <x:c r="P61" s="93" t="n">
        <x:v>12</x:v>
      </x:c>
      <x:c r="Q61" s="93" t="n">
        <x:v>10</x:v>
      </x:c>
      <x:c r="R61" s="93" t="n">
        <x:v>9</x:v>
      </x:c>
      <x:c r="S61" s="14" t="str">
        <x:v>p. 52</x:v>
      </x:c>
      <x:c r="T61" s="14" t="str">
        <x:v>Figura 5.4; o texto confirma a escolha do Cenário 2.</x:v>
      </x:c>
      <x:c r="U61" s="14" t="str">
        <x:v>Plano de Gestão Proativa de Secas - Hidrossistema Pesqueiro.pdf</x:v>
      </x:c>
    </x:row>
    <x:row r="62">
      <x:c r="A62" s="14" t="n">
        <x:v>21</x:v>
      </x:c>
      <x:c r="B62" s="14" t="str">
        <x:v>Poço Verde</x:v>
      </x:c>
      <x:c r="C62" s="14" t="str">
        <x:v>Cenário 2</x:v>
      </x:c>
      <x:c r="D62" s="18" t="n">
        <x:v>105</x:v>
      </x:c>
      <x:c r="E62" s="14" t="str">
        <x:v>VM1</x:v>
      </x:c>
      <x:c r="F62" s="14" t="str">
        <x:v>Limite Normal → Alerta</x:v>
      </x:c>
      <x:c r="G62" s="93" t="n">
        <x:v>31</x:v>
      </x:c>
      <x:c r="H62" s="93" t="n">
        <x:v>27</x:v>
      </x:c>
      <x:c r="I62" s="93" t="n">
        <x:v>24</x:v>
      </x:c>
      <x:c r="J62" s="93" t="n">
        <x:v>27</x:v>
      </x:c>
      <x:c r="K62" s="93" t="n">
        <x:v>32</x:v>
      </x:c>
      <x:c r="L62" s="93" t="n">
        <x:v>33</x:v>
      </x:c>
      <x:c r="M62" s="93" t="n">
        <x:v>69</x:v>
      </x:c>
      <x:c r="N62" s="93" t="n">
        <x:v>64</x:v>
      </x:c>
      <x:c r="O62" s="93" t="n">
        <x:v>57</x:v>
      </x:c>
      <x:c r="P62" s="93" t="n">
        <x:v>50</x:v>
      </x:c>
      <x:c r="Q62" s="93" t="n">
        <x:v>43</x:v>
      </x:c>
      <x:c r="R62" s="93" t="n">
        <x:v>37</x:v>
      </x:c>
      <x:c r="S62" s="14" t="str">
        <x:v>p. 59</x:v>
      </x:c>
      <x:c r="T62" s="14" t="str">
        <x:v>Figura 5.5.</x:v>
      </x:c>
      <x:c r="U62" s="14" t="str">
        <x:v>Plano de Gestão Proativa de Secas - Hidrossistema Poço Verde.pdf</x:v>
      </x:c>
    </x:row>
    <x:row r="63">
      <x:c r="A63" s="14" t="n">
        <x:v>21</x:v>
      </x:c>
      <x:c r="B63" s="14" t="str">
        <x:v>Poço Verde</x:v>
      </x:c>
      <x:c r="C63" s="14" t="str">
        <x:v>Cenário 2</x:v>
      </x:c>
      <x:c r="D63" s="18" t="n">
        <x:v>105</x:v>
      </x:c>
      <x:c r="E63" s="14" t="str">
        <x:v>VM2</x:v>
      </x:c>
      <x:c r="F63" s="14" t="str">
        <x:v>Limite Alerta → Seca</x:v>
      </x:c>
      <x:c r="G63" s="93" t="n">
        <x:v>24</x:v>
      </x:c>
      <x:c r="H63" s="93" t="n">
        <x:v>20</x:v>
      </x:c>
      <x:c r="I63" s="93" t="n">
        <x:v>18</x:v>
      </x:c>
      <x:c r="J63" s="93" t="n">
        <x:v>20</x:v>
      </x:c>
      <x:c r="K63" s="93" t="n">
        <x:v>26</x:v>
      </x:c>
      <x:c r="L63" s="93" t="n">
        <x:v>27</x:v>
      </x:c>
      <x:c r="M63" s="93" t="n">
        <x:v>59</x:v>
      </x:c>
      <x:c r="N63" s="93" t="n">
        <x:v>54</x:v>
      </x:c>
      <x:c r="O63" s="93" t="n">
        <x:v>48</x:v>
      </x:c>
      <x:c r="P63" s="93" t="n">
        <x:v>42</x:v>
      </x:c>
      <x:c r="Q63" s="93" t="n">
        <x:v>35</x:v>
      </x:c>
      <x:c r="R63" s="93" t="n">
        <x:v>29</x:v>
      </x:c>
      <x:c r="S63" s="14" t="str">
        <x:v>p. 59</x:v>
      </x:c>
      <x:c r="T63" s="14" t="str">
        <x:v>Figura 5.5.</x:v>
      </x:c>
      <x:c r="U63" s="14" t="str">
        <x:v>Plano de Gestão Proativa de Secas - Hidrossistema Poço Verde.pdf</x:v>
      </x:c>
    </x:row>
    <x:row r="64">
      <x:c r="A64" s="14" t="n">
        <x:v>21</x:v>
      </x:c>
      <x:c r="B64" s="14" t="str">
        <x:v>Poço Verde</x:v>
      </x:c>
      <x:c r="C64" s="14" t="str">
        <x:v>Cenário 2</x:v>
      </x:c>
      <x:c r="D64" s="18" t="n">
        <x:v>105</x:v>
      </x:c>
      <x:c r="E64" s="14" t="str">
        <x:v>VM3</x:v>
      </x:c>
      <x:c r="F64" s="14" t="str">
        <x:v>Limite Seca → Seca Severa</x:v>
      </x:c>
      <x:c r="G64" s="93" t="n">
        <x:v>11</x:v>
      </x:c>
      <x:c r="H64" s="93" t="n">
        <x:v>8</x:v>
      </x:c>
      <x:c r="I64" s="93" t="n">
        <x:v>7</x:v>
      </x:c>
      <x:c r="J64" s="93" t="n">
        <x:v>9</x:v>
      </x:c>
      <x:c r="K64" s="93" t="n">
        <x:v>16</x:v>
      </x:c>
      <x:c r="L64" s="93" t="n">
        <x:v>17</x:v>
      </x:c>
      <x:c r="M64" s="93" t="n">
        <x:v>40</x:v>
      </x:c>
      <x:c r="N64" s="93" t="n">
        <x:v>35</x:v>
      </x:c>
      <x:c r="O64" s="93" t="n">
        <x:v>30</x:v>
      </x:c>
      <x:c r="P64" s="93" t="n">
        <x:v>25</x:v>
      </x:c>
      <x:c r="Q64" s="93" t="n">
        <x:v>20</x:v>
      </x:c>
      <x:c r="R64" s="93" t="n">
        <x:v>15</x:v>
      </x:c>
      <x:c r="S64" s="14" t="str">
        <x:v>p. 59</x:v>
      </x:c>
      <x:c r="T64" s="14" t="str">
        <x:v>Figura 5.5.</x:v>
      </x:c>
      <x:c r="U64" s="14" t="str">
        <x:v>Plano de Gestão Proativa de Secas - Hidrossistema Poço Verde.pdf</x:v>
      </x:c>
    </x:row>
    <x:row r="65">
      <x:c r="A65" s="14" t="n">
        <x:v>22</x:v>
      </x:c>
      <x:c r="B65" s="14" t="str">
        <x:v>Rosário</x:v>
      </x:c>
      <x:c r="C65" s="14" t="str">
        <x:v>Cenário A (figura final nomeia Cenário 1)</x:v>
      </x:c>
      <x:c r="D65" s="18" t="n">
        <x:v>350</x:v>
      </x:c>
      <x:c r="E65" s="14" t="str">
        <x:v>VM1</x:v>
      </x:c>
      <x:c r="F65" s="14" t="str">
        <x:v>Limite Normal → Alerta</x:v>
      </x:c>
      <x:c r="G65" s="93" t="n">
        <x:v>26</x:v>
      </x:c>
      <x:c r="H65" s="93" t="n">
        <x:v>24</x:v>
      </x:c>
      <x:c r="I65" s="93" t="n">
        <x:v>22</x:v>
      </x:c>
      <x:c r="J65" s="93" t="n">
        <x:v>26</x:v>
      </x:c>
      <x:c r="K65" s="93" t="n">
        <x:v>30</x:v>
      </x:c>
      <x:c r="L65" s="93" t="n">
        <x:v>29</x:v>
      </x:c>
      <x:c r="M65" s="93" t="n">
        <x:v>50</x:v>
      </x:c>
      <x:c r="N65" s="93" t="n">
        <x:v>46</x:v>
      </x:c>
      <x:c r="O65" s="93" t="n">
        <x:v>42</x:v>
      </x:c>
      <x:c r="P65" s="93" t="n">
        <x:v>37</x:v>
      </x:c>
      <x:c r="Q65" s="93" t="n">
        <x:v>33</x:v>
      </x:c>
      <x:c r="R65" s="93" t="n">
        <x:v>30</x:v>
      </x:c>
      <x:c r="S65" s="14" t="str">
        <x:v>p. 100</x:v>
      </x:c>
      <x:c r="T65" s="14" t="str">
        <x:v>Figura 5.7.</x:v>
      </x:c>
      <x:c r="U65" s="14" t="str">
        <x:v>Plano de Gestão Proativa de Secas - Hidrossistema Rosário.pdf</x:v>
      </x:c>
    </x:row>
    <x:row r="66">
      <x:c r="A66" s="14" t="n">
        <x:v>22</x:v>
      </x:c>
      <x:c r="B66" s="14" t="str">
        <x:v>Rosário</x:v>
      </x:c>
      <x:c r="C66" s="14" t="str">
        <x:v>Cenário A (figura final nomeia Cenário 1)</x:v>
      </x:c>
      <x:c r="D66" s="18" t="n">
        <x:v>350</x:v>
      </x:c>
      <x:c r="E66" s="14" t="str">
        <x:v>VM2</x:v>
      </x:c>
      <x:c r="F66" s="14" t="str">
        <x:v>Limite Alerta → Seca</x:v>
      </x:c>
      <x:c r="G66" s="93" t="n">
        <x:v>13</x:v>
      </x:c>
      <x:c r="H66" s="93" t="n">
        <x:v>11</x:v>
      </x:c>
      <x:c r="I66" s="93" t="n">
        <x:v>10</x:v>
      </x:c>
      <x:c r="J66" s="93" t="n">
        <x:v>14</x:v>
      </x:c>
      <x:c r="K66" s="93" t="n">
        <x:v>19</x:v>
      </x:c>
      <x:c r="L66" s="93" t="n">
        <x:v>19</x:v>
      </x:c>
      <x:c r="M66" s="93" t="n">
        <x:v>34</x:v>
      </x:c>
      <x:c r="N66" s="93" t="n">
        <x:v>31</x:v>
      </x:c>
      <x:c r="O66" s="93" t="n">
        <x:v>27</x:v>
      </x:c>
      <x:c r="P66" s="93" t="n">
        <x:v>23</x:v>
      </x:c>
      <x:c r="Q66" s="93" t="n">
        <x:v>20</x:v>
      </x:c>
      <x:c r="R66" s="93" t="n">
        <x:v>16</x:v>
      </x:c>
      <x:c r="S66" s="14" t="str">
        <x:v>p. 100</x:v>
      </x:c>
      <x:c r="T66" s="14" t="str">
        <x:v>Figura 5.7.</x:v>
      </x:c>
      <x:c r="U66" s="14" t="str">
        <x:v>Plano de Gestão Proativa de Secas - Hidrossistema Rosário.pdf</x:v>
      </x:c>
    </x:row>
    <x:row r="67">
      <x:c r="A67" s="14" t="n">
        <x:v>22</x:v>
      </x:c>
      <x:c r="B67" s="14" t="str">
        <x:v>Rosário</x:v>
      </x:c>
      <x:c r="C67" s="14" t="str">
        <x:v>Cenário A (figura final nomeia Cenário 1)</x:v>
      </x:c>
      <x:c r="D67" s="18" t="n">
        <x:v>350</x:v>
      </x:c>
      <x:c r="E67" s="14" t="str">
        <x:v>VM3</x:v>
      </x:c>
      <x:c r="F67" s="14" t="str">
        <x:v>Limite Seca → Seca Severa</x:v>
      </x:c>
      <x:c r="G67" s="93" t="n">
        <x:v>8</x:v>
      </x:c>
      <x:c r="H67" s="93" t="n">
        <x:v>6</x:v>
      </x:c>
      <x:c r="I67" s="93" t="n">
        <x:v>5</x:v>
      </x:c>
      <x:c r="J67" s="93" t="n">
        <x:v>9</x:v>
      </x:c>
      <x:c r="K67" s="93" t="n">
        <x:v>13</x:v>
      </x:c>
      <x:c r="L67" s="93" t="n">
        <x:v>13</x:v>
      </x:c>
      <x:c r="M67" s="93" t="n">
        <x:v>27</x:v>
      </x:c>
      <x:c r="N67" s="93" t="n">
        <x:v>23</x:v>
      </x:c>
      <x:c r="O67" s="93" t="n">
        <x:v>20</x:v>
      </x:c>
      <x:c r="P67" s="93" t="n">
        <x:v>16</x:v>
      </x:c>
      <x:c r="Q67" s="93" t="n">
        <x:v>13</x:v>
      </x:c>
      <x:c r="R67" s="93" t="n">
        <x:v>10</x:v>
      </x:c>
      <x:c r="S67" s="14" t="str">
        <x:v>p. 100</x:v>
      </x:c>
      <x:c r="T67" s="14" t="str">
        <x:v>Figura 5.7.</x:v>
      </x:c>
      <x:c r="U67" s="14" t="str">
        <x:v>Plano de Gestão Proativa de Secas - Hidrossistema Rosário.pdf</x:v>
      </x:c>
    </x:row>
    <x:row r="68">
      <x:c r="A68" s="14" t="n">
        <x:v>23</x:v>
      </x:c>
      <x:c r="B68" s="14" t="str">
        <x:v>Santo Antônio de Russas</x:v>
      </x:c>
      <x:c r="C68" s="14" t="str">
        <x:v>Cenário 2 – 112 L/s</x:v>
      </x:c>
      <x:c r="D68" s="18" t="n">
        <x:v>112</x:v>
      </x:c>
      <x:c r="E68" s="14" t="str">
        <x:v>VM1</x:v>
      </x:c>
      <x:c r="F68" s="14" t="str">
        <x:v>Limite Normal → Alerta</x:v>
      </x:c>
      <x:c r="G68" s="93" t="n">
        <x:v>39</x:v>
      </x:c>
      <x:c r="H68" s="93" t="n">
        <x:v>35</x:v>
      </x:c>
      <x:c r="I68" s="93" t="n">
        <x:v>32</x:v>
      </x:c>
      <x:c r="J68" s="93" t="n">
        <x:v>33</x:v>
      </x:c>
      <x:c r="K68" s="93" t="n">
        <x:v>42</x:v>
      </x:c>
      <x:c r="L68" s="93" t="n">
        <x:v>45</x:v>
      </x:c>
      <x:c r="M68" s="93" t="n">
        <x:v>72</x:v>
      </x:c>
      <x:c r="N68" s="93" t="n">
        <x:v>68</x:v>
      </x:c>
      <x:c r="O68" s="93" t="n">
        <x:v>62</x:v>
      </x:c>
      <x:c r="P68" s="93" t="n">
        <x:v>56</x:v>
      </x:c>
      <x:c r="Q68" s="93" t="n">
        <x:v>50</x:v>
      </x:c>
      <x:c r="R68" s="93" t="n">
        <x:v>44</x:v>
      </x:c>
      <x:c r="S68" s="14" t="str">
        <x:v>p. 68</x:v>
      </x:c>
      <x:c r="T68" s="14" t="str">
        <x:v>A figura de 112 L/s é usada. A legenda chama de Cenário 1, mas a decisão textual identifica o escolhido como Cenário 2.</x:v>
      </x:c>
      <x:c r="U68" s="14" t="str">
        <x:v>Plano de Gestão Proativa de Secas - Hidrossistema Santo Antônio de Russas.pdf</x:v>
      </x:c>
    </x:row>
    <x:row r="69">
      <x:c r="A69" s="14" t="n">
        <x:v>23</x:v>
      </x:c>
      <x:c r="B69" s="14" t="str">
        <x:v>Santo Antônio de Russas</x:v>
      </x:c>
      <x:c r="C69" s="14" t="str">
        <x:v>Cenário 2 – 112 L/s</x:v>
      </x:c>
      <x:c r="D69" s="18" t="n">
        <x:v>112</x:v>
      </x:c>
      <x:c r="E69" s="14" t="str">
        <x:v>VM2</x:v>
      </x:c>
      <x:c r="F69" s="14" t="str">
        <x:v>Limite Alerta → Seca</x:v>
      </x:c>
      <x:c r="G69" s="93" t="n">
        <x:v>33</x:v>
      </x:c>
      <x:c r="H69" s="93" t="n">
        <x:v>29</x:v>
      </x:c>
      <x:c r="I69" s="93" t="n">
        <x:v>27</x:v>
      </x:c>
      <x:c r="J69" s="93" t="n">
        <x:v>27</x:v>
      </x:c>
      <x:c r="K69" s="93" t="n">
        <x:v>36</x:v>
      </x:c>
      <x:c r="L69" s="93" t="n">
        <x:v>40</x:v>
      </x:c>
      <x:c r="M69" s="93" t="n">
        <x:v>63</x:v>
      </x:c>
      <x:c r="N69" s="93" t="n">
        <x:v>59</x:v>
      </x:c>
      <x:c r="O69" s="93" t="n">
        <x:v>54</x:v>
      </x:c>
      <x:c r="P69" s="93" t="n">
        <x:v>48</x:v>
      </x:c>
      <x:c r="Q69" s="93" t="n">
        <x:v>43</x:v>
      </x:c>
      <x:c r="R69" s="93" t="n">
        <x:v>38</x:v>
      </x:c>
      <x:c r="S69" s="14" t="str">
        <x:v>p. 68</x:v>
      </x:c>
      <x:c r="T69" s="14" t="str">
        <x:v>A figura de 112 L/s é usada. A legenda chama de Cenário 1, mas a decisão textual identifica o escolhido como Cenário 2.</x:v>
      </x:c>
      <x:c r="U69" s="14" t="str">
        <x:v>Plano de Gestão Proativa de Secas - Hidrossistema Santo Antônio de Russas.pdf</x:v>
      </x:c>
    </x:row>
    <x:row r="70">
      <x:c r="A70" s="14" t="n">
        <x:v>23</x:v>
      </x:c>
      <x:c r="B70" s="14" t="str">
        <x:v>Santo Antônio de Russas</x:v>
      </x:c>
      <x:c r="C70" s="14" t="str">
        <x:v>Cenário 2 – 112 L/s</x:v>
      </x:c>
      <x:c r="D70" s="18" t="n">
        <x:v>112</x:v>
      </x:c>
      <x:c r="E70" s="14" t="str">
        <x:v>VM3</x:v>
      </x:c>
      <x:c r="F70" s="14" t="str">
        <x:v>Limite Seca → Seca Severa</x:v>
      </x:c>
      <x:c r="G70" s="93" t="n">
        <x:v>17</x:v>
      </x:c>
      <x:c r="H70" s="93" t="n">
        <x:v>15</x:v>
      </x:c>
      <x:c r="I70" s="93" t="n">
        <x:v>13</x:v>
      </x:c>
      <x:c r="J70" s="93" t="n">
        <x:v>14</x:v>
      </x:c>
      <x:c r="K70" s="93" t="n">
        <x:v>23</x:v>
      </x:c>
      <x:c r="L70" s="93" t="n">
        <x:v>27</x:v>
      </x:c>
      <x:c r="M70" s="93" t="n">
        <x:v>40</x:v>
      </x:c>
      <x:c r="N70" s="93" t="n">
        <x:v>37</x:v>
      </x:c>
      <x:c r="O70" s="93" t="n">
        <x:v>33</x:v>
      </x:c>
      <x:c r="P70" s="93" t="n">
        <x:v>29</x:v>
      </x:c>
      <x:c r="Q70" s="93" t="n">
        <x:v>25</x:v>
      </x:c>
      <x:c r="R70" s="93" t="n">
        <x:v>21</x:v>
      </x:c>
      <x:c r="S70" s="14" t="str">
        <x:v>p. 68</x:v>
      </x:c>
      <x:c r="T70" s="14" t="str">
        <x:v>A figura de 112 L/s é usada. A legenda chama de Cenário 1, mas a decisão textual identifica o escolhido como Cenário 2.</x:v>
      </x:c>
      <x:c r="U70" s="14" t="str">
        <x:v>Plano de Gestão Proativa de Secas - Hidrossistema Santo Antônio de Russas.pdf</x:v>
      </x:c>
    </x:row>
    <x:row r="71">
      <x:c r="A71" s="14" t="n">
        <x:v>24</x:v>
      </x:c>
      <x:c r="B71" s="14" t="str">
        <x:v>São José II</x:v>
      </x:c>
      <x:c r="C71" s="14" t="str">
        <x:v>Cenário A</x:v>
      </x:c>
      <x:c r="D71" s="18" t="n">
        <x:v>105</x:v>
      </x:c>
      <x:c r="E71" s="14" t="str">
        <x:v>VM1</x:v>
      </x:c>
      <x:c r="F71" s="14" t="str">
        <x:v>Limite Normal → Alerta</x:v>
      </x:c>
      <x:c r="G71" s="93" t="n">
        <x:v>23</x:v>
      </x:c>
      <x:c r="H71" s="93" t="n">
        <x:v>20</x:v>
      </x:c>
      <x:c r="I71" s="93" t="n">
        <x:v>19</x:v>
      </x:c>
      <x:c r="J71" s="93" t="n">
        <x:v>22</x:v>
      </x:c>
      <x:c r="K71" s="93" t="n">
        <x:v>28</x:v>
      </x:c>
      <x:c r="L71" s="93" t="n">
        <x:v>31</x:v>
      </x:c>
      <x:c r="M71" s="93" t="n">
        <x:v>48</x:v>
      </x:c>
      <x:c r="N71" s="93" t="n">
        <x:v>44</x:v>
      </x:c>
      <x:c r="O71" s="93" t="n">
        <x:v>39</x:v>
      </x:c>
      <x:c r="P71" s="93" t="n">
        <x:v>35</x:v>
      </x:c>
      <x:c r="Q71" s="93" t="n">
        <x:v>31</x:v>
      </x:c>
      <x:c r="R71" s="93" t="n">
        <x:v>27</x:v>
      </x:c>
      <x:c r="S71" s="14" t="str">
        <x:v>p. 86</x:v>
      </x:c>
      <x:c r="T71" s="14" t="str">
        <x:v>Figura 5.7.</x:v>
      </x:c>
      <x:c r="U71" s="14" t="str">
        <x:v>Plano de Gestão Proativa de Secas - Hidrossistema Sâo José II.pdf</x:v>
      </x:c>
    </x:row>
    <x:row r="72">
      <x:c r="A72" s="14" t="n">
        <x:v>24</x:v>
      </x:c>
      <x:c r="B72" s="14" t="str">
        <x:v>São José II</x:v>
      </x:c>
      <x:c r="C72" s="14" t="str">
        <x:v>Cenário A</x:v>
      </x:c>
      <x:c r="D72" s="18" t="n">
        <x:v>105</x:v>
      </x:c>
      <x:c r="E72" s="14" t="str">
        <x:v>VM2</x:v>
      </x:c>
      <x:c r="F72" s="14" t="str">
        <x:v>Limite Alerta → Seca</x:v>
      </x:c>
      <x:c r="G72" s="93" t="n">
        <x:v>9</x:v>
      </x:c>
      <x:c r="H72" s="93" t="n">
        <x:v>7</x:v>
      </x:c>
      <x:c r="I72" s="93" t="n">
        <x:v>6</x:v>
      </x:c>
      <x:c r="J72" s="93" t="n">
        <x:v>10</x:v>
      </x:c>
      <x:c r="K72" s="93" t="n">
        <x:v>16</x:v>
      </x:c>
      <x:c r="L72" s="93" t="n">
        <x:v>19</x:v>
      </x:c>
      <x:c r="M72" s="93" t="n">
        <x:v>30</x:v>
      </x:c>
      <x:c r="N72" s="93" t="n">
        <x:v>27</x:v>
      </x:c>
      <x:c r="O72" s="93" t="n">
        <x:v>23</x:v>
      </x:c>
      <x:c r="P72" s="93" t="n">
        <x:v>19</x:v>
      </x:c>
      <x:c r="Q72" s="93" t="n">
        <x:v>16</x:v>
      </x:c>
      <x:c r="R72" s="93" t="n">
        <x:v>12</x:v>
      </x:c>
      <x:c r="S72" s="14" t="str">
        <x:v>p. 86</x:v>
      </x:c>
      <x:c r="T72" s="14" t="str">
        <x:v>Figura 5.7.</x:v>
      </x:c>
      <x:c r="U72" s="14" t="str">
        <x:v>Plano de Gestão Proativa de Secas - Hidrossistema Sâo José II.pdf</x:v>
      </x:c>
    </x:row>
    <x:row r="73">
      <x:c r="A73" s="14" t="n">
        <x:v>24</x:v>
      </x:c>
      <x:c r="B73" s="14" t="str">
        <x:v>São José II</x:v>
      </x:c>
      <x:c r="C73" s="14" t="str">
        <x:v>Cenário A</x:v>
      </x:c>
      <x:c r="D73" s="18" t="n">
        <x:v>105</x:v>
      </x:c>
      <x:c r="E73" s="14" t="str">
        <x:v>VM3</x:v>
      </x:c>
      <x:c r="F73" s="14" t="str">
        <x:v>Limite Seca → Seca Severa</x:v>
      </x:c>
      <x:c r="G73" s="93" t="n">
        <x:v>8</x:v>
      </x:c>
      <x:c r="H73" s="93" t="n">
        <x:v>6</x:v>
      </x:c>
      <x:c r="I73" s="93" t="n">
        <x:v>5</x:v>
      </x:c>
      <x:c r="J73" s="93" t="n">
        <x:v>9</x:v>
      </x:c>
      <x:c r="K73" s="93" t="n">
        <x:v>15</x:v>
      </x:c>
      <x:c r="L73" s="93" t="n">
        <x:v>18</x:v>
      </x:c>
      <x:c r="M73" s="93" t="n">
        <x:v>28</x:v>
      </x:c>
      <x:c r="N73" s="93" t="n">
        <x:v>25</x:v>
      </x:c>
      <x:c r="O73" s="93" t="n">
        <x:v>21</x:v>
      </x:c>
      <x:c r="P73" s="93" t="n">
        <x:v>18</x:v>
      </x:c>
      <x:c r="Q73" s="93" t="n">
        <x:v>14</x:v>
      </x:c>
      <x:c r="R73" s="93" t="n">
        <x:v>11</x:v>
      </x:c>
      <x:c r="S73" s="14" t="str">
        <x:v>p. 86</x:v>
      </x:c>
      <x:c r="T73" s="14" t="str">
        <x:v>Figura 5.7.</x:v>
      </x:c>
      <x:c r="U73" s="14" t="str">
        <x:v>Plano de Gestão Proativa de Secas - Hidrossistema Sâo José II.pdf</x:v>
      </x:c>
    </x:row>
    <x:row r="74">
      <x:c r="A74" s="14" t="n">
        <x:v>25</x:v>
      </x:c>
      <x:c r="B74" s="14" t="str">
        <x:v>Umari</x:v>
      </x:c>
      <x:c r="C74" s="14" t="str">
        <x:v>Cenário B</x:v>
      </x:c>
      <x:c r="D74" s="18" t="n">
        <x:v>65</x:v>
      </x:c>
      <x:c r="E74" s="14" t="str">
        <x:v>VM1</x:v>
      </x:c>
      <x:c r="F74" s="14" t="str">
        <x:v>Limite Normal → Alerta</x:v>
      </x:c>
      <x:c r="G74" s="93" t="n">
        <x:v>39</x:v>
      </x:c>
      <x:c r="H74" s="93" t="n">
        <x:v>37</x:v>
      </x:c>
      <x:c r="I74" s="93" t="n">
        <x:v>37</x:v>
      </x:c>
      <x:c r="J74" s="93" t="n">
        <x:v>42</x:v>
      </x:c>
      <x:c r="K74" s="93" t="n">
        <x:v>54</x:v>
      </x:c>
      <x:c r="L74" s="93" t="n">
        <x:v>61</x:v>
      </x:c>
      <x:c r="M74" s="93" t="n">
        <x:v>59</x:v>
      </x:c>
      <x:c r="N74" s="93" t="n">
        <x:v>57</x:v>
      </x:c>
      <x:c r="O74" s="93" t="n">
        <x:v>53</x:v>
      </x:c>
      <x:c r="P74" s="93" t="n">
        <x:v>50</x:v>
      </x:c>
      <x:c r="Q74" s="93" t="n">
        <x:v>46</x:v>
      </x:c>
      <x:c r="R74" s="93" t="n">
        <x:v>42</x:v>
      </x:c>
      <x:c r="S74" s="14" t="str">
        <x:v>p. 86</x:v>
      </x:c>
      <x:c r="T74" s="14" t="str">
        <x:v>Figura 5.7.</x:v>
      </x:c>
      <x:c r="U74" s="14" t="str">
        <x:v>Plano de Gestão Proativa de Secas - Hidrossistema Umari.pdf</x:v>
      </x:c>
    </x:row>
    <x:row r="75">
      <x:c r="A75" s="14" t="n">
        <x:v>25</x:v>
      </x:c>
      <x:c r="B75" s="14" t="str">
        <x:v>Umari</x:v>
      </x:c>
      <x:c r="C75" s="14" t="str">
        <x:v>Cenário B</x:v>
      </x:c>
      <x:c r="D75" s="18" t="n">
        <x:v>65</x:v>
      </x:c>
      <x:c r="E75" s="14" t="str">
        <x:v>VM2</x:v>
      </x:c>
      <x:c r="F75" s="14" t="str">
        <x:v>Limite Alerta → Seca</x:v>
      </x:c>
      <x:c r="G75" s="93" t="n">
        <x:v>31</x:v>
      </x:c>
      <x:c r="H75" s="93" t="n">
        <x:v>30</x:v>
      </x:c>
      <x:c r="I75" s="93" t="n">
        <x:v>30</x:v>
      </x:c>
      <x:c r="J75" s="93" t="n">
        <x:v>35</x:v>
      </x:c>
      <x:c r="K75" s="93" t="n">
        <x:v>47</x:v>
      </x:c>
      <x:c r="L75" s="93" t="n">
        <x:v>52</x:v>
      </x:c>
      <x:c r="M75" s="93" t="n">
        <x:v>50</x:v>
      </x:c>
      <x:c r="N75" s="93" t="n">
        <x:v>48</x:v>
      </x:c>
      <x:c r="O75" s="93" t="n">
        <x:v>45</x:v>
      </x:c>
      <x:c r="P75" s="93" t="n">
        <x:v>41</x:v>
      </x:c>
      <x:c r="Q75" s="93" t="n">
        <x:v>38</x:v>
      </x:c>
      <x:c r="R75" s="93" t="n">
        <x:v>34</x:v>
      </x:c>
      <x:c r="S75" s="14" t="str">
        <x:v>p. 86</x:v>
      </x:c>
      <x:c r="T75" s="14" t="str">
        <x:v>Figura 5.7.</x:v>
      </x:c>
      <x:c r="U75" s="14" t="str">
        <x:v>Plano de Gestão Proativa de Secas - Hidrossistema Umari.pdf</x:v>
      </x:c>
    </x:row>
    <x:row r="76">
      <x:c r="A76" s="14" t="n">
        <x:v>25</x:v>
      </x:c>
      <x:c r="B76" s="14" t="str">
        <x:v>Umari</x:v>
      </x:c>
      <x:c r="C76" s="14" t="str">
        <x:v>Cenário B</x:v>
      </x:c>
      <x:c r="D76" s="18" t="n">
        <x:v>65</x:v>
      </x:c>
      <x:c r="E76" s="14" t="str">
        <x:v>VM3</x:v>
      </x:c>
      <x:c r="F76" s="14" t="str">
        <x:v>Limite Seca → Seca Severa</x:v>
      </x:c>
      <x:c r="G76" s="93" t="n">
        <x:v>16</x:v>
      </x:c>
      <x:c r="H76" s="93" t="n">
        <x:v>15</x:v>
      </x:c>
      <x:c r="I76" s="93" t="n">
        <x:v>16</x:v>
      </x:c>
      <x:c r="J76" s="93" t="n">
        <x:v>21</x:v>
      </x:c>
      <x:c r="K76" s="93" t="n">
        <x:v>33</x:v>
      </x:c>
      <x:c r="L76" s="93" t="n">
        <x:v>33</x:v>
      </x:c>
      <x:c r="M76" s="93" t="n">
        <x:v>31</x:v>
      </x:c>
      <x:c r="N76" s="93" t="n">
        <x:v>30</x:v>
      </x:c>
      <x:c r="O76" s="93" t="n">
        <x:v>27</x:v>
      </x:c>
      <x:c r="P76" s="93" t="n">
        <x:v>24</x:v>
      </x:c>
      <x:c r="Q76" s="93" t="n">
        <x:v>21</x:v>
      </x:c>
      <x:c r="R76" s="93" t="n">
        <x:v>19</x:v>
      </x:c>
      <x:c r="S76" s="14" t="str">
        <x:v>p. 86</x:v>
      </x:c>
      <x:c r="T76" s="14" t="str">
        <x:v>Figura 5.7.</x:v>
      </x:c>
      <x:c r="U76" s="14" t="str">
        <x:v>Plano de Gestão Proativa de Secas - Hidrossistema Umari.pdf</x:v>
      </x:c>
    </x:row>
    <x:row r="78">
      <x:c r="A78" s="97" t="str">
        <x:v>Como reproduzir no simulador: para cada hidrossistema, use as três linhas correspondentes. VM1 é o limite Normal→Alerta; VM2 é o limite Alerta→Seca; VM3 é o limite Seca→Seca Severa. Os valores foram armazenados como números inteiros de porcentagem (35 = 35%). Nos casos com inconsistência editorial, a coluna Observação informa qual figura do cenário final foi adotada.</x:v>
      </x:c>
      <x:c r="B78" s="97"/>
      <x:c r="C78" s="97"/>
      <x:c r="D78" s="97"/>
      <x:c r="E78" s="97"/>
      <x:c r="F78" s="97"/>
      <x:c r="G78" s="97"/>
      <x:c r="H78" s="97"/>
      <x:c r="I78" s="97"/>
      <x:c r="J78" s="97"/>
      <x:c r="K78" s="97"/>
      <x:c r="L78" s="97"/>
      <x:c r="M78" s="97"/>
      <x:c r="N78" s="97"/>
      <x:c r="O78" s="97"/>
      <x:c r="P78" s="97"/>
      <x:c r="Q78" s="97"/>
      <x:c r="R78" s="97"/>
      <x:c r="S78" s="97"/>
      <x:c r="T78" s="97"/>
      <x:c r="U78" s="97"/>
    </x:row>
    <x:row r="79">
      <x:c r="A79" s="97"/>
      <x:c r="B79" s="97"/>
      <x:c r="C79" s="97"/>
      <x:c r="D79" s="97"/>
      <x:c r="E79" s="97"/>
      <x:c r="F79" s="97"/>
      <x:c r="G79" s="97"/>
      <x:c r="H79" s="97"/>
      <x:c r="I79" s="97"/>
      <x:c r="J79" s="97"/>
      <x:c r="K79" s="97"/>
      <x:c r="L79" s="97"/>
      <x:c r="M79" s="97"/>
      <x:c r="N79" s="97"/>
      <x:c r="O79" s="97"/>
      <x:c r="P79" s="97"/>
      <x:c r="Q79" s="97"/>
      <x:c r="R79" s="97"/>
      <x:c r="S79" s="97"/>
      <x:c r="T79" s="97"/>
      <x:c r="U79" s="97"/>
    </x:row>
    <x:row r="80">
      <x:c r="A80" s="97"/>
      <x:c r="B80" s="97"/>
      <x:c r="C80" s="97"/>
      <x:c r="D80" s="97"/>
      <x:c r="E80" s="97"/>
      <x:c r="F80" s="97"/>
      <x:c r="G80" s="97"/>
      <x:c r="H80" s="97"/>
      <x:c r="I80" s="97"/>
      <x:c r="J80" s="97"/>
      <x:c r="K80" s="97"/>
      <x:c r="L80" s="97"/>
      <x:c r="M80" s="97"/>
      <x:c r="N80" s="97"/>
      <x:c r="O80" s="97"/>
      <x:c r="P80" s="97"/>
      <x:c r="Q80" s="97"/>
      <x:c r="R80" s="97"/>
      <x:c r="S80" s="97"/>
      <x:c r="T80" s="97"/>
      <x:c r="U80" s="97"/>
    </x:row>
  </x:sheetData>
  <x:mergeCells>
    <x:mergeCell ref="A78:U80"/>
  </x:mergeCells>
  <x:conditionalFormatting sqref="A2:U76">
    <x:cfRule type="expression" dxfId="6" priority="1">
      <x:formula>$E2="VM1"</x:formula>
    </x:cfRule>
    <x:cfRule type="expression" dxfId="7" priority="2">
      <x:formula>$E2="VM2"</x:formula>
    </x:cfRule>
    <x:cfRule type="expression" dxfId="8" priority="3">
      <x:formula>$E2="VM3"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59768a84de41d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8" hidden="0" customWidth="1"/>
    <x:col min="3" max="3" width="34" hidden="0" customWidth="1"/>
    <x:col min="4" max="4" width="15" hidden="0" customWidth="1"/>
    <x:col min="5" max="5" width="8" hidden="0" customWidth="1"/>
    <x:col min="6" max="6" width="17" hidden="0" customWidth="1"/>
    <x:col min="7" max="7" width="40" hidden="0" customWidth="1"/>
    <x:col min="8" max="8" width="18" hidden="0" customWidth="1"/>
    <x:col min="9" max="9" width="18" hidden="0" customWidth="1"/>
    <x:col min="10" max="10" width="22" hidden="0" customWidth="1"/>
    <x:col min="11" max="11" width="35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15" hidden="0" customWidth="1"/>
    <x:col min="25" max="25" width="66" hidden="0" customWidth="1"/>
    <x:col min="26" max="26" width="56" hidden="0" customWidth="1"/>
  </x:cols>
  <x:sheetData>
    <x:row r="1" ht="42" customHeight="1">
      <x:c r="A1" s="104" t="str">
        <x:v>Nº</x:v>
      </x:c>
      <x:c r="B1" s="104" t="str">
        <x:v>Hidrossistema</x:v>
      </x:c>
      <x:c r="C1" s="104" t="str">
        <x:v>Cenário/Regra escolhida</x:v>
      </x:c>
      <x:c r="D1" s="104" t="str">
        <x:v>Q normal base (L/s)</x:v>
      </x:c>
      <x:c r="E1" s="104" t="str">
        <x:v>Curva</x:v>
      </x:c>
      <x:c r="F1" s="104" t="str">
        <x:v>Estado acionado</x:v>
      </x:c>
      <x:c r="G1" s="104" t="str">
        <x:v>Racionamento oficial no PGPS</x:v>
      </x:c>
      <x:c r="H1" s="104" t="str">
        <x:v>Q do estado na figura (L/s)</x:v>
      </x:c>
      <x:c r="I1" s="104" t="str">
        <x:v>Racionamento equivalente (%)</x:v>
      </x:c>
      <x:c r="J1" s="104" t="str">
        <x:v>Racionamento recomendado no simulador (%)</x:v>
      </x:c>
      <x:c r="K1" s="104" t="str">
        <x:v>Método do valor recomendado</x:v>
      </x:c>
      <x:c r="L1" s="104" t="str">
        <x:v>JAN</x:v>
      </x:c>
      <x:c r="M1" s="104" t="str">
        <x:v>FEV</x:v>
      </x:c>
      <x:c r="N1" s="104" t="str">
        <x:v>MAR</x:v>
      </x:c>
      <x:c r="O1" s="104" t="str">
        <x:v>ABR</x:v>
      </x:c>
      <x:c r="P1" s="104" t="str">
        <x:v>MAI</x:v>
      </x:c>
      <x:c r="Q1" s="104" t="str">
        <x:v>JUN</x:v>
      </x:c>
      <x:c r="R1" s="104" t="str">
        <x:v>JUL</x:v>
      </x:c>
      <x:c r="S1" s="104" t="str">
        <x:v>AGO</x:v>
      </x:c>
      <x:c r="T1" s="104" t="str">
        <x:v>SET</x:v>
      </x:c>
      <x:c r="U1" s="104" t="str">
        <x:v>OUT</x:v>
      </x:c>
      <x:c r="V1" s="104" t="str">
        <x:v>NOV</x:v>
      </x:c>
      <x:c r="W1" s="104" t="str">
        <x:v>DEZ</x:v>
      </x:c>
      <x:c r="X1" s="104" t="str">
        <x:v>Página do PGPS</x:v>
      </x:c>
      <x:c r="Y1" s="104" t="str">
        <x:v>Observação consolidada</x:v>
      </x:c>
      <x:c r="Z1" s="104" t="str">
        <x:v>Arquivo-fonte</x:v>
      </x:c>
    </x:row>
    <x:row r="2">
      <x:c r="A2" s="14" t="n">
        <x:v>1</x:v>
      </x:c>
      <x:c r="B2" s="14" t="str">
        <x:v>Acarape do Meio</x:v>
      </x:c>
      <x:c r="C2" s="14" t="str">
        <x:v>Cenário ótimo/aprovado</x:v>
      </x:c>
      <x:c r="D2" s="14" t="n">
        <x:v>748</x:v>
      </x:c>
      <x:c r="E2" s="14" t="str">
        <x:v>VM1</x:v>
      </x:c>
      <x:c r="F2" s="14" t="str">
        <x:v>Alerta</x:v>
      </x:c>
      <x:c r="G2" s="14" t="str">
        <x:v>45%</x:v>
      </x:c>
      <x:c r="H2" s="14" t="n">
        <x:v>411</x:v>
      </x:c>
      <x:c r="I2" s="105" t="n">
        <x:f>IF(OR(D2="",H2=""),"",(D2-H2)/D2*100)</x:f>
        <x:v>45.05347593582888</x:v>
      </x:c>
      <x:c r="J2" s="107" t="n">
        <x:v>45</x:v>
      </x:c>
      <x:c r="K2" s="14" t="str">
        <x:v>Percentual explícito do PGPS</x:v>
      </x:c>
      <x:c r="L2" s="93" t="n">
        <x:v>35</x:v>
      </x:c>
      <x:c r="M2" s="93" t="n">
        <x:v>29</x:v>
      </x:c>
      <x:c r="N2" s="93" t="n">
        <x:v>24</x:v>
      </x:c>
      <x:c r="O2" s="93" t="n">
        <x:v>23</x:v>
      </x:c>
      <x:c r="P2" s="93" t="n">
        <x:v>32</x:v>
      </x:c>
      <x:c r="Q2" s="93" t="n">
        <x:v>40</x:v>
      </x:c>
      <x:c r="R2" s="93" t="n">
        <x:v>69</x:v>
      </x:c>
      <x:c r="S2" s="93" t="n">
        <x:v>65</x:v>
      </x:c>
      <x:c r="T2" s="93" t="n">
        <x:v>59</x:v>
      </x:c>
      <x:c r="U2" s="93" t="n">
        <x:v>53</x:v>
      </x:c>
      <x:c r="V2" s="93" t="n">
        <x:v>47</x:v>
      </x:c>
      <x:c r="W2" s="93" t="n">
        <x:v>41</x:v>
      </x:c>
      <x:c r="X2" s="14" t="str">
        <x:v>p. 54</x:v>
      </x:c>
      <x:c r="Y2" s="14" t="str">
        <x:v>A figura final mostra 748/411/374/359 L/s. Os percentuais explícitos do plano são 45/50/52%.</x:v>
      </x:c>
      <x:c r="Z2" s="14" t="str">
        <x:v>PLANO DE GESTÃO PROATIVA DE SECAS - HIDROSSISTEMA ACARAPE DO MEIO.pdf</x:v>
      </x:c>
    </x:row>
    <x:row r="3">
      <x:c r="A3" s="14" t="n">
        <x:v>1</x:v>
      </x:c>
      <x:c r="B3" s="14" t="str">
        <x:v>Acarape do Meio</x:v>
      </x:c>
      <x:c r="C3" s="14" t="str">
        <x:v>Cenário ótimo/aprovado</x:v>
      </x:c>
      <x:c r="D3" s="14" t="n">
        <x:v>748</x:v>
      </x:c>
      <x:c r="E3" s="14" t="str">
        <x:v>VM2</x:v>
      </x:c>
      <x:c r="F3" s="14" t="str">
        <x:v>Seca</x:v>
      </x:c>
      <x:c r="G3" s="14" t="str">
        <x:v>50%</x:v>
      </x:c>
      <x:c r="H3" s="14" t="n">
        <x:v>374</x:v>
      </x:c>
      <x:c r="I3" s="105" t="n">
        <x:f>IF(OR(D3="",H3=""),"",(D3-H3)/D3*100)</x:f>
        <x:v>50</x:v>
      </x:c>
      <x:c r="J3" s="107" t="n">
        <x:v>50</x:v>
      </x:c>
      <x:c r="K3" s="14" t="str">
        <x:v>Percentual explícito do PGPS</x:v>
      </x:c>
      <x:c r="L3" s="93" t="n">
        <x:v>25</x:v>
      </x:c>
      <x:c r="M3" s="93" t="n">
        <x:v>20</x:v>
      </x:c>
      <x:c r="N3" s="93" t="n">
        <x:v>15</x:v>
      </x:c>
      <x:c r="O3" s="93" t="n">
        <x:v>14</x:v>
      </x:c>
      <x:c r="P3" s="93" t="n">
        <x:v>23</x:v>
      </x:c>
      <x:c r="Q3" s="93" t="n">
        <x:v>31</x:v>
      </x:c>
      <x:c r="R3" s="93" t="n">
        <x:v>59</x:v>
      </x:c>
      <x:c r="S3" s="93" t="n">
        <x:v>55</x:v>
      </x:c>
      <x:c r="T3" s="93" t="n">
        <x:v>49</x:v>
      </x:c>
      <x:c r="U3" s="93" t="n">
        <x:v>43</x:v>
      </x:c>
      <x:c r="V3" s="93" t="n">
        <x:v>37</x:v>
      </x:c>
      <x:c r="W3" s="93" t="n">
        <x:v>31</x:v>
      </x:c>
      <x:c r="X3" s="14" t="str">
        <x:v>p. 54</x:v>
      </x:c>
      <x:c r="Y3" s="14" t="str">
        <x:v>A figura final mostra 748/411/374/359 L/s. Os percentuais explícitos do plano são 45/50/52%.</x:v>
      </x:c>
      <x:c r="Z3" s="14" t="str">
        <x:v>PLANO DE GESTÃO PROATIVA DE SECAS - HIDROSSISTEMA ACARAPE DO MEIO.pdf</x:v>
      </x:c>
    </x:row>
    <x:row r="4">
      <x:c r="A4" s="14" t="n">
        <x:v>1</x:v>
      </x:c>
      <x:c r="B4" s="14" t="str">
        <x:v>Acarape do Meio</x:v>
      </x:c>
      <x:c r="C4" s="14" t="str">
        <x:v>Cenário ótimo/aprovado</x:v>
      </x:c>
      <x:c r="D4" s="14" t="n">
        <x:v>748</x:v>
      </x:c>
      <x:c r="E4" s="14" t="str">
        <x:v>VM3</x:v>
      </x:c>
      <x:c r="F4" s="14" t="str">
        <x:v>Seca Severa</x:v>
      </x:c>
      <x:c r="G4" s="14" t="str">
        <x:v>52%</x:v>
      </x:c>
      <x:c r="H4" s="14" t="n">
        <x:v>359</x:v>
      </x:c>
      <x:c r="I4" s="105" t="n">
        <x:f>IF(OR(D4="",H4=""),"",(D4-H4)/D4*100)</x:f>
        <x:v>52.00534759358288</x:v>
      </x:c>
      <x:c r="J4" s="107" t="n">
        <x:v>52</x:v>
      </x:c>
      <x:c r="K4" s="14" t="str">
        <x:v>Percentual explícito do PGPS</x:v>
      </x:c>
      <x:c r="L4" s="93" t="n">
        <x:v>17</x:v>
      </x:c>
      <x:c r="M4" s="93" t="n">
        <x:v>11</x:v>
      </x:c>
      <x:c r="N4" s="93" t="n">
        <x:v>6</x:v>
      </x:c>
      <x:c r="O4" s="93" t="n">
        <x:v>5</x:v>
      </x:c>
      <x:c r="P4" s="93" t="n">
        <x:v>14</x:v>
      </x:c>
      <x:c r="Q4" s="93" t="n">
        <x:v>23</x:v>
      </x:c>
      <x:c r="R4" s="93" t="n">
        <x:v>50</x:v>
      </x:c>
      <x:c r="S4" s="93" t="n">
        <x:v>46</x:v>
      </x:c>
      <x:c r="T4" s="93" t="n">
        <x:v>41</x:v>
      </x:c>
      <x:c r="U4" s="93" t="n">
        <x:v>35</x:v>
      </x:c>
      <x:c r="V4" s="93" t="n">
        <x:v>29</x:v>
      </x:c>
      <x:c r="W4" s="93" t="n">
        <x:v>22</x:v>
      </x:c>
      <x:c r="X4" s="14" t="str">
        <x:v>p. 54</x:v>
      </x:c>
      <x:c r="Y4" s="14" t="str">
        <x:v>A figura final mostra 748/411/374/359 L/s. Os percentuais explícitos do plano são 45/50/52%.</x:v>
      </x:c>
      <x:c r="Z4" s="14" t="str">
        <x:v>PLANO DE GESTÃO PROATIVA DE SECAS - HIDROSSISTEMA ACARAPE DO MEIO.pdf</x:v>
      </x:c>
    </x:row>
    <x:row r="5">
      <x:c r="A5" s="14" t="n">
        <x:v>2</x:v>
      </x:c>
      <x:c r="B5" s="14" t="str">
        <x:v>Angicos</x:v>
      </x:c>
      <x:c r="C5" s="14" t="str">
        <x:v>Cenário escolhido – 300 L/s</x:v>
      </x:c>
      <x:c r="D5" s="14" t="n">
        <x:v>300</x:v>
      </x:c>
      <x:c r="E5" s="14" t="str">
        <x:v>VM1</x:v>
      </x:c>
      <x:c r="F5" s="14" t="str">
        <x:v>Alerta</x:v>
      </x:c>
      <x:c r="G5" s="14" t="str">
        <x:v>Tipo I 20%; Tipo II 50%</x:v>
      </x:c>
      <x:c r="H5" s="14" t="n">
        <x:v>120</x:v>
      </x:c>
      <x:c r="I5" s="105" t="n">
        <x:f>IF(OR(D5="",H5=""),"",(D5-H5)/D5*100)</x:f>
        <x:v>60</x:v>
      </x:c>
      <x:c r="J5" s="107" t="n">
        <x:v>60</x:v>
      </x:c>
      <x:c r="K5" s="14" t="str">
        <x:v>Equivalência pela vazão final da figura</x:v>
      </x:c>
      <x:c r="L5" s="93" t="n">
        <x:v>20</x:v>
      </x:c>
      <x:c r="M5" s="93" t="n">
        <x:v>17</x:v>
      </x:c>
      <x:c r="N5" s="93" t="n">
        <x:v>15</x:v>
      </x:c>
      <x:c r="O5" s="93" t="n">
        <x:v>15</x:v>
      </x:c>
      <x:c r="P5" s="93" t="n">
        <x:v>17</x:v>
      </x:c>
      <x:c r="Q5" s="93" t="n">
        <x:v>19</x:v>
      </x:c>
      <x:c r="R5" s="93" t="n">
        <x:v>38</x:v>
      </x:c>
      <x:c r="S5" s="93" t="n">
        <x:v>35</x:v>
      </x:c>
      <x:c r="T5" s="93" t="n">
        <x:v>32</x:v>
      </x:c>
      <x:c r="U5" s="93" t="n">
        <x:v>29</x:v>
      </x:c>
      <x:c r="V5" s="93" t="n">
        <x:v>25</x:v>
      </x:c>
      <x:c r="W5" s="93" t="n">
        <x:v>22</x:v>
      </x:c>
      <x:c r="X5" s="14" t="str">
        <x:v>p. 55</x:v>
      </x:c>
      <x:c r="Y5" s="14" t="str">
        <x:v>O cenário escolhido apresenta 300/120/60/30 L/s. Como o simulador usa um único percentual, usar 60/80/90%.</x:v>
      </x:c>
      <x:c r="Z5" s="14" t="str">
        <x:v>PLANO DE GESTÃO PROATIVA DE SECAS - HIDROSSISTEMA ANGICOS.pdf</x:v>
      </x:c>
    </x:row>
    <x:row r="6">
      <x:c r="A6" s="14" t="n">
        <x:v>2</x:v>
      </x:c>
      <x:c r="B6" s="14" t="str">
        <x:v>Angicos</x:v>
      </x:c>
      <x:c r="C6" s="14" t="str">
        <x:v>Cenário escolhido – 300 L/s</x:v>
      </x:c>
      <x:c r="D6" s="14" t="n">
        <x:v>300</x:v>
      </x:c>
      <x:c r="E6" s="14" t="str">
        <x:v>VM2</x:v>
      </x:c>
      <x:c r="F6" s="14" t="str">
        <x:v>Seca</x:v>
      </x:c>
      <x:c r="G6" s="14" t="str">
        <x:v>Tipo I 50%; Tipo II 100%</x:v>
      </x:c>
      <x:c r="H6" s="14" t="n">
        <x:v>60</x:v>
      </x:c>
      <x:c r="I6" s="105" t="n">
        <x:f>IF(OR(D6="",H6=""),"",(D6-H6)/D6*100)</x:f>
        <x:v>80</x:v>
      </x:c>
      <x:c r="J6" s="107" t="n">
        <x:v>80</x:v>
      </x:c>
      <x:c r="K6" s="14" t="str">
        <x:v>Equivalência pela vazão final da figura</x:v>
      </x:c>
      <x:c r="L6" s="93" t="n">
        <x:v>12</x:v>
      </x:c>
      <x:c r="M6" s="93" t="n">
        <x:v>10</x:v>
      </x:c>
      <x:c r="N6" s="93" t="n">
        <x:v>8</x:v>
      </x:c>
      <x:c r="O6" s="93" t="n">
        <x:v>9</x:v>
      </x:c>
      <x:c r="P6" s="93" t="n">
        <x:v>11</x:v>
      </x:c>
      <x:c r="Q6" s="93" t="n">
        <x:v>12</x:v>
      </x:c>
      <x:c r="R6" s="93" t="n">
        <x:v>29</x:v>
      </x:c>
      <x:c r="S6" s="93" t="n">
        <x:v>26</x:v>
      </x:c>
      <x:c r="T6" s="93" t="n">
        <x:v>24</x:v>
      </x:c>
      <x:c r="U6" s="93" t="n">
        <x:v>21</x:v>
      </x:c>
      <x:c r="V6" s="93" t="n">
        <x:v>18</x:v>
      </x:c>
      <x:c r="W6" s="93" t="n">
        <x:v>15</x:v>
      </x:c>
      <x:c r="X6" s="14" t="str">
        <x:v>p. 55</x:v>
      </x:c>
      <x:c r="Y6" s="14" t="str">
        <x:v>O cenário escolhido apresenta 300/120/60/30 L/s. Como o simulador usa um único percentual, usar 60/80/90%.</x:v>
      </x:c>
      <x:c r="Z6" s="14" t="str">
        <x:v>PLANO DE GESTÃO PROATIVA DE SECAS - HIDROSSISTEMA ANGICOS.pdf</x:v>
      </x:c>
    </x:row>
    <x:row r="7">
      <x:c r="A7" s="14" t="n">
        <x:v>2</x:v>
      </x:c>
      <x:c r="B7" s="14" t="str">
        <x:v>Angicos</x:v>
      </x:c>
      <x:c r="C7" s="14" t="str">
        <x:v>Cenário escolhido – 300 L/s</x:v>
      </x:c>
      <x:c r="D7" s="14" t="n">
        <x:v>300</x:v>
      </x:c>
      <x:c r="E7" s="14" t="str">
        <x:v>VM3</x:v>
      </x:c>
      <x:c r="F7" s="14" t="str">
        <x:v>Seca Severa</x:v>
      </x:c>
      <x:c r="G7" s="14" t="str">
        <x:v>Tipo I 100%; Tipo II 100%</x:v>
      </x:c>
      <x:c r="H7" s="14" t="n">
        <x:v>30</x:v>
      </x:c>
      <x:c r="I7" s="105" t="n">
        <x:f>IF(OR(D7="",H7=""),"",(D7-H7)/D7*100)</x:f>
        <x:v>90</x:v>
      </x:c>
      <x:c r="J7" s="107" t="n">
        <x:v>90</x:v>
      </x:c>
      <x:c r="K7" s="14" t="str">
        <x:v>Equivalência pela vazão final da figura</x:v>
      </x:c>
      <x:c r="L7" s="93" t="n">
        <x:v>9</x:v>
      </x:c>
      <x:c r="M7" s="93" t="n">
        <x:v>7</x:v>
      </x:c>
      <x:c r="N7" s="93" t="n">
        <x:v>5</x:v>
      </x:c>
      <x:c r="O7" s="93" t="n">
        <x:v>5</x:v>
      </x:c>
      <x:c r="P7" s="93" t="n">
        <x:v>8</x:v>
      </x:c>
      <x:c r="Q7" s="93" t="n">
        <x:v>9</x:v>
      </x:c>
      <x:c r="R7" s="93" t="n">
        <x:v>24</x:v>
      </x:c>
      <x:c r="S7" s="93" t="n">
        <x:v>22</x:v>
      </x:c>
      <x:c r="T7" s="93" t="n">
        <x:v>19</x:v>
      </x:c>
      <x:c r="U7" s="93" t="n">
        <x:v>16</x:v>
      </x:c>
      <x:c r="V7" s="93" t="n">
        <x:v>14</x:v>
      </x:c>
      <x:c r="W7" s="93" t="n">
        <x:v>11</x:v>
      </x:c>
      <x:c r="X7" s="14" t="str">
        <x:v>p. 55</x:v>
      </x:c>
      <x:c r="Y7" s="14" t="str">
        <x:v>O cenário escolhido apresenta 300/120/60/30 L/s. Como o simulador usa um único percentual, usar 60/80/90%.</x:v>
      </x:c>
      <x:c r="Z7" s="14" t="str">
        <x:v>PLANO DE GESTÃO PROATIVA DE SECAS - HIDROSSISTEMA ANGICOS.pdf</x:v>
      </x:c>
    </x:row>
    <x:row r="8">
      <x:c r="A8" s="14" t="n">
        <x:v>3</x:v>
      </x:c>
      <x:c r="B8" s="14" t="str">
        <x:v>Arneiroz II</x:v>
      </x:c>
      <x:c r="C8" s="14" t="str">
        <x:v>Regra 1</x:v>
      </x:c>
      <x:c r="D8" s="14" t="n">
        <x:v>700</x:v>
      </x:c>
      <x:c r="E8" s="14" t="str">
        <x:v>VM1</x:v>
      </x:c>
      <x:c r="F8" s="14" t="str">
        <x:v>Alerta</x:v>
      </x:c>
      <x:c r="G8" s="14" t="str">
        <x:v>27%</x:v>
      </x:c>
      <x:c r="H8" s="14" t="n">
        <x:v>511</x:v>
      </x:c>
      <x:c r="I8" s="105" t="n">
        <x:f>IF(OR(D8="",H8=""),"",(D8-H8)/D8*100)</x:f>
        <x:v>27</x:v>
      </x:c>
      <x:c r="J8" s="107" t="n">
        <x:v>27</x:v>
      </x:c>
      <x:c r="K8" s="14" t="str">
        <x:v>Percentual explícito; Seca Severa corrigida pela figura final</x:v>
      </x:c>
      <x:c r="L8" s="93" t="n">
        <x:v>30</x:v>
      </x:c>
      <x:c r="M8" s="93" t="n">
        <x:v>28</x:v>
      </x:c>
      <x:c r="N8" s="93" t="n">
        <x:v>26</x:v>
      </x:c>
      <x:c r="O8" s="93" t="n">
        <x:v>26</x:v>
      </x:c>
      <x:c r="P8" s="93" t="n">
        <x:v>28</x:v>
      </x:c>
      <x:c r="Q8" s="93" t="n">
        <x:v>28</x:v>
      </x:c>
      <x:c r="R8" s="93" t="n">
        <x:v>44</x:v>
      </x:c>
      <x:c r="S8" s="93" t="n">
        <x:v>42</x:v>
      </x:c>
      <x:c r="T8" s="93" t="n">
        <x:v>40</x:v>
      </x:c>
      <x:c r="U8" s="93" t="n">
        <x:v>37</x:v>
      </x:c>
      <x:c r="V8" s="93" t="n">
        <x:v>35</x:v>
      </x:c>
      <x:c r="W8" s="93" t="n">
        <x:v>32</x:v>
      </x:c>
      <x:c r="X8" s="14" t="str">
        <x:v>p. 59</x:v>
      </x:c>
      <x:c r="Y8" s="14" t="str">
        <x:v>Há inconsistência documental: o texto cita 20% em Seca Severa, mas a figura final indica 140 L/s sobre 700 L/s, equivalente a 80%.</x:v>
      </x:c>
      <x:c r="Z8" s="14" t="str">
        <x:v>PLANO DE GESTÃO PROATIVA DE SECAS - HIDROSSISTEMA ARNEIROZ II.pdf</x:v>
      </x:c>
    </x:row>
    <x:row r="9">
      <x:c r="A9" s="14" t="n">
        <x:v>3</x:v>
      </x:c>
      <x:c r="B9" s="14" t="str">
        <x:v>Arneiroz II</x:v>
      </x:c>
      <x:c r="C9" s="14" t="str">
        <x:v>Regra 1</x:v>
      </x:c>
      <x:c r="D9" s="14" t="n">
        <x:v>700</x:v>
      </x:c>
      <x:c r="E9" s="14" t="str">
        <x:v>VM2</x:v>
      </x:c>
      <x:c r="F9" s="14" t="str">
        <x:v>Seca</x:v>
      </x:c>
      <x:c r="G9" s="14" t="str">
        <x:v>68%</x:v>
      </x:c>
      <x:c r="H9" s="14" t="n">
        <x:v>224</x:v>
      </x:c>
      <x:c r="I9" s="105" t="n">
        <x:f>IF(OR(D9="",H9=""),"",(D9-H9)/D9*100)</x:f>
        <x:v>68</x:v>
      </x:c>
      <x:c r="J9" s="107" t="n">
        <x:v>68</x:v>
      </x:c>
      <x:c r="K9" s="14" t="str">
        <x:v>Percentual explícito; Seca Severa corrigida pela figura final</x:v>
      </x:c>
      <x:c r="L9" s="93" t="n">
        <x:v>23</x:v>
      </x:c>
      <x:c r="M9" s="93" t="n">
        <x:v>22</x:v>
      </x:c>
      <x:c r="N9" s="93" t="n">
        <x:v>20</x:v>
      </x:c>
      <x:c r="O9" s="93" t="n">
        <x:v>20</x:v>
      </x:c>
      <x:c r="P9" s="93" t="n">
        <x:v>22</x:v>
      </x:c>
      <x:c r="Q9" s="93" t="n">
        <x:v>22</x:v>
      </x:c>
      <x:c r="R9" s="93" t="n">
        <x:v>36</x:v>
      </x:c>
      <x:c r="S9" s="93" t="n">
        <x:v>34</x:v>
      </x:c>
      <x:c r="T9" s="93" t="n">
        <x:v>32</x:v>
      </x:c>
      <x:c r="U9" s="93" t="n">
        <x:v>30</x:v>
      </x:c>
      <x:c r="V9" s="93" t="n">
        <x:v>27</x:v>
      </x:c>
      <x:c r="W9" s="93" t="n">
        <x:v>25</x:v>
      </x:c>
      <x:c r="X9" s="14" t="str">
        <x:v>p. 59</x:v>
      </x:c>
      <x:c r="Y9" s="14" t="str">
        <x:v>Há inconsistência documental: o texto cita 20% em Seca Severa, mas a figura final indica 140 L/s sobre 700 L/s, equivalente a 80%.</x:v>
      </x:c>
      <x:c r="Z9" s="14" t="str">
        <x:v>PLANO DE GESTÃO PROATIVA DE SECAS - HIDROSSISTEMA ARNEIROZ II.pdf</x:v>
      </x:c>
    </x:row>
    <x:row r="10">
      <x:c r="A10" s="14" t="n">
        <x:v>3</x:v>
      </x:c>
      <x:c r="B10" s="14" t="str">
        <x:v>Arneiroz II</x:v>
      </x:c>
      <x:c r="C10" s="14" t="str">
        <x:v>Regra 1</x:v>
      </x:c>
      <x:c r="D10" s="14" t="n">
        <x:v>700</x:v>
      </x:c>
      <x:c r="E10" s="14" t="str">
        <x:v>VM3</x:v>
      </x:c>
      <x:c r="F10" s="14" t="str">
        <x:v>Seca Severa</x:v>
      </x:c>
      <x:c r="G10" s="14" t="str">
        <x:v>Texto: 20%; figura final: 140 L/s (80%)</x:v>
      </x:c>
      <x:c r="H10" s="14" t="n">
        <x:v>140</x:v>
      </x:c>
      <x:c r="I10" s="105" t="n">
        <x:f>IF(OR(D10="",H10=""),"",(D10-H10)/D10*100)</x:f>
        <x:v>80</x:v>
      </x:c>
      <x:c r="J10" s="107" t="n">
        <x:v>80</x:v>
      </x:c>
      <x:c r="K10" s="14" t="str">
        <x:v>Percentual explícito; Seca Severa corrigida pela figura final</x:v>
      </x:c>
      <x:c r="L10" s="93" t="n">
        <x:v>12</x:v>
      </x:c>
      <x:c r="M10" s="93" t="n">
        <x:v>11</x:v>
      </x:c>
      <x:c r="N10" s="93" t="n">
        <x:v>10</x:v>
      </x:c>
      <x:c r="O10" s="93" t="n">
        <x:v>10</x:v>
      </x:c>
      <x:c r="P10" s="93" t="n">
        <x:v>12</x:v>
      </x:c>
      <x:c r="Q10" s="93" t="n">
        <x:v>12</x:v>
      </x:c>
      <x:c r="R10" s="93" t="n">
        <x:v>22</x:v>
      </x:c>
      <x:c r="S10" s="93" t="n">
        <x:v>21</x:v>
      </x:c>
      <x:c r="T10" s="93" t="n">
        <x:v>19</x:v>
      </x:c>
      <x:c r="U10" s="93" t="n">
        <x:v>18</x:v>
      </x:c>
      <x:c r="V10" s="93" t="n">
        <x:v>16</x:v>
      </x:c>
      <x:c r="W10" s="93" t="n">
        <x:v>14</x:v>
      </x:c>
      <x:c r="X10" s="14" t="str">
        <x:v>p. 59</x:v>
      </x:c>
      <x:c r="Y10" s="14" t="str">
        <x:v>Há inconsistência documental: o texto cita 20% em Seca Severa, mas a figura final indica 140 L/s sobre 700 L/s, equivalente a 80%.</x:v>
      </x:c>
      <x:c r="Z10" s="14" t="str">
        <x:v>PLANO DE GESTÃO PROATIVA DE SECAS - HIDROSSISTEMA ARNEIROZ II.pdf</x:v>
      </x:c>
    </x:row>
    <x:row r="11">
      <x:c r="A11" s="14" t="n">
        <x:v>4</x:v>
      </x:c>
      <x:c r="B11" s="14" t="str">
        <x:v>Catucinzenta / Lagoa do Catu</x:v>
      </x:c>
      <x:c r="C11" s="14" t="str">
        <x:v>Possibilidade 1 – 87 L/s</x:v>
      </x:c>
      <x:c r="D11" s="14" t="n">
        <x:v>87</x:v>
      </x:c>
      <x:c r="E11" s="14" t="str">
        <x:v>VM1</x:v>
      </x:c>
      <x:c r="F11" s="14" t="str">
        <x:v>Alerta</x:v>
      </x:c>
      <x:c r="G11" s="14" t="str">
        <x:v>20%</x:v>
      </x:c>
      <x:c r="H11" s="14" t="n">
        <x:v>68</x:v>
      </x:c>
      <x:c r="I11" s="105" t="n">
        <x:f>IF(OR(D11="",H11=""),"",(D11-H11)/D11*100)</x:f>
        <x:v>21.839080459770116</x:v>
      </x:c>
      <x:c r="J11" s="107" t="n">
        <x:v>20</x:v>
      </x:c>
      <x:c r="K11" s="14" t="str">
        <x:v>Percentual explícito do Racionamento 1</x:v>
      </x:c>
      <x:c r="L11" s="93" t="n">
        <x:v>16</x:v>
      </x:c>
      <x:c r="M11" s="93" t="n">
        <x:v>15</x:v>
      </x:c>
      <x:c r="N11" s="93" t="n">
        <x:v>14</x:v>
      </x:c>
      <x:c r="O11" s="93" t="n">
        <x:v>15</x:v>
      </x:c>
      <x:c r="P11" s="93" t="n">
        <x:v>17</x:v>
      </x:c>
      <x:c r="Q11" s="93" t="n">
        <x:v>18</x:v>
      </x:c>
      <x:c r="R11" s="93" t="n">
        <x:v>26</x:v>
      </x:c>
      <x:c r="S11" s="93" t="n">
        <x:v>24</x:v>
      </x:c>
      <x:c r="T11" s="93" t="n">
        <x:v>23</x:v>
      </x:c>
      <x:c r="U11" s="93" t="n">
        <x:v>21</x:v>
      </x:c>
      <x:c r="V11" s="93" t="n">
        <x:v>19</x:v>
      </x:c>
      <x:c r="W11" s="93" t="n">
        <x:v>18</x:v>
      </x:c>
      <x:c r="X11" s="14" t="str">
        <x:v>p. 62</x:v>
      </x:c>
      <x:c r="Y11" s="14" t="str">
        <x:v>A figura arredonda as vazões para 68/59/51 L/s; para reproduzir a regra definida no PGPS, usar 20/30/40%.</x:v>
      </x:c>
      <x:c r="Z11" s="14" t="str">
        <x:v>PLANO DE GESTÃO PROATIVA DE SECAS - HIDROSSISTEMA CATUCINZENTA LAGOA DO CATU (1).pdf</x:v>
      </x:c>
    </x:row>
    <x:row r="12">
      <x:c r="A12" s="14" t="n">
        <x:v>4</x:v>
      </x:c>
      <x:c r="B12" s="14" t="str">
        <x:v>Catucinzenta / Lagoa do Catu</x:v>
      </x:c>
      <x:c r="C12" s="14" t="str">
        <x:v>Possibilidade 1 – 87 L/s</x:v>
      </x:c>
      <x:c r="D12" s="14" t="n">
        <x:v>87</x:v>
      </x:c>
      <x:c r="E12" s="14" t="str">
        <x:v>VM2</x:v>
      </x:c>
      <x:c r="F12" s="14" t="str">
        <x:v>Seca</x:v>
      </x:c>
      <x:c r="G12" s="14" t="str">
        <x:v>30%</x:v>
      </x:c>
      <x:c r="H12" s="14" t="n">
        <x:v>59</x:v>
      </x:c>
      <x:c r="I12" s="105" t="n">
        <x:f>IF(OR(D12="",H12=""),"",(D12-H12)/D12*100)</x:f>
        <x:v>32.18390804597701</x:v>
      </x:c>
      <x:c r="J12" s="107" t="n">
        <x:v>30</x:v>
      </x:c>
      <x:c r="K12" s="14" t="str">
        <x:v>Percentual explícito do Racionamento 1</x:v>
      </x:c>
      <x:c r="L12" s="93" t="n">
        <x:v>10</x:v>
      </x:c>
      <x:c r="M12" s="93" t="n">
        <x:v>9</x:v>
      </x:c>
      <x:c r="N12" s="93" t="n">
        <x:v>8</x:v>
      </x:c>
      <x:c r="O12" s="93" t="n">
        <x:v>9</x:v>
      </x:c>
      <x:c r="P12" s="93" t="n">
        <x:v>11</x:v>
      </x:c>
      <x:c r="Q12" s="93" t="n">
        <x:v>12</x:v>
      </x:c>
      <x:c r="R12" s="93" t="n">
        <x:v>18</x:v>
      </x:c>
      <x:c r="S12" s="93" t="n">
        <x:v>17</x:v>
      </x:c>
      <x:c r="T12" s="93" t="n">
        <x:v>16</x:v>
      </x:c>
      <x:c r="U12" s="93" t="n">
        <x:v>14</x:v>
      </x:c>
      <x:c r="V12" s="93" t="n">
        <x:v>13</x:v>
      </x:c>
      <x:c r="W12" s="93" t="n">
        <x:v>11</x:v>
      </x:c>
      <x:c r="X12" s="14" t="str">
        <x:v>p. 62</x:v>
      </x:c>
      <x:c r="Y12" s="14" t="str">
        <x:v>A figura arredonda as vazões para 68/59/51 L/s; para reproduzir a regra definida no PGPS, usar 20/30/40%.</x:v>
      </x:c>
      <x:c r="Z12" s="14" t="str">
        <x:v>PLANO DE GESTÃO PROATIVA DE SECAS - HIDROSSISTEMA CATUCINZENTA LAGOA DO CATU (1).pdf</x:v>
      </x:c>
    </x:row>
    <x:row r="13">
      <x:c r="A13" s="14" t="n">
        <x:v>4</x:v>
      </x:c>
      <x:c r="B13" s="14" t="str">
        <x:v>Catucinzenta / Lagoa do Catu</x:v>
      </x:c>
      <x:c r="C13" s="14" t="str">
        <x:v>Possibilidade 1 – 87 L/s</x:v>
      </x:c>
      <x:c r="D13" s="14" t="n">
        <x:v>87</x:v>
      </x:c>
      <x:c r="E13" s="14" t="str">
        <x:v>VM3</x:v>
      </x:c>
      <x:c r="F13" s="14" t="str">
        <x:v>Seca Severa</x:v>
      </x:c>
      <x:c r="G13" s="14" t="str">
        <x:v>40%</x:v>
      </x:c>
      <x:c r="H13" s="14" t="n">
        <x:v>51</x:v>
      </x:c>
      <x:c r="I13" s="105" t="n">
        <x:f>IF(OR(D13="",H13=""),"",(D13-H13)/D13*100)</x:f>
        <x:v>41.37931034482759</x:v>
      </x:c>
      <x:c r="J13" s="107" t="n">
        <x:v>40</x:v>
      </x:c>
      <x:c r="K13" s="14" t="str">
        <x:v>Percentual explícito do Racionamento 1</x:v>
      </x:c>
      <x:c r="L13" s="93" t="n">
        <x:v>6</x:v>
      </x:c>
      <x:c r="M13" s="93" t="n">
        <x:v>6</x:v>
      </x:c>
      <x:c r="N13" s="93" t="n">
        <x:v>5</x:v>
      </x:c>
      <x:c r="O13" s="93" t="n">
        <x:v>6</x:v>
      </x:c>
      <x:c r="P13" s="93" t="n">
        <x:v>8</x:v>
      </x:c>
      <x:c r="Q13" s="93" t="n">
        <x:v>9</x:v>
      </x:c>
      <x:c r="R13" s="93" t="n">
        <x:v>14</x:v>
      </x:c>
      <x:c r="S13" s="93" t="n">
        <x:v>13</x:v>
      </x:c>
      <x:c r="T13" s="93" t="n">
        <x:v>12</x:v>
      </x:c>
      <x:c r="U13" s="93" t="n">
        <x:v>11</x:v>
      </x:c>
      <x:c r="V13" s="93" t="n">
        <x:v>9</x:v>
      </x:c>
      <x:c r="W13" s="93" t="n">
        <x:v>8</x:v>
      </x:c>
      <x:c r="X13" s="14" t="str">
        <x:v>p. 62</x:v>
      </x:c>
      <x:c r="Y13" s="14" t="str">
        <x:v>A figura arredonda as vazões para 68/59/51 L/s; para reproduzir a regra definida no PGPS, usar 20/30/40%.</x:v>
      </x:c>
      <x:c r="Z13" s="14" t="str">
        <x:v>PLANO DE GESTÃO PROATIVA DE SECAS - HIDROSSISTEMA CATUCINZENTA LAGOA DO CATU (1).pdf</x:v>
      </x:c>
    </x:row>
    <x:row r="14">
      <x:c r="A14" s="14" t="n">
        <x:v>5</x:v>
      </x:c>
      <x:c r="B14" s="14" t="str">
        <x:v>Pedras Brancas</x:v>
      </x:c>
      <x:c r="C14" s="14" t="str">
        <x:v>Cenário A escolhido (ajustado)</x:v>
      </x:c>
      <x:c r="D14" s="14" t="n">
        <x:v>415</x:v>
      </x:c>
      <x:c r="E14" s="14" t="str">
        <x:v>VM1</x:v>
      </x:c>
      <x:c r="F14" s="14" t="str">
        <x:v>Alerta</x:v>
      </x:c>
      <x:c r="G14" s="14" t="str">
        <x:v>Tipo I 0%; Tipo II 47%</x:v>
      </x:c>
      <x:c r="H14" s="14" t="n">
        <x:v>290</x:v>
      </x:c>
      <x:c r="I14" s="105" t="n">
        <x:f>IF(OR(D14="",H14=""),"",(D14-H14)/D14*100)</x:f>
        <x:v>30.120481927710845</x:v>
      </x:c>
      <x:c r="J14" s="107" t="n">
        <x:f>I14</x:f>
        <x:v>30.120481927710845</x:v>
      </x:c>
      <x:c r="K14" s="14" t="str">
        <x:v>Equivalência pela vazão final ajustada</x:v>
      </x:c>
      <x:c r="L14" s="93" t="n">
        <x:v>15</x:v>
      </x:c>
      <x:c r="M14" s="93" t="n">
        <x:v>14</x:v>
      </x:c>
      <x:c r="N14" s="93" t="n">
        <x:v>14</x:v>
      </x:c>
      <x:c r="O14" s="93" t="n">
        <x:v>13</x:v>
      </x:c>
      <x:c r="P14" s="93" t="n">
        <x:v>14</x:v>
      </x:c>
      <x:c r="Q14" s="93" t="n">
        <x:v>14</x:v>
      </x:c>
      <x:c r="R14" s="93" t="n">
        <x:v>22</x:v>
      </x:c>
      <x:c r="S14" s="93" t="n">
        <x:v>21</x:v>
      </x:c>
      <x:c r="T14" s="93" t="n">
        <x:v>20</x:v>
      </x:c>
      <x:c r="U14" s="93" t="n">
        <x:v>19</x:v>
      </x:c>
      <x:c r="V14" s="93" t="n">
        <x:v>18</x:v>
      </x:c>
      <x:c r="W14" s="93" t="n">
        <x:v>17</x:v>
      </x:c>
      <x:c r="X14" s="14" t="str">
        <x:v>p. 90</x:v>
      </x:c>
      <x:c r="Y14" s="14" t="str">
        <x:v>Cenário A final ajustado pela Comissão Gestora. Usar equivalência calculada com 415/290/230/137 L/s.</x:v>
      </x:c>
      <x:c r="Z14" s="14" t="str">
        <x:v>PLANO DE GESTÃO PROATIVA DE SECAS - HIDROSSISTEMA PEDRAS BRANCAS.pdf</x:v>
      </x:c>
    </x:row>
    <x:row r="15">
      <x:c r="A15" s="14" t="n">
        <x:v>5</x:v>
      </x:c>
      <x:c r="B15" s="14" t="str">
        <x:v>Pedras Brancas</x:v>
      </x:c>
      <x:c r="C15" s="14" t="str">
        <x:v>Cenário A escolhido (ajustado)</x:v>
      </x:c>
      <x:c r="D15" s="14" t="n">
        <x:v>415</x:v>
      </x:c>
      <x:c r="E15" s="14" t="str">
        <x:v>VM2</x:v>
      </x:c>
      <x:c r="F15" s="14" t="str">
        <x:v>Seca</x:v>
      </x:c>
      <x:c r="G15" s="14" t="str">
        <x:v>Tipo I 0%; Tipo II 74%</x:v>
      </x:c>
      <x:c r="H15" s="14" t="n">
        <x:v>230</x:v>
      </x:c>
      <x:c r="I15" s="105" t="n">
        <x:f>IF(OR(D15="",H15=""),"",(D15-H15)/D15*100)</x:f>
        <x:v>44.57831325301205</x:v>
      </x:c>
      <x:c r="J15" s="107" t="n">
        <x:f>I15</x:f>
        <x:v>44.57831325301205</x:v>
      </x:c>
      <x:c r="K15" s="14" t="str">
        <x:v>Equivalência pela vazão final ajustada</x:v>
      </x:c>
      <x:c r="L15" s="93" t="n">
        <x:v>9</x:v>
      </x:c>
      <x:c r="M15" s="93" t="n">
        <x:v>8</x:v>
      </x:c>
      <x:c r="N15" s="93" t="n">
        <x:v>8</x:v>
      </x:c>
      <x:c r="O15" s="93" t="n">
        <x:v>7</x:v>
      </x:c>
      <x:c r="P15" s="93" t="n">
        <x:v>8</x:v>
      </x:c>
      <x:c r="Q15" s="93" t="n">
        <x:v>8</x:v>
      </x:c>
      <x:c r="R15" s="93" t="n">
        <x:v>14</x:v>
      </x:c>
      <x:c r="S15" s="93" t="n">
        <x:v>14</x:v>
      </x:c>
      <x:c r="T15" s="93" t="n">
        <x:v>13</x:v>
      </x:c>
      <x:c r="U15" s="93" t="n">
        <x:v>12</x:v>
      </x:c>
      <x:c r="V15" s="93" t="n">
        <x:v>11</x:v>
      </x:c>
      <x:c r="W15" s="93" t="n">
        <x:v>10</x:v>
      </x:c>
      <x:c r="X15" s="14" t="str">
        <x:v>p. 90</x:v>
      </x:c>
      <x:c r="Y15" s="14" t="str">
        <x:v>Cenário A final ajustado pela Comissão Gestora. Usar equivalência calculada com 415/290/230/137 L/s.</x:v>
      </x:c>
      <x:c r="Z15" s="14" t="str">
        <x:v>PLANO DE GESTÃO PROATIVA DE SECAS - HIDROSSISTEMA PEDRAS BRANCAS.pdf</x:v>
      </x:c>
    </x:row>
    <x:row r="16">
      <x:c r="A16" s="14" t="n">
        <x:v>5</x:v>
      </x:c>
      <x:c r="B16" s="14" t="str">
        <x:v>Pedras Brancas</x:v>
      </x:c>
      <x:c r="C16" s="14" t="str">
        <x:v>Cenário A escolhido (ajustado)</x:v>
      </x:c>
      <x:c r="D16" s="14" t="n">
        <x:v>415</x:v>
      </x:c>
      <x:c r="E16" s="14" t="str">
        <x:v>VM3</x:v>
      </x:c>
      <x:c r="F16" s="14" t="str">
        <x:v>Seca Severa</x:v>
      </x:c>
      <x:c r="G16" s="14" t="str">
        <x:v>Tipo I 9%; Tipo II 100%</x:v>
      </x:c>
      <x:c r="H16" s="14" t="n">
        <x:v>137</x:v>
      </x:c>
      <x:c r="I16" s="105" t="n">
        <x:f>IF(OR(D16="",H16=""),"",(D16-H16)/D16*100)</x:f>
        <x:v>66.98795180722892</x:v>
      </x:c>
      <x:c r="J16" s="107" t="n">
        <x:f>I16</x:f>
        <x:v>66.98795180722892</x:v>
      </x:c>
      <x:c r="K16" s="14" t="str">
        <x:v>Equivalência pela vazão final ajustada</x:v>
      </x:c>
      <x:c r="L16" s="93" t="n">
        <x:v>6</x:v>
      </x:c>
      <x:c r="M16" s="93" t="n">
        <x:v>6</x:v>
      </x:c>
      <x:c r="N16" s="93" t="n">
        <x:v>5</x:v>
      </x:c>
      <x:c r="O16" s="93" t="n">
        <x:v>5</x:v>
      </x:c>
      <x:c r="P16" s="93" t="n">
        <x:v>6</x:v>
      </x:c>
      <x:c r="Q16" s="93" t="n">
        <x:v>6</x:v>
      </x:c>
      <x:c r="R16" s="93" t="n">
        <x:v>11</x:v>
      </x:c>
      <x:c r="S16" s="93" t="n">
        <x:v>10</x:v>
      </x:c>
      <x:c r="T16" s="93" t="n">
        <x:v>9</x:v>
      </x:c>
      <x:c r="U16" s="93" t="n">
        <x:v>8</x:v>
      </x:c>
      <x:c r="V16" s="93" t="n">
        <x:v>8</x:v>
      </x:c>
      <x:c r="W16" s="93" t="n">
        <x:v>7</x:v>
      </x:c>
      <x:c r="X16" s="14" t="str">
        <x:v>p. 90</x:v>
      </x:c>
      <x:c r="Y16" s="14" t="str">
        <x:v>Cenário A final ajustado pela Comissão Gestora. Usar equivalência calculada com 415/290/230/137 L/s.</x:v>
      </x:c>
      <x:c r="Z16" s="14" t="str">
        <x:v>PLANO DE GESTÃO PROATIVA DE SECAS - HIDROSSISTEMA PEDRAS BRANCAS.pdf</x:v>
      </x:c>
    </x:row>
    <x:row r="17">
      <x:c r="A17" s="14" t="n">
        <x:v>6</x:v>
      </x:c>
      <x:c r="B17" s="14" t="str">
        <x:v>Riacho do Sangue</x:v>
      </x:c>
      <x:c r="C17" s="14" t="str">
        <x:v>Cenário 2</x:v>
      </x:c>
      <x:c r="D17" s="14" t="n">
        <x:v>320</x:v>
      </x:c>
      <x:c r="E17" s="14" t="str">
        <x:v>VM1</x:v>
      </x:c>
      <x:c r="F17" s="14" t="str">
        <x:v>Alerta</x:v>
      </x:c>
      <x:c r="G17" s="14" t="str">
        <x:v>Tipo II 20%</x:v>
      </x:c>
      <x:c r="H17" s="14" t="n">
        <x:v>256</x:v>
      </x:c>
      <x:c r="I17" s="105" t="n">
        <x:f>IF(OR(D17="",H17=""),"",(D17-H17)/D17*100)</x:f>
        <x:v>20</x:v>
      </x:c>
      <x:c r="J17" s="107" t="n">
        <x:f>I17</x:f>
        <x:v>20</x:v>
      </x:c>
      <x:c r="K17" s="14" t="str">
        <x:v>Equivalência pela vazão final da figura</x:v>
      </x:c>
      <x:c r="L17" s="93" t="n">
        <x:v>17</x:v>
      </x:c>
      <x:c r="M17" s="93" t="n">
        <x:v>14</x:v>
      </x:c>
      <x:c r="N17" s="93" t="n">
        <x:v>12</x:v>
      </x:c>
      <x:c r="O17" s="93" t="n">
        <x:v>12</x:v>
      </x:c>
      <x:c r="P17" s="93" t="n">
        <x:v>13</x:v>
      </x:c>
      <x:c r="Q17" s="93" t="n">
        <x:v>14</x:v>
      </x:c>
      <x:c r="R17" s="93" t="n">
        <x:v>33</x:v>
      </x:c>
      <x:c r="S17" s="93" t="n">
        <x:v>31</x:v>
      </x:c>
      <x:c r="T17" s="93" t="n">
        <x:v>28</x:v>
      </x:c>
      <x:c r="U17" s="93" t="n">
        <x:v>25</x:v>
      </x:c>
      <x:c r="V17" s="93" t="n">
        <x:v>22</x:v>
      </x:c>
      <x:c r="W17" s="93" t="n">
        <x:v>19</x:v>
      </x:c>
      <x:c r="X17" s="14" t="str">
        <x:v>p. 54</x:v>
      </x:c>
      <x:c r="Y17" s="14" t="str">
        <x:v>A figura final do Cenário 2 apresenta 320/256/160/32 L/s.</x:v>
      </x:c>
      <x:c r="Z17" s="14" t="str">
        <x:v>PLANO DE GESTÃO PROATIVA DE SECAS - HIDROSSISTEMA RIACHO DO SANGUE.pdf</x:v>
      </x:c>
    </x:row>
    <x:row r="18">
      <x:c r="A18" s="14" t="n">
        <x:v>6</x:v>
      </x:c>
      <x:c r="B18" s="14" t="str">
        <x:v>Riacho do Sangue</x:v>
      </x:c>
      <x:c r="C18" s="14" t="str">
        <x:v>Cenário 2</x:v>
      </x:c>
      <x:c r="D18" s="14" t="n">
        <x:v>320</x:v>
      </x:c>
      <x:c r="E18" s="14" t="str">
        <x:v>VM2</x:v>
      </x:c>
      <x:c r="F18" s="14" t="str">
        <x:v>Seca</x:v>
      </x:c>
      <x:c r="G18" s="14" t="str">
        <x:v>Tipo II 100%</x:v>
      </x:c>
      <x:c r="H18" s="14" t="n">
        <x:v>160</x:v>
      </x:c>
      <x:c r="I18" s="105" t="n">
        <x:f>IF(OR(D18="",H18=""),"",(D18-H18)/D18*100)</x:f>
        <x:v>50</x:v>
      </x:c>
      <x:c r="J18" s="107" t="n">
        <x:f>I18</x:f>
        <x:v>50</x:v>
      </x:c>
      <x:c r="K18" s="14" t="str">
        <x:v>Equivalência pela vazão final da figura</x:v>
      </x:c>
      <x:c r="L18" s="93" t="n">
        <x:v>12</x:v>
      </x:c>
      <x:c r="M18" s="93" t="n">
        <x:v>10</x:v>
      </x:c>
      <x:c r="N18" s="93" t="n">
        <x:v>8</x:v>
      </x:c>
      <x:c r="O18" s="93" t="n">
        <x:v>7</x:v>
      </x:c>
      <x:c r="P18" s="93" t="n">
        <x:v>9</x:v>
      </x:c>
      <x:c r="Q18" s="93" t="n">
        <x:v>9</x:v>
      </x:c>
      <x:c r="R18" s="93" t="n">
        <x:v>28</x:v>
      </x:c>
      <x:c r="S18" s="93" t="n">
        <x:v>25</x:v>
      </x:c>
      <x:c r="T18" s="93" t="n">
        <x:v>23</x:v>
      </x:c>
      <x:c r="U18" s="93" t="n">
        <x:v>20</x:v>
      </x:c>
      <x:c r="V18" s="93" t="n">
        <x:v>17</x:v>
      </x:c>
      <x:c r="W18" s="93" t="n">
        <x:v>15</x:v>
      </x:c>
      <x:c r="X18" s="14" t="str">
        <x:v>p. 54</x:v>
      </x:c>
      <x:c r="Y18" s="14" t="str">
        <x:v>A figura final do Cenário 2 apresenta 320/256/160/32 L/s.</x:v>
      </x:c>
      <x:c r="Z18" s="14" t="str">
        <x:v>PLANO DE GESTÃO PROATIVA DE SECAS - HIDROSSISTEMA RIACHO DO SANGUE.pdf</x:v>
      </x:c>
    </x:row>
    <x:row r="19">
      <x:c r="A19" s="14" t="n">
        <x:v>6</x:v>
      </x:c>
      <x:c r="B19" s="14" t="str">
        <x:v>Riacho do Sangue</x:v>
      </x:c>
      <x:c r="C19" s="14" t="str">
        <x:v>Cenário 2</x:v>
      </x:c>
      <x:c r="D19" s="14" t="n">
        <x:v>320</x:v>
      </x:c>
      <x:c r="E19" s="14" t="str">
        <x:v>VM3</x:v>
      </x:c>
      <x:c r="F19" s="14" t="str">
        <x:v>Seca Severa</x:v>
      </x:c>
      <x:c r="G19" s="14" t="str">
        <x:v>Tipo II 100%</x:v>
      </x:c>
      <x:c r="H19" s="14" t="n">
        <x:v>32</x:v>
      </x:c>
      <x:c r="I19" s="105" t="n">
        <x:f>IF(OR(D19="",H19=""),"",(D19-H19)/D19*100)</x:f>
        <x:v>90</x:v>
      </x:c>
      <x:c r="J19" s="107" t="n">
        <x:f>I19</x:f>
        <x:v>90</x:v>
      </x:c>
      <x:c r="K19" s="14" t="str">
        <x:v>Equivalência pela vazão final da figura</x:v>
      </x:c>
      <x:c r="L19" s="93" t="n">
        <x:v>9</x:v>
      </x:c>
      <x:c r="M19" s="93" t="n">
        <x:v>7</x:v>
      </x:c>
      <x:c r="N19" s="93" t="n">
        <x:v>6</x:v>
      </x:c>
      <x:c r="O19" s="93" t="n">
        <x:v>5</x:v>
      </x:c>
      <x:c r="P19" s="93" t="n">
        <x:v>6</x:v>
      </x:c>
      <x:c r="Q19" s="93" t="n">
        <x:v>7</x:v>
      </x:c>
      <x:c r="R19" s="93" t="n">
        <x:v>25</x:v>
      </x:c>
      <x:c r="S19" s="93" t="n">
        <x:v>22</x:v>
      </x:c>
      <x:c r="T19" s="93" t="n">
        <x:v>20</x:v>
      </x:c>
      <x:c r="U19" s="93" t="n">
        <x:v>17</x:v>
      </x:c>
      <x:c r="V19" s="93" t="n">
        <x:v>14</x:v>
      </x:c>
      <x:c r="W19" s="93" t="n">
        <x:v>12</x:v>
      </x:c>
      <x:c r="X19" s="14" t="str">
        <x:v>p. 54</x:v>
      </x:c>
      <x:c r="Y19" s="14" t="str">
        <x:v>A figura final do Cenário 2 apresenta 320/256/160/32 L/s.</x:v>
      </x:c>
      <x:c r="Z19" s="14" t="str">
        <x:v>PLANO DE GESTÃO PROATIVA DE SECAS - HIDROSSISTEMA RIACHO DO SANGUE.pdf</x:v>
      </x:c>
    </x:row>
    <x:row r="20">
      <x:c r="A20" s="14" t="n">
        <x:v>7</x:v>
      </x:c>
      <x:c r="B20" s="14" t="str">
        <x:v>Trussu</x:v>
      </x:c>
      <x:c r="C20" s="14" t="str">
        <x:v>Cenário A</x:v>
      </x:c>
      <x:c r="D20" s="14" t="n">
        <x:v>500</x:v>
      </x:c>
      <x:c r="E20" s="14" t="str">
        <x:v>VM1</x:v>
      </x:c>
      <x:c r="F20" s="14" t="str">
        <x:v>Alerta</x:v>
      </x:c>
      <x:c r="G20" s="14" t="str">
        <x:v>Tipo I 0%; Tipo II 50%</x:v>
      </x:c>
      <x:c r="H20" s="14" t="n">
        <x:v>350</x:v>
      </x:c>
      <x:c r="I20" s="105" t="n">
        <x:f>IF(OR(D20="",H20=""),"",(D20-H20)/D20*100)</x:f>
        <x:v>30</x:v>
      </x:c>
      <x:c r="J20" s="107" t="n">
        <x:f>I20</x:f>
        <x:v>30</x:v>
      </x:c>
      <x:c r="K20" s="14" t="str">
        <x:v>Equivalência pela vazão final da figura</x:v>
      </x:c>
      <x:c r="L20" s="93" t="n">
        <x:v>50</x:v>
      </x:c>
      <x:c r="M20" s="93" t="n">
        <x:v>49</x:v>
      </x:c>
      <x:c r="N20" s="93" t="n">
        <x:v>49</x:v>
      </x:c>
      <x:c r="O20" s="93" t="n">
        <x:v>51</x:v>
      </x:c>
      <x:c r="P20" s="93" t="n">
        <x:v>54</x:v>
      </x:c>
      <x:c r="Q20" s="93" t="n">
        <x:v>55</x:v>
      </x:c>
      <x:c r="R20" s="93" t="n">
        <x:v>60</x:v>
      </x:c>
      <x:c r="S20" s="93" t="n">
        <x:v>59</x:v>
      </x:c>
      <x:c r="T20" s="93" t="n">
        <x:v>57</x:v>
      </x:c>
      <x:c r="U20" s="93" t="n">
        <x:v>55</x:v>
      </x:c>
      <x:c r="V20" s="93" t="n">
        <x:v>53</x:v>
      </x:c>
      <x:c r="W20" s="93" t="n">
        <x:v>52</x:v>
      </x:c>
      <x:c r="X20" s="14" t="str">
        <x:v>p. 77</x:v>
      </x:c>
      <x:c r="Y20" s="14" t="str">
        <x:v>A figura final apresenta 500/350/200/100 L/s.</x:v>
      </x:c>
      <x:c r="Z20" s="14" t="str">
        <x:v>PLANO DE GESTÃO PROATIVA DE SECAS - HIDROSSISTEMA TRUSSU.pdf</x:v>
      </x:c>
    </x:row>
    <x:row r="21">
      <x:c r="A21" s="14" t="n">
        <x:v>7</x:v>
      </x:c>
      <x:c r="B21" s="14" t="str">
        <x:v>Trussu</x:v>
      </x:c>
      <x:c r="C21" s="14" t="str">
        <x:v>Cenário A</x:v>
      </x:c>
      <x:c r="D21" s="14" t="n">
        <x:v>500</x:v>
      </x:c>
      <x:c r="E21" s="14" t="str">
        <x:v>VM2</x:v>
      </x:c>
      <x:c r="F21" s="14" t="str">
        <x:v>Seca</x:v>
      </x:c>
      <x:c r="G21" s="14" t="str">
        <x:v>Tipo I 0%; Tipo II 100%</x:v>
      </x:c>
      <x:c r="H21" s="14" t="n">
        <x:v>200</x:v>
      </x:c>
      <x:c r="I21" s="105" t="n">
        <x:f>IF(OR(D21="",H21=""),"",(D21-H21)/D21*100)</x:f>
        <x:v>60</x:v>
      </x:c>
      <x:c r="J21" s="107" t="n">
        <x:f>I21</x:f>
        <x:v>60</x:v>
      </x:c>
      <x:c r="K21" s="14" t="str">
        <x:v>Equivalência pela vazão final da figura</x:v>
      </x:c>
      <x:c r="L21" s="93" t="n">
        <x:v>42</x:v>
      </x:c>
      <x:c r="M21" s="93" t="n">
        <x:v>41</x:v>
      </x:c>
      <x:c r="N21" s="93" t="n">
        <x:v>41</x:v>
      </x:c>
      <x:c r="O21" s="93" t="n">
        <x:v>43</x:v>
      </x:c>
      <x:c r="P21" s="93" t="n">
        <x:v>46</x:v>
      </x:c>
      <x:c r="Q21" s="93" t="n">
        <x:v>47</x:v>
      </x:c>
      <x:c r="R21" s="93" t="n">
        <x:v>51</x:v>
      </x:c>
      <x:c r="S21" s="93" t="n">
        <x:v>50</x:v>
      </x:c>
      <x:c r="T21" s="93" t="n">
        <x:v>48</x:v>
      </x:c>
      <x:c r="U21" s="93" t="n">
        <x:v>47</x:v>
      </x:c>
      <x:c r="V21" s="93" t="n">
        <x:v>45</x:v>
      </x:c>
      <x:c r="W21" s="93" t="n">
        <x:v>43</x:v>
      </x:c>
      <x:c r="X21" s="14" t="str">
        <x:v>p. 77</x:v>
      </x:c>
      <x:c r="Y21" s="14" t="str">
        <x:v>A figura final apresenta 500/350/200/100 L/s.</x:v>
      </x:c>
      <x:c r="Z21" s="14" t="str">
        <x:v>PLANO DE GESTÃO PROATIVA DE SECAS - HIDROSSISTEMA TRUSSU.pdf</x:v>
      </x:c>
    </x:row>
    <x:row r="22">
      <x:c r="A22" s="14" t="n">
        <x:v>7</x:v>
      </x:c>
      <x:c r="B22" s="14" t="str">
        <x:v>Trussu</x:v>
      </x:c>
      <x:c r="C22" s="14" t="str">
        <x:v>Cenário A</x:v>
      </x:c>
      <x:c r="D22" s="14" t="n">
        <x:v>500</x:v>
      </x:c>
      <x:c r="E22" s="14" t="str">
        <x:v>VM3</x:v>
      </x:c>
      <x:c r="F22" s="14" t="str">
        <x:v>Seca Severa</x:v>
      </x:c>
      <x:c r="G22" s="14" t="str">
        <x:v>Tipo I 50%; Tipo II 100%</x:v>
      </x:c>
      <x:c r="H22" s="14" t="n">
        <x:v>100</x:v>
      </x:c>
      <x:c r="I22" s="105" t="n">
        <x:f>IF(OR(D22="",H22=""),"",(D22-H22)/D22*100)</x:f>
        <x:v>80</x:v>
      </x:c>
      <x:c r="J22" s="107" t="n">
        <x:f>I22</x:f>
        <x:v>80</x:v>
      </x:c>
      <x:c r="K22" s="14" t="str">
        <x:v>Equivalência pela vazão final da figura</x:v>
      </x:c>
      <x:c r="L22" s="93" t="n">
        <x:v>39</x:v>
      </x:c>
      <x:c r="M22" s="93" t="n">
        <x:v>38</x:v>
      </x:c>
      <x:c r="N22" s="93" t="n">
        <x:v>38</x:v>
      </x:c>
      <x:c r="O22" s="93" t="n">
        <x:v>40</x:v>
      </x:c>
      <x:c r="P22" s="93" t="n">
        <x:v>43</x:v>
      </x:c>
      <x:c r="Q22" s="93" t="n">
        <x:v>44</x:v>
      </x:c>
      <x:c r="R22" s="93" t="n">
        <x:v>48</x:v>
      </x:c>
      <x:c r="S22" s="93" t="n">
        <x:v>47</x:v>
      </x:c>
      <x:c r="T22" s="93" t="n">
        <x:v>45</x:v>
      </x:c>
      <x:c r="U22" s="93" t="n">
        <x:v>43</x:v>
      </x:c>
      <x:c r="V22" s="93" t="n">
        <x:v>42</x:v>
      </x:c>
      <x:c r="W22" s="93" t="n">
        <x:v>40</x:v>
      </x:c>
      <x:c r="X22" s="14" t="str">
        <x:v>p. 77</x:v>
      </x:c>
      <x:c r="Y22" s="14" t="str">
        <x:v>A figura final apresenta 500/350/200/100 L/s.</x:v>
      </x:c>
      <x:c r="Z22" s="14" t="str">
        <x:v>PLANO DE GESTÃO PROATIVA DE SECAS - HIDROSSISTEMA TRUSSU.pdf</x:v>
      </x:c>
    </x:row>
    <x:row r="23">
      <x:c r="A23" s="14" t="n">
        <x:v>8</x:v>
      </x:c>
      <x:c r="B23" s="14" t="str">
        <x:v>Ubaldinho</x:v>
      </x:c>
      <x:c r="C23" s="14" t="str">
        <x:v>Cenário 1</x:v>
      </x:c>
      <x:c r="D23" s="14" t="n">
        <x:v>150</x:v>
      </x:c>
      <x:c r="E23" s="14" t="str">
        <x:v>VM1</x:v>
      </x:c>
      <x:c r="F23" s="14" t="str">
        <x:v>Alerta</x:v>
      </x:c>
      <x:c r="G23" s="14" t="str">
        <x:v>Tipo I 0%; Tipo II 50%</x:v>
      </x:c>
      <x:c r="H23" s="14" t="n">
        <x:v>94</x:v>
      </x:c>
      <x:c r="I23" s="105" t="n">
        <x:f>IF(OR(D23="",H23=""),"",(D23-H23)/D23*100)</x:f>
        <x:v>37.333333333333336</x:v>
      </x:c>
      <x:c r="J23" s="107" t="n">
        <x:f>I23</x:f>
        <x:v>37.333333333333336</x:v>
      </x:c>
      <x:c r="K23" s="14" t="str">
        <x:v>Equivalência pela vazão final da figura</x:v>
      </x:c>
      <x:c r="L23" s="93" t="n">
        <x:v>36</x:v>
      </x:c>
      <x:c r="M23" s="93" t="n">
        <x:v>34</x:v>
      </x:c>
      <x:c r="N23" s="93" t="n">
        <x:v>32</x:v>
      </x:c>
      <x:c r="O23" s="93" t="n">
        <x:v>34</x:v>
      </x:c>
      <x:c r="P23" s="93" t="n">
        <x:v>38</x:v>
      </x:c>
      <x:c r="Q23" s="93" t="n">
        <x:v>38</x:v>
      </x:c>
      <x:c r="R23" s="93" t="n">
        <x:v>56</x:v>
      </x:c>
      <x:c r="S23" s="93" t="n">
        <x:v>53</x:v>
      </x:c>
      <x:c r="T23" s="93" t="n">
        <x:v>49</x:v>
      </x:c>
      <x:c r="U23" s="93" t="n">
        <x:v>46</x:v>
      </x:c>
      <x:c r="V23" s="93" t="n">
        <x:v>43</x:v>
      </x:c>
      <x:c r="W23" s="93" t="n">
        <x:v>39</x:v>
      </x:c>
      <x:c r="X23" s="14" t="str">
        <x:v>p. 76</x:v>
      </x:c>
      <x:c r="Y23" s="14" t="str">
        <x:v>Cenário 1. A figura final apresenta 150/94/60/36 L/s.</x:v>
      </x:c>
      <x:c r="Z23" s="14" t="str">
        <x:v>PLANO DE GESTÃO PROATIVA DE SECAS - HIDROSSISTEMA UBALDINHO.pdf</x:v>
      </x:c>
    </x:row>
    <x:row r="24">
      <x:c r="A24" s="14" t="n">
        <x:v>8</x:v>
      </x:c>
      <x:c r="B24" s="14" t="str">
        <x:v>Ubaldinho</x:v>
      </x:c>
      <x:c r="C24" s="14" t="str">
        <x:v>Cenário 1</x:v>
      </x:c>
      <x:c r="D24" s="14" t="n">
        <x:v>150</x:v>
      </x:c>
      <x:c r="E24" s="14" t="str">
        <x:v>VM2</x:v>
      </x:c>
      <x:c r="F24" s="14" t="str">
        <x:v>Seca</x:v>
      </x:c>
      <x:c r="G24" s="14" t="str">
        <x:v>Tipo I 5%; Tipo II 80%</x:v>
      </x:c>
      <x:c r="H24" s="14" t="n">
        <x:v>60</x:v>
      </x:c>
      <x:c r="I24" s="105" t="n">
        <x:f>IF(OR(D24="",H24=""),"",(D24-H24)/D24*100)</x:f>
        <x:v>60</x:v>
      </x:c>
      <x:c r="J24" s="107" t="n">
        <x:f>I24</x:f>
        <x:v>60</x:v>
      </x:c>
      <x:c r="K24" s="14" t="str">
        <x:v>Equivalência pela vazão final da figura</x:v>
      </x:c>
      <x:c r="L24" s="93" t="n">
        <x:v>21</x:v>
      </x:c>
      <x:c r="M24" s="93" t="n">
        <x:v>19</x:v>
      </x:c>
      <x:c r="N24" s="93" t="n">
        <x:v>17</x:v>
      </x:c>
      <x:c r="O24" s="93" t="n">
        <x:v>20</x:v>
      </x:c>
      <x:c r="P24" s="93" t="n">
        <x:v>24</x:v>
      </x:c>
      <x:c r="Q24" s="93" t="n">
        <x:v>24</x:v>
      </x:c>
      <x:c r="R24" s="93" t="n">
        <x:v>37</x:v>
      </x:c>
      <x:c r="S24" s="93" t="n">
        <x:v>34</x:v>
      </x:c>
      <x:c r="T24" s="93" t="n">
        <x:v>31</x:v>
      </x:c>
      <x:c r="U24" s="93" t="n">
        <x:v>29</x:v>
      </x:c>
      <x:c r="V24" s="93" t="n">
        <x:v>26</x:v>
      </x:c>
      <x:c r="W24" s="93" t="n">
        <x:v>23</x:v>
      </x:c>
      <x:c r="X24" s="14" t="str">
        <x:v>p. 76</x:v>
      </x:c>
      <x:c r="Y24" s="14" t="str">
        <x:v>Cenário 1. A figura final apresenta 150/94/60/36 L/s.</x:v>
      </x:c>
      <x:c r="Z24" s="14" t="str">
        <x:v>PLANO DE GESTÃO PROATIVA DE SECAS - HIDROSSISTEMA UBALDINHO.pdf</x:v>
      </x:c>
    </x:row>
    <x:row r="25">
      <x:c r="A25" s="14" t="n">
        <x:v>8</x:v>
      </x:c>
      <x:c r="B25" s="14" t="str">
        <x:v>Ubaldinho</x:v>
      </x:c>
      <x:c r="C25" s="14" t="str">
        <x:v>Cenário 1</x:v>
      </x:c>
      <x:c r="D25" s="14" t="n">
        <x:v>150</x:v>
      </x:c>
      <x:c r="E25" s="14" t="str">
        <x:v>VM3</x:v>
      </x:c>
      <x:c r="F25" s="14" t="str">
        <x:v>Seca Severa</x:v>
      </x:c>
      <x:c r="G25" s="14" t="str">
        <x:v>Tipo I 10%; Tipo II 100%</x:v>
      </x:c>
      <x:c r="H25" s="14" t="n">
        <x:v>36</x:v>
      </x:c>
      <x:c r="I25" s="105" t="n">
        <x:f>IF(OR(D25="",H25=""),"",(D25-H25)/D25*100)</x:f>
        <x:v>76</x:v>
      </x:c>
      <x:c r="J25" s="107" t="n">
        <x:f>I25</x:f>
        <x:v>76</x:v>
      </x:c>
      <x:c r="K25" s="14" t="str">
        <x:v>Equivalência pela vazão final da figura</x:v>
      </x:c>
      <x:c r="L25" s="93" t="n">
        <x:v>9</x:v>
      </x:c>
      <x:c r="M25" s="93" t="n">
        <x:v>7</x:v>
      </x:c>
      <x:c r="N25" s="93" t="n">
        <x:v>6</x:v>
      </x:c>
      <x:c r="O25" s="93" t="n">
        <x:v>9</x:v>
      </x:c>
      <x:c r="P25" s="93" t="n">
        <x:v>13</x:v>
      </x:c>
      <x:c r="Q25" s="93" t="n">
        <x:v>13</x:v>
      </x:c>
      <x:c r="R25" s="93" t="n">
        <x:v>22</x:v>
      </x:c>
      <x:c r="S25" s="93" t="n">
        <x:v>19</x:v>
      </x:c>
      <x:c r="T25" s="93" t="n">
        <x:v>17</x:v>
      </x:c>
      <x:c r="U25" s="93" t="n">
        <x:v>15</x:v>
      </x:c>
      <x:c r="V25" s="93" t="n">
        <x:v>13</x:v>
      </x:c>
      <x:c r="W25" s="93" t="n">
        <x:v>11</x:v>
      </x:c>
      <x:c r="X25" s="14" t="str">
        <x:v>p. 76</x:v>
      </x:c>
      <x:c r="Y25" s="14" t="str">
        <x:v>Cenário 1. A figura final apresenta 150/94/60/36 L/s.</x:v>
      </x:c>
      <x:c r="Z25" s="14" t="str">
        <x:v>PLANO DE GESTÃO PROATIVA DE SECAS - HIDROSSISTEMA UBALDINHO.pdf</x:v>
      </x:c>
    </x:row>
    <x:row r="26">
      <x:c r="A26" s="14" t="n">
        <x:v>9</x:v>
      </x:c>
      <x:c r="B26" s="14" t="str">
        <x:v>Aracoiaba</x:v>
      </x:c>
      <x:c r="C26" s="14" t="str">
        <x:v>Cenário 2</x:v>
      </x:c>
      <x:c r="D26" s="14" t="n">
        <x:v>432</x:v>
      </x:c>
      <x:c r="E26" s="14" t="str">
        <x:v>VM1</x:v>
      </x:c>
      <x:c r="F26" s="14" t="str">
        <x:v>Alerta</x:v>
      </x:c>
      <x:c r="G26" s="14" t="str">
        <x:v>Restrições setoriais</x:v>
      </x:c>
      <x:c r="H26" s="14" t="n">
        <x:v>389</x:v>
      </x:c>
      <x:c r="I26" s="105" t="n">
        <x:f>IF(OR(D26="",H26=""),"",(D26-H26)/D26*100)</x:f>
        <x:v>9.953703703703704</x:v>
      </x:c>
      <x:c r="J26" s="107" t="n">
        <x:f>I26</x:f>
        <x:v>9.953703703703704</x:v>
      </x:c>
      <x:c r="K26" s="14" t="str">
        <x:v>Equivalência pela vazão final da figura</x:v>
      </x:c>
      <x:c r="L26" s="93" t="n">
        <x:v>58</x:v>
      </x:c>
      <x:c r="M26" s="93" t="n">
        <x:v>57</x:v>
      </x:c>
      <x:c r="N26" s="93" t="n">
        <x:v>56</x:v>
      </x:c>
      <x:c r="O26" s="93" t="n">
        <x:v>57</x:v>
      </x:c>
      <x:c r="P26" s="93" t="n">
        <x:v>60</x:v>
      </x:c>
      <x:c r="Q26" s="93" t="n">
        <x:v>62</x:v>
      </x:c>
      <x:c r="R26" s="93" t="n">
        <x:v>69</x:v>
      </x:c>
      <x:c r="S26" s="93" t="n">
        <x:v>68</x:v>
      </x:c>
      <x:c r="T26" s="93" t="n">
        <x:v>67</x:v>
      </x:c>
      <x:c r="U26" s="93" t="n">
        <x:v>65</x:v>
      </x:c>
      <x:c r="V26" s="93" t="n">
        <x:v>62</x:v>
      </x:c>
      <x:c r="W26" s="93" t="n">
        <x:v>60</x:v>
      </x:c>
      <x:c r="X26" s="14" t="str">
        <x:v>p. 56</x:v>
      </x:c>
      <x:c r="Y26" s="14" t="str">
        <x:v>Cenário 2. A figura final apresenta 432/389/359/259 L/s.</x:v>
      </x:c>
      <x:c r="Z26" s="14" t="str">
        <x:v>Plano de Gestão Proativa de Secas - Hidrossistema Aracoiaba.pdf</x:v>
      </x:c>
    </x:row>
    <x:row r="27">
      <x:c r="A27" s="14" t="n">
        <x:v>9</x:v>
      </x:c>
      <x:c r="B27" s="14" t="str">
        <x:v>Aracoiaba</x:v>
      </x:c>
      <x:c r="C27" s="14" t="str">
        <x:v>Cenário 2</x:v>
      </x:c>
      <x:c r="D27" s="14" t="n">
        <x:v>432</x:v>
      </x:c>
      <x:c r="E27" s="14" t="str">
        <x:v>VM2</x:v>
      </x:c>
      <x:c r="F27" s="14" t="str">
        <x:v>Seca</x:v>
      </x:c>
      <x:c r="G27" s="14" t="str">
        <x:v>Restrições setoriais</x:v>
      </x:c>
      <x:c r="H27" s="14" t="n">
        <x:v>359</x:v>
      </x:c>
      <x:c r="I27" s="105" t="n">
        <x:f>IF(OR(D27="",H27=""),"",(D27-H27)/D27*100)</x:f>
        <x:v>16.89814814814815</x:v>
      </x:c>
      <x:c r="J27" s="107" t="n">
        <x:f>I27</x:f>
        <x:v>16.89814814814815</x:v>
      </x:c>
      <x:c r="K27" s="14" t="str">
        <x:v>Equivalência pela vazão final da figura</x:v>
      </x:c>
      <x:c r="L27" s="93" t="n">
        <x:v>44</x:v>
      </x:c>
      <x:c r="M27" s="93" t="n">
        <x:v>43</x:v>
      </x:c>
      <x:c r="N27" s="93" t="n">
        <x:v>43</x:v>
      </x:c>
      <x:c r="O27" s="93" t="n">
        <x:v>44</x:v>
      </x:c>
      <x:c r="P27" s="93" t="n">
        <x:v>47</x:v>
      </x:c>
      <x:c r="Q27" s="93" t="n">
        <x:v>49</x:v>
      </x:c>
      <x:c r="R27" s="93" t="n">
        <x:v>54</x:v>
      </x:c>
      <x:c r="S27" s="93" t="n">
        <x:v>53</x:v>
      </x:c>
      <x:c r="T27" s="93" t="n">
        <x:v>52</x:v>
      </x:c>
      <x:c r="U27" s="93" t="n">
        <x:v>50</x:v>
      </x:c>
      <x:c r="V27" s="93" t="n">
        <x:v>48</x:v>
      </x:c>
      <x:c r="W27" s="93" t="n">
        <x:v>46</x:v>
      </x:c>
      <x:c r="X27" s="14" t="str">
        <x:v>p. 56</x:v>
      </x:c>
      <x:c r="Y27" s="14" t="str">
        <x:v>Cenário 2. A figura final apresenta 432/389/359/259 L/s.</x:v>
      </x:c>
      <x:c r="Z27" s="14" t="str">
        <x:v>Plano de Gestão Proativa de Secas - Hidrossistema Aracoiaba.pdf</x:v>
      </x:c>
    </x:row>
    <x:row r="28">
      <x:c r="A28" s="14" t="n">
        <x:v>9</x:v>
      </x:c>
      <x:c r="B28" s="14" t="str">
        <x:v>Aracoiaba</x:v>
      </x:c>
      <x:c r="C28" s="14" t="str">
        <x:v>Cenário 2</x:v>
      </x:c>
      <x:c r="D28" s="14" t="n">
        <x:v>432</x:v>
      </x:c>
      <x:c r="E28" s="14" t="str">
        <x:v>VM3</x:v>
      </x:c>
      <x:c r="F28" s="14" t="str">
        <x:v>Seca Severa</x:v>
      </x:c>
      <x:c r="G28" s="14" t="str">
        <x:v>Restrições setoriais</x:v>
      </x:c>
      <x:c r="H28" s="14" t="n">
        <x:v>259</x:v>
      </x:c>
      <x:c r="I28" s="105" t="n">
        <x:f>IF(OR(D28="",H28=""),"",(D28-H28)/D28*100)</x:f>
        <x:v>40.0462962962963</x:v>
      </x:c>
      <x:c r="J28" s="107" t="n">
        <x:f>I28</x:f>
        <x:v>40.0462962962963</x:v>
      </x:c>
      <x:c r="K28" s="14" t="str">
        <x:v>Equivalência pela vazão final da figura</x:v>
      </x:c>
      <x:c r="L28" s="93" t="n">
        <x:v>39</x:v>
      </x:c>
      <x:c r="M28" s="93" t="n">
        <x:v>38</x:v>
      </x:c>
      <x:c r="N28" s="93" t="n">
        <x:v>38</x:v>
      </x:c>
      <x:c r="O28" s="93" t="n">
        <x:v>39</x:v>
      </x:c>
      <x:c r="P28" s="93" t="n">
        <x:v>42</x:v>
      </x:c>
      <x:c r="Q28" s="93" t="n">
        <x:v>44</x:v>
      </x:c>
      <x:c r="R28" s="93" t="n">
        <x:v>48</x:v>
      </x:c>
      <x:c r="S28" s="93" t="n">
        <x:v>47</x:v>
      </x:c>
      <x:c r="T28" s="93" t="n">
        <x:v>46</x:v>
      </x:c>
      <x:c r="U28" s="93" t="n">
        <x:v>44</x:v>
      </x:c>
      <x:c r="V28" s="93" t="n">
        <x:v>43</x:v>
      </x:c>
      <x:c r="W28" s="93" t="n">
        <x:v>41</x:v>
      </x:c>
      <x:c r="X28" s="14" t="str">
        <x:v>p. 56</x:v>
      </x:c>
      <x:c r="Y28" s="14" t="str">
        <x:v>Cenário 2. A figura final apresenta 432/389/359/259 L/s.</x:v>
      </x:c>
      <x:c r="Z28" s="14" t="str">
        <x:v>Plano de Gestão Proativa de Secas - Hidrossistema Aracoiaba.pdf</x:v>
      </x:c>
    </x:row>
    <x:row r="29">
      <x:c r="A29" s="14" t="n">
        <x:v>10</x:v>
      </x:c>
      <x:c r="B29" s="14" t="str">
        <x:v>Batente</x:v>
      </x:c>
      <x:c r="C29" s="14" t="str">
        <x:v>Possibilidade 1 / Cenário 1</x:v>
      </x:c>
      <x:c r="D29" s="14" t="n">
        <x:v>170</x:v>
      </x:c>
      <x:c r="E29" s="14" t="str">
        <x:v>VM1</x:v>
      </x:c>
      <x:c r="F29" s="14" t="str">
        <x:v>Alerta</x:v>
      </x:c>
      <x:c r="G29" s="14" t="str">
        <x:v>Irrigação 30%; usos prioritários 0%</x:v>
      </x:c>
      <x:c r="H29" s="14" t="n">
        <x:v>133</x:v>
      </x:c>
      <x:c r="I29" s="105" t="n">
        <x:f>IF(OR(D29="",H29=""),"",(D29-H29)/D29*100)</x:f>
        <x:v>21.764705882352942</x:v>
      </x:c>
      <x:c r="J29" s="107" t="n">
        <x:f>I29</x:f>
        <x:v>21.764705882352942</x:v>
      </x:c>
      <x:c r="K29" s="14" t="str">
        <x:v>Equivalência pela vazão final da figura</x:v>
      </x:c>
      <x:c r="L29" s="93" t="n">
        <x:v>30</x:v>
      </x:c>
      <x:c r="M29" s="93" t="n">
        <x:v>27</x:v>
      </x:c>
      <x:c r="N29" s="93" t="n">
        <x:v>25</x:v>
      </x:c>
      <x:c r="O29" s="93" t="n">
        <x:v>28</x:v>
      </x:c>
      <x:c r="P29" s="93" t="n">
        <x:v>42</x:v>
      </x:c>
      <x:c r="Q29" s="93" t="n">
        <x:v>49</x:v>
      </x:c>
      <x:c r="R29" s="93" t="n">
        <x:v>54</x:v>
      </x:c>
      <x:c r="S29" s="93" t="n">
        <x:v>52</x:v>
      </x:c>
      <x:c r="T29" s="93" t="n">
        <x:v>48</x:v>
      </x:c>
      <x:c r="U29" s="93" t="n">
        <x:v>43</x:v>
      </x:c>
      <x:c r="V29" s="93" t="n">
        <x:v>39</x:v>
      </x:c>
      <x:c r="W29" s="93" t="n">
        <x:v>34</x:v>
      </x:c>
      <x:c r="X29" s="14" t="str">
        <x:v>p. 59 e p. 62</x:v>
      </x:c>
      <x:c r="Y29" s="14" t="str">
        <x:v>Possibilidade/Cenário 1. A figura final apresenta 170/133/95/44 L/s.</x:v>
      </x:c>
      <x:c r="Z29" s="14" t="str">
        <x:v>Plano de Gestão Proativa de Secas - Hidrossistema Batente.pdf</x:v>
      </x:c>
    </x:row>
    <x:row r="30">
      <x:c r="A30" s="14" t="n">
        <x:v>10</x:v>
      </x:c>
      <x:c r="B30" s="14" t="str">
        <x:v>Batente</x:v>
      </x:c>
      <x:c r="C30" s="14" t="str">
        <x:v>Possibilidade 1 / Cenário 1</x:v>
      </x:c>
      <x:c r="D30" s="14" t="n">
        <x:v>170</x:v>
      </x:c>
      <x:c r="E30" s="14" t="str">
        <x:v>VM2</x:v>
      </x:c>
      <x:c r="F30" s="14" t="str">
        <x:v>Seca</x:v>
      </x:c>
      <x:c r="G30" s="14" t="str">
        <x:v>Irrigação 60%; usos prioritários 0%</x:v>
      </x:c>
      <x:c r="H30" s="14" t="n">
        <x:v>95</x:v>
      </x:c>
      <x:c r="I30" s="105" t="n">
        <x:f>IF(OR(D30="",H30=""),"",(D30-H30)/D30*100)</x:f>
        <x:v>44.11764705882353</x:v>
      </x:c>
      <x:c r="J30" s="107" t="n">
        <x:f>I30</x:f>
        <x:v>44.11764705882353</x:v>
      </x:c>
      <x:c r="K30" s="14" t="str">
        <x:v>Equivalência pela vazão final da figura</x:v>
      </x:c>
      <x:c r="L30" s="93" t="n">
        <x:v>24</x:v>
      </x:c>
      <x:c r="M30" s="93" t="n">
        <x:v>21</x:v>
      </x:c>
      <x:c r="N30" s="93" t="n">
        <x:v>20</x:v>
      </x:c>
      <x:c r="O30" s="93" t="n">
        <x:v>22</x:v>
      </x:c>
      <x:c r="P30" s="93" t="n">
        <x:v>36</x:v>
      </x:c>
      <x:c r="Q30" s="93" t="n">
        <x:v>44</x:v>
      </x:c>
      <x:c r="R30" s="93" t="n">
        <x:v>46</x:v>
      </x:c>
      <x:c r="S30" s="93" t="n">
        <x:v>44</x:v>
      </x:c>
      <x:c r="T30" s="93" t="n">
        <x:v>40</x:v>
      </x:c>
      <x:c r="U30" s="93" t="n">
        <x:v>36</x:v>
      </x:c>
      <x:c r="V30" s="93" t="n">
        <x:v>32</x:v>
      </x:c>
      <x:c r="W30" s="93" t="n">
        <x:v>28</x:v>
      </x:c>
      <x:c r="X30" s="14" t="str">
        <x:v>p. 59 e p. 62</x:v>
      </x:c>
      <x:c r="Y30" s="14" t="str">
        <x:v>Possibilidade/Cenário 1. A figura final apresenta 170/133/95/44 L/s.</x:v>
      </x:c>
      <x:c r="Z30" s="14" t="str">
        <x:v>Plano de Gestão Proativa de Secas - Hidrossistema Batente.pdf</x:v>
      </x:c>
    </x:row>
    <x:row r="31">
      <x:c r="A31" s="14" t="n">
        <x:v>10</x:v>
      </x:c>
      <x:c r="B31" s="14" t="str">
        <x:v>Batente</x:v>
      </x:c>
      <x:c r="C31" s="14" t="str">
        <x:v>Possibilidade 1 / Cenário 1</x:v>
      </x:c>
      <x:c r="D31" s="14" t="n">
        <x:v>170</x:v>
      </x:c>
      <x:c r="E31" s="14" t="str">
        <x:v>VM3</x:v>
      </x:c>
      <x:c r="F31" s="14" t="str">
        <x:v>Seca Severa</x:v>
      </x:c>
      <x:c r="G31" s="14" t="str">
        <x:v>Irrigação 100%; usos prioritários 0%</x:v>
      </x:c>
      <x:c r="H31" s="14" t="n">
        <x:v>44</x:v>
      </x:c>
      <x:c r="I31" s="105" t="n">
        <x:f>IF(OR(D31="",H31=""),"",(D31-H31)/D31*100)</x:f>
        <x:v>74.11764705882354</x:v>
      </x:c>
      <x:c r="J31" s="107" t="n">
        <x:f>I31</x:f>
        <x:v>74.11764705882354</x:v>
      </x:c>
      <x:c r="K31" s="14" t="str">
        <x:v>Equivalência pela vazão final da figura</x:v>
      </x:c>
      <x:c r="L31" s="93" t="n">
        <x:v>15</x:v>
      </x:c>
      <x:c r="M31" s="93" t="n">
        <x:v>13</x:v>
      </x:c>
      <x:c r="N31" s="93" t="n">
        <x:v>12</x:v>
      </x:c>
      <x:c r="O31" s="93" t="n">
        <x:v>15</x:v>
      </x:c>
      <x:c r="P31" s="93" t="n">
        <x:v>29</x:v>
      </x:c>
      <x:c r="Q31" s="93" t="n">
        <x:v>35</x:v>
      </x:c>
      <x:c r="R31" s="93" t="n">
        <x:v>32</x:v>
      </x:c>
      <x:c r="S31" s="93" t="n">
        <x:v>30</x:v>
      </x:c>
      <x:c r="T31" s="93" t="n">
        <x:v>27</x:v>
      </x:c>
      <x:c r="U31" s="93" t="n">
        <x:v>24</x:v>
      </x:c>
      <x:c r="V31" s="93" t="n">
        <x:v>20</x:v>
      </x:c>
      <x:c r="W31" s="93" t="n">
        <x:v>18</x:v>
      </x:c>
      <x:c r="X31" s="14" t="str">
        <x:v>p. 59 e p. 62</x:v>
      </x:c>
      <x:c r="Y31" s="14" t="str">
        <x:v>Possibilidade/Cenário 1. A figura final apresenta 170/133/95/44 L/s.</x:v>
      </x:c>
      <x:c r="Z31" s="14" t="str">
        <x:v>Plano de Gestão Proativa de Secas - Hidrossistema Batente.pdf</x:v>
      </x:c>
    </x:row>
    <x:row r="32">
      <x:c r="A32" s="14" t="n">
        <x:v>11</x:v>
      </x:c>
      <x:c r="B32" s="14" t="str">
        <x:v>Benguê</x:v>
      </x:c>
      <x:c r="C32" s="14" t="str">
        <x:v>Regra 2</x:v>
      </x:c>
      <x:c r="D32" s="14" t="n">
        <x:v>75</x:v>
      </x:c>
      <x:c r="E32" s="14" t="str">
        <x:v>VM1</x:v>
      </x:c>
      <x:c r="F32" s="14" t="str">
        <x:v>Alerta</x:v>
      </x:c>
      <x:c r="G32" s="14" t="str">
        <x:v>0%</x:v>
      </x:c>
      <x:c r="H32" s="14" t="n">
        <x:v>75</x:v>
      </x:c>
      <x:c r="I32" s="105" t="n">
        <x:f>IF(OR(D32="",H32=""),"",(D32-H32)/D32*100)</x:f>
        <x:v>0</x:v>
      </x:c>
      <x:c r="J32" s="107" t="n">
        <x:v>0</x:v>
      </x:c>
      <x:c r="K32" s="14" t="str">
        <x:v>Percentual explícito do PGPS</x:v>
      </x:c>
      <x:c r="L32" s="93" t="n">
        <x:v>45</x:v>
      </x:c>
      <x:c r="M32" s="93" t="n">
        <x:v>43</x:v>
      </x:c>
      <x:c r="N32" s="93" t="n">
        <x:v>42</x:v>
      </x:c>
      <x:c r="O32" s="93" t="n">
        <x:v>46</x:v>
      </x:c>
      <x:c r="P32" s="93" t="n">
        <x:v>52</x:v>
      </x:c>
      <x:c r="Q32" s="93" t="n">
        <x:v>52</x:v>
      </x:c>
      <x:c r="R32" s="93" t="n">
        <x:v>67</x:v>
      </x:c>
      <x:c r="S32" s="93" t="n">
        <x:v>64</x:v>
      </x:c>
      <x:c r="T32" s="93" t="n">
        <x:v>59</x:v>
      </x:c>
      <x:c r="U32" s="93" t="n">
        <x:v>55</x:v>
      </x:c>
      <x:c r="V32" s="93" t="n">
        <x:v>52</x:v>
      </x:c>
      <x:c r="W32" s="93" t="n">
        <x:v>48</x:v>
      </x:c>
      <x:c r="X32" s="14" t="str">
        <x:v>p. 59</x:v>
      </x:c>
      <x:c r="Y32" s="14" t="str">
        <x:v>A figura arredonda Seca para 50 L/s; o texto da regra escolhida define 34% e 68%.</x:v>
      </x:c>
      <x:c r="Z32" s="14" t="str">
        <x:v>Plano de Gestão Proativa de Secas - Hidrossistema Benguê.pdf</x:v>
      </x:c>
    </x:row>
    <x:row r="33">
      <x:c r="A33" s="14" t="n">
        <x:v>11</x:v>
      </x:c>
      <x:c r="B33" s="14" t="str">
        <x:v>Benguê</x:v>
      </x:c>
      <x:c r="C33" s="14" t="str">
        <x:v>Regra 2</x:v>
      </x:c>
      <x:c r="D33" s="14" t="n">
        <x:v>75</x:v>
      </x:c>
      <x:c r="E33" s="14" t="str">
        <x:v>VM2</x:v>
      </x:c>
      <x:c r="F33" s="14" t="str">
        <x:v>Seca</x:v>
      </x:c>
      <x:c r="G33" s="14" t="str">
        <x:v>34%</x:v>
      </x:c>
      <x:c r="H33" s="14" t="n">
        <x:v>50</x:v>
      </x:c>
      <x:c r="I33" s="105" t="n">
        <x:f>IF(OR(D33="",H33=""),"",(D33-H33)/D33*100)</x:f>
        <x:v>33.33333333333333</x:v>
      </x:c>
      <x:c r="J33" s="107" t="n">
        <x:v>34</x:v>
      </x:c>
      <x:c r="K33" s="14" t="str">
        <x:v>Percentual explícito do PGPS</x:v>
      </x:c>
      <x:c r="L33" s="93" t="n">
        <x:v>31</x:v>
      </x:c>
      <x:c r="M33" s="93" t="n">
        <x:v>29</x:v>
      </x:c>
      <x:c r="N33" s="93" t="n">
        <x:v>29</x:v>
      </x:c>
      <x:c r="O33" s="93" t="n">
        <x:v>32</x:v>
      </x:c>
      <x:c r="P33" s="93" t="n">
        <x:v>38</x:v>
      </x:c>
      <x:c r="Q33" s="93" t="n">
        <x:v>39</x:v>
      </x:c>
      <x:c r="R33" s="93" t="n">
        <x:v>49</x:v>
      </x:c>
      <x:c r="S33" s="93" t="n">
        <x:v>47</x:v>
      </x:c>
      <x:c r="T33" s="93" t="n">
        <x:v>43</x:v>
      </x:c>
      <x:c r="U33" s="93" t="n">
        <x:v>39</x:v>
      </x:c>
      <x:c r="V33" s="93" t="n">
        <x:v>36</x:v>
      </x:c>
      <x:c r="W33" s="93" t="n">
        <x:v>33</x:v>
      </x:c>
      <x:c r="X33" s="14" t="str">
        <x:v>p. 59</x:v>
      </x:c>
      <x:c r="Y33" s="14" t="str">
        <x:v>A figura arredonda Seca para 50 L/s; o texto da regra escolhida define 34% e 68%.</x:v>
      </x:c>
      <x:c r="Z33" s="14" t="str">
        <x:v>Plano de Gestão Proativa de Secas - Hidrossistema Benguê.pdf</x:v>
      </x:c>
    </x:row>
    <x:row r="34">
      <x:c r="A34" s="14" t="n">
        <x:v>11</x:v>
      </x:c>
      <x:c r="B34" s="14" t="str">
        <x:v>Benguê</x:v>
      </x:c>
      <x:c r="C34" s="14" t="str">
        <x:v>Regra 2</x:v>
      </x:c>
      <x:c r="D34" s="14" t="n">
        <x:v>75</x:v>
      </x:c>
      <x:c r="E34" s="14" t="str">
        <x:v>VM3</x:v>
      </x:c>
      <x:c r="F34" s="14" t="str">
        <x:v>Seca Severa</x:v>
      </x:c>
      <x:c r="G34" s="14" t="str">
        <x:v>68%</x:v>
      </x:c>
      <x:c r="H34" s="14" t="n">
        <x:v>24</x:v>
      </x:c>
      <x:c r="I34" s="105" t="n">
        <x:f>IF(OR(D34="",H34=""),"",(D34-H34)/D34*100)</x:f>
        <x:v>68</x:v>
      </x:c>
      <x:c r="J34" s="107" t="n">
        <x:v>68</x:v>
      </x:c>
      <x:c r="K34" s="14" t="str">
        <x:v>Percentual explícito do PGPS</x:v>
      </x:c>
      <x:c r="L34" s="93" t="n">
        <x:v>18</x:v>
      </x:c>
      <x:c r="M34" s="93" t="n">
        <x:v>16</x:v>
      </x:c>
      <x:c r="N34" s="93" t="n">
        <x:v>16</x:v>
      </x:c>
      <x:c r="O34" s="93" t="n">
        <x:v>20</x:v>
      </x:c>
      <x:c r="P34" s="93" t="n">
        <x:v>26</x:v>
      </x:c>
      <x:c r="Q34" s="93" t="n">
        <x:v>27</x:v>
      </x:c>
      <x:c r="R34" s="93" t="n">
        <x:v>33</x:v>
      </x:c>
      <x:c r="S34" s="93" t="n">
        <x:v>31</x:v>
      </x:c>
      <x:c r="T34" s="93" t="n">
        <x:v>28</x:v>
      </x:c>
      <x:c r="U34" s="93" t="n">
        <x:v>25</x:v>
      </x:c>
      <x:c r="V34" s="93" t="n">
        <x:v>22</x:v>
      </x:c>
      <x:c r="W34" s="93" t="n">
        <x:v>20</x:v>
      </x:c>
      <x:c r="X34" s="14" t="str">
        <x:v>p. 59</x:v>
      </x:c>
      <x:c r="Y34" s="14" t="str">
        <x:v>A figura arredonda Seca para 50 L/s; o texto da regra escolhida define 34% e 68%.</x:v>
      </x:c>
      <x:c r="Z34" s="14" t="str">
        <x:v>Plano de Gestão Proativa de Secas - Hidrossistema Benguê.pdf</x:v>
      </x:c>
    </x:row>
    <x:row r="35">
      <x:c r="A35" s="14" t="n">
        <x:v>12</x:v>
      </x:c>
      <x:c r="B35" s="14" t="str">
        <x:v>Cachoeira</x:v>
      </x:c>
      <x:c r="C35" s="14" t="str">
        <x:v>Cenário 4</x:v>
      </x:c>
      <x:c r="D35" s="14" t="n">
        <x:v>120</x:v>
      </x:c>
      <x:c r="E35" s="14" t="str">
        <x:v>VM1</x:v>
      </x:c>
      <x:c r="F35" s="14" t="str">
        <x:v>Alerta</x:v>
      </x:c>
      <x:c r="G35" s="14" t="str">
        <x:v>Tipo I 0%; Tipo II 50%</x:v>
      </x:c>
      <x:c r="H35" s="14" t="n">
        <x:v>85</x:v>
      </x:c>
      <x:c r="I35" s="105" t="n">
        <x:f>IF(OR(D35="",H35=""),"",(D35-H35)/D35*100)</x:f>
        <x:v>29.166666666666668</x:v>
      </x:c>
      <x:c r="J35" s="107" t="n">
        <x:f>I35</x:f>
        <x:v>29.166666666666668</x:v>
      </x:c>
      <x:c r="K35" s="14" t="str">
        <x:v>Equivalência pela vazão final da figura</x:v>
      </x:c>
      <x:c r="L35" s="93" t="n">
        <x:v>48</x:v>
      </x:c>
      <x:c r="M35" s="93" t="n">
        <x:v>46</x:v>
      </x:c>
      <x:c r="N35" s="93" t="n">
        <x:v>44</x:v>
      </x:c>
      <x:c r="O35" s="93" t="n">
        <x:v>45</x:v>
      </x:c>
      <x:c r="P35" s="93" t="n">
        <x:v>47</x:v>
      </x:c>
      <x:c r="Q35" s="93" t="n">
        <x:v>46</x:v>
      </x:c>
      <x:c r="R35" s="93" t="n">
        <x:v>68</x:v>
      </x:c>
      <x:c r="S35" s="93" t="n">
        <x:v>65</x:v>
      </x:c>
      <x:c r="T35" s="93" t="n">
        <x:v>61</x:v>
      </x:c>
      <x:c r="U35" s="93" t="n">
        <x:v>57</x:v>
      </x:c>
      <x:c r="V35" s="93" t="n">
        <x:v>54</x:v>
      </x:c>
      <x:c r="W35" s="93" t="n">
        <x:v>51</x:v>
      </x:c>
      <x:c r="X35" s="14" t="str">
        <x:v>p. 95</x:v>
      </x:c>
      <x:c r="Y35" s="14" t="str">
        <x:v>Cenário 4. A figura final apresenta 120/85/56/43 L/s.</x:v>
      </x:c>
      <x:c r="Z35" s="14" t="str">
        <x:v>Plano de Gestão Proativa de Secas - Hidrossistema Cachoeira.pdf</x:v>
      </x:c>
    </x:row>
    <x:row r="36">
      <x:c r="A36" s="14" t="n">
        <x:v>12</x:v>
      </x:c>
      <x:c r="B36" s="14" t="str">
        <x:v>Cachoeira</x:v>
      </x:c>
      <x:c r="C36" s="14" t="str">
        <x:v>Cenário 4</x:v>
      </x:c>
      <x:c r="D36" s="14" t="n">
        <x:v>120</x:v>
      </x:c>
      <x:c r="E36" s="14" t="str">
        <x:v>VM2</x:v>
      </x:c>
      <x:c r="F36" s="14" t="str">
        <x:v>Seca</x:v>
      </x:c>
      <x:c r="G36" s="14" t="str">
        <x:v>Tipo I 10%; Tipo II 85%</x:v>
      </x:c>
      <x:c r="H36" s="14" t="n">
        <x:v>56</x:v>
      </x:c>
      <x:c r="I36" s="105" t="n">
        <x:f>IF(OR(D36="",H36=""),"",(D36-H36)/D36*100)</x:f>
        <x:v>53.333333333333336</x:v>
      </x:c>
      <x:c r="J36" s="107" t="n">
        <x:f>I36</x:f>
        <x:v>53.333333333333336</x:v>
      </x:c>
      <x:c r="K36" s="14" t="str">
        <x:v>Equivalência pela vazão final da figura</x:v>
      </x:c>
      <x:c r="L36" s="93" t="n">
        <x:v>27</x:v>
      </x:c>
      <x:c r="M36" s="93" t="n">
        <x:v>25</x:v>
      </x:c>
      <x:c r="N36" s="93" t="n">
        <x:v>24</x:v>
      </x:c>
      <x:c r="O36" s="93" t="n">
        <x:v>25</x:v>
      </x:c>
      <x:c r="P36" s="93" t="n">
        <x:v>27</x:v>
      </x:c>
      <x:c r="Q36" s="93" t="n">
        <x:v>26</x:v>
      </x:c>
      <x:c r="R36" s="93" t="n">
        <x:v>43</x:v>
      </x:c>
      <x:c r="S36" s="93" t="n">
        <x:v>40</x:v>
      </x:c>
      <x:c r="T36" s="93" t="n">
        <x:v>37</x:v>
      </x:c>
      <x:c r="U36" s="93" t="n">
        <x:v>34</x:v>
      </x:c>
      <x:c r="V36" s="93" t="n">
        <x:v>31</x:v>
      </x:c>
      <x:c r="W36" s="93" t="n">
        <x:v>29</x:v>
      </x:c>
      <x:c r="X36" s="14" t="str">
        <x:v>p. 95</x:v>
      </x:c>
      <x:c r="Y36" s="14" t="str">
        <x:v>Cenário 4. A figura final apresenta 120/85/56/43 L/s.</x:v>
      </x:c>
      <x:c r="Z36" s="14" t="str">
        <x:v>Plano de Gestão Proativa de Secas - Hidrossistema Cachoeira.pdf</x:v>
      </x:c>
    </x:row>
    <x:row r="37">
      <x:c r="A37" s="14" t="n">
        <x:v>12</x:v>
      </x:c>
      <x:c r="B37" s="14" t="str">
        <x:v>Cachoeira</x:v>
      </x:c>
      <x:c r="C37" s="14" t="str">
        <x:v>Cenário 4</x:v>
      </x:c>
      <x:c r="D37" s="14" t="n">
        <x:v>120</x:v>
      </x:c>
      <x:c r="E37" s="14" t="str">
        <x:v>VM3</x:v>
      </x:c>
      <x:c r="F37" s="14" t="str">
        <x:v>Seca Severa</x:v>
      </x:c>
      <x:c r="G37" s="14" t="str">
        <x:v>Tipo I 15%; Tipo II 100%</x:v>
      </x:c>
      <x:c r="H37" s="14" t="n">
        <x:v>43</x:v>
      </x:c>
      <x:c r="I37" s="105" t="n">
        <x:f>IF(OR(D37="",H37=""),"",(D37-H37)/D37*100)</x:f>
        <x:v>64.16666666666667</x:v>
      </x:c>
      <x:c r="J37" s="107" t="n">
        <x:f>I37</x:f>
        <x:v>64.16666666666667</x:v>
      </x:c>
      <x:c r="K37" s="14" t="str">
        <x:v>Equivalência pela vazão final da figura</x:v>
      </x:c>
      <x:c r="L37" s="93" t="n">
        <x:v>7</x:v>
      </x:c>
      <x:c r="M37" s="93" t="n">
        <x:v>6</x:v>
      </x:c>
      <x:c r="N37" s="93" t="n">
        <x:v>5</x:v>
      </x:c>
      <x:c r="O37" s="93" t="n">
        <x:v>7</x:v>
      </x:c>
      <x:c r="P37" s="93" t="n">
        <x:v>9</x:v>
      </x:c>
      <x:c r="Q37" s="93" t="n">
        <x:v>9</x:v>
      </x:c>
      <x:c r="R37" s="93" t="n">
        <x:v>18</x:v>
      </x:c>
      <x:c r="S37" s="93" t="n">
        <x:v>16</x:v>
      </x:c>
      <x:c r="T37" s="93" t="n">
        <x:v>14</x:v>
      </x:c>
      <x:c r="U37" s="93" t="n">
        <x:v>12</x:v>
      </x:c>
      <x:c r="V37" s="93" t="n">
        <x:v>10</x:v>
      </x:c>
      <x:c r="W37" s="93" t="n">
        <x:v>9</x:v>
      </x:c>
      <x:c r="X37" s="14" t="str">
        <x:v>p. 95</x:v>
      </x:c>
      <x:c r="Y37" s="14" t="str">
        <x:v>Cenário 4. A figura final apresenta 120/85/56/43 L/s.</x:v>
      </x:c>
      <x:c r="Z37" s="14" t="str">
        <x:v>Plano de Gestão Proativa de Secas - Hidrossistema Cachoeira.pdf</x:v>
      </x:c>
    </x:row>
    <x:row r="38">
      <x:c r="A38" s="14" t="n">
        <x:v>13</x:v>
      </x:c>
      <x:c r="B38" s="14" t="str">
        <x:v>Canoas</x:v>
      </x:c>
      <x:c r="C38" s="14" t="str">
        <x:v>Regra 2</x:v>
      </x:c>
      <x:c r="D38" s="14" t="n">
        <x:v>190</x:v>
      </x:c>
      <x:c r="E38" s="14" t="str">
        <x:v>VM1</x:v>
      </x:c>
      <x:c r="F38" s="14" t="str">
        <x:v>Alerta</x:v>
      </x:c>
      <x:c r="G38" s="14" t="str">
        <x:v>16%</x:v>
      </x:c>
      <x:c r="H38" s="14" t="n">
        <x:v>160</x:v>
      </x:c>
      <x:c r="I38" s="105" t="n">
        <x:f>IF(OR(D38="",H38=""),"",(D38-H38)/D38*100)</x:f>
        <x:v>15.789473684210526</x:v>
      </x:c>
      <x:c r="J38" s="107" t="n">
        <x:v>16</x:v>
      </x:c>
      <x:c r="K38" s="14" t="str">
        <x:v>Percentual explícito do PGPS</x:v>
      </x:c>
      <x:c r="L38" s="93" t="n">
        <x:v>33</x:v>
      </x:c>
      <x:c r="M38" s="93" t="n">
        <x:v>32</x:v>
      </x:c>
      <x:c r="N38" s="93" t="n">
        <x:v>31</x:v>
      </x:c>
      <x:c r="O38" s="93" t="n">
        <x:v>32</x:v>
      </x:c>
      <x:c r="P38" s="93" t="n">
        <x:v>34</x:v>
      </x:c>
      <x:c r="Q38" s="93" t="n">
        <x:v>33</x:v>
      </x:c>
      <x:c r="R38" s="93" t="n">
        <x:v>48</x:v>
      </x:c>
      <x:c r="S38" s="93" t="n">
        <x:v>46</x:v>
      </x:c>
      <x:c r="T38" s="93" t="n">
        <x:v>43</x:v>
      </x:c>
      <x:c r="U38" s="93" t="n">
        <x:v>40</x:v>
      </x:c>
      <x:c r="V38" s="93" t="n">
        <x:v>38</x:v>
      </x:c>
      <x:c r="W38" s="93" t="n">
        <x:v>35</x:v>
      </x:c>
      <x:c r="X38" s="14" t="str">
        <x:v>p. 57</x:v>
      </x:c>
      <x:c r="Y38" s="14" t="str">
        <x:v>Regra 2. A figura arredonda Alerta para 160 L/s; a regra oficial usa 16%.</x:v>
      </x:c>
      <x:c r="Z38" s="14" t="str">
        <x:v>Plano de Gestão Proativa de Secas - Hidrossistema Canoas.pdf</x:v>
      </x:c>
    </x:row>
    <x:row r="39">
      <x:c r="A39" s="14" t="n">
        <x:v>13</x:v>
      </x:c>
      <x:c r="B39" s="14" t="str">
        <x:v>Canoas</x:v>
      </x:c>
      <x:c r="C39" s="14" t="str">
        <x:v>Regra 2</x:v>
      </x:c>
      <x:c r="D39" s="14" t="n">
        <x:v>190</x:v>
      </x:c>
      <x:c r="E39" s="14" t="str">
        <x:v>VM2</x:v>
      </x:c>
      <x:c r="F39" s="14" t="str">
        <x:v>Seca</x:v>
      </x:c>
      <x:c r="G39" s="14" t="str">
        <x:v>40%</x:v>
      </x:c>
      <x:c r="H39" s="14" t="n">
        <x:v>114</x:v>
      </x:c>
      <x:c r="I39" s="105" t="n">
        <x:f>IF(OR(D39="",H39=""),"",(D39-H39)/D39*100)</x:f>
        <x:v>40</x:v>
      </x:c>
      <x:c r="J39" s="107" t="n">
        <x:v>40</x:v>
      </x:c>
      <x:c r="K39" s="14" t="str">
        <x:v>Percentual explícito do PGPS</x:v>
      </x:c>
      <x:c r="L39" s="93" t="n">
        <x:v>22</x:v>
      </x:c>
      <x:c r="M39" s="93" t="n">
        <x:v>21</x:v>
      </x:c>
      <x:c r="N39" s="93" t="n">
        <x:v>20</x:v>
      </x:c>
      <x:c r="O39" s="93" t="n">
        <x:v>22</x:v>
      </x:c>
      <x:c r="P39" s="93" t="n">
        <x:v>23</x:v>
      </x:c>
      <x:c r="Q39" s="93" t="n">
        <x:v>23</x:v>
      </x:c>
      <x:c r="R39" s="93" t="n">
        <x:v>35</x:v>
      </x:c>
      <x:c r="S39" s="93" t="n">
        <x:v>33</x:v>
      </x:c>
      <x:c r="T39" s="93" t="n">
        <x:v>30</x:v>
      </x:c>
      <x:c r="U39" s="93" t="n">
        <x:v>28</x:v>
      </x:c>
      <x:c r="V39" s="93" t="n">
        <x:v>26</x:v>
      </x:c>
      <x:c r="W39" s="93" t="n">
        <x:v>24</x:v>
      </x:c>
      <x:c r="X39" s="14" t="str">
        <x:v>p. 57</x:v>
      </x:c>
      <x:c r="Y39" s="14" t="str">
        <x:v>Regra 2. A figura arredonda Alerta para 160 L/s; a regra oficial usa 16%.</x:v>
      </x:c>
      <x:c r="Z39" s="14" t="str">
        <x:v>Plano de Gestão Proativa de Secas - Hidrossistema Canoas.pdf</x:v>
      </x:c>
    </x:row>
    <x:row r="40">
      <x:c r="A40" s="14" t="n">
        <x:v>13</x:v>
      </x:c>
      <x:c r="B40" s="14" t="str">
        <x:v>Canoas</x:v>
      </x:c>
      <x:c r="C40" s="14" t="str">
        <x:v>Regra 2</x:v>
      </x:c>
      <x:c r="D40" s="14" t="n">
        <x:v>190</x:v>
      </x:c>
      <x:c r="E40" s="14" t="str">
        <x:v>VM3</x:v>
      </x:c>
      <x:c r="F40" s="14" t="str">
        <x:v>Seca Severa</x:v>
      </x:c>
      <x:c r="G40" s="14" t="str">
        <x:v>80%</x:v>
      </x:c>
      <x:c r="H40" s="14" t="n">
        <x:v>38</x:v>
      </x:c>
      <x:c r="I40" s="105" t="n">
        <x:f>IF(OR(D40="",H40=""),"",(D40-H40)/D40*100)</x:f>
        <x:v>80</x:v>
      </x:c>
      <x:c r="J40" s="107" t="n">
        <x:v>80</x:v>
      </x:c>
      <x:c r="K40" s="14" t="str">
        <x:v>Percentual explícito do PGPS</x:v>
      </x:c>
      <x:c r="L40" s="93" t="n">
        <x:v>13</x:v>
      </x:c>
      <x:c r="M40" s="93" t="n">
        <x:v>12</x:v>
      </x:c>
      <x:c r="N40" s="93" t="n">
        <x:v>12</x:v>
      </x:c>
      <x:c r="O40" s="93" t="n">
        <x:v>13</x:v>
      </x:c>
      <x:c r="P40" s="93" t="n">
        <x:v>15</x:v>
      </x:c>
      <x:c r="Q40" s="93" t="n">
        <x:v>15</x:v>
      </x:c>
      <x:c r="R40" s="93" t="n">
        <x:v>24</x:v>
      </x:c>
      <x:c r="S40" s="93" t="n">
        <x:v>22</x:v>
      </x:c>
      <x:c r="T40" s="93" t="n">
        <x:v>20</x:v>
      </x:c>
      <x:c r="U40" s="93" t="n">
        <x:v>18</x:v>
      </x:c>
      <x:c r="V40" s="93" t="n">
        <x:v>16</x:v>
      </x:c>
      <x:c r="W40" s="93" t="n">
        <x:v>15</x:v>
      </x:c>
      <x:c r="X40" s="14" t="str">
        <x:v>p. 57</x:v>
      </x:c>
      <x:c r="Y40" s="14" t="str">
        <x:v>Regra 2. A figura arredonda Alerta para 160 L/s; a regra oficial usa 16%.</x:v>
      </x:c>
      <x:c r="Z40" s="14" t="str">
        <x:v>Plano de Gestão Proativa de Secas - Hidrossistema Canoas.pdf</x:v>
      </x:c>
    </x:row>
    <x:row r="41">
      <x:c r="A41" s="14" t="n">
        <x:v>14</x:v>
      </x:c>
      <x:c r="B41" s="14" t="str">
        <x:v>Castro</x:v>
      </x:c>
      <x:c r="C41" s="14" t="str">
        <x:v>Possibilidade 1 / Cenário 1 – 150 L/s</x:v>
      </x:c>
      <x:c r="D41" s="14" t="n">
        <x:v>150</x:v>
      </x:c>
      <x:c r="E41" s="14" t="str">
        <x:v>VM1</x:v>
      </x:c>
      <x:c r="F41" s="14" t="str">
        <x:v>Alerta</x:v>
      </x:c>
      <x:c r="G41" s="14" t="str">
        <x:v>20%</x:v>
      </x:c>
      <x:c r="H41" s="14" t="n">
        <x:v>120</x:v>
      </x:c>
      <x:c r="I41" s="105" t="n">
        <x:f>IF(OR(D41="",H41=""),"",(D41-H41)/D41*100)</x:f>
        <x:v>20</x:v>
      </x:c>
      <x:c r="J41" s="107" t="n">
        <x:v>20</x:v>
      </x:c>
      <x:c r="K41" s="14" t="str">
        <x:v>Percentual explícito do Cenário 1</x:v>
      </x:c>
      <x:c r="L41" s="93" t="n">
        <x:v>34</x:v>
      </x:c>
      <x:c r="M41" s="93" t="n">
        <x:v>32</x:v>
      </x:c>
      <x:c r="N41" s="93" t="n">
        <x:v>31</x:v>
      </x:c>
      <x:c r="O41" s="93" t="n">
        <x:v>31</x:v>
      </x:c>
      <x:c r="P41" s="93" t="n">
        <x:v>31</x:v>
      </x:c>
      <x:c r="Q41" s="93" t="n">
        <x:v>32</x:v>
      </x:c>
      <x:c r="R41" s="93" t="n">
        <x:v>43</x:v>
      </x:c>
      <x:c r="S41" s="93" t="n">
        <x:v>42</x:v>
      </x:c>
      <x:c r="T41" s="93" t="n">
        <x:v>41</x:v>
      </x:c>
      <x:c r="U41" s="93" t="n">
        <x:v>39</x:v>
      </x:c>
      <x:c r="V41" s="93" t="n">
        <x:v>37</x:v>
      </x:c>
      <x:c r="W41" s="93" t="n">
        <x:v>35</x:v>
      </x:c>
      <x:c r="X41" s="14" t="str">
        <x:v>p. 59</x:v>
      </x:c>
      <x:c r="Y41" s="14" t="str">
        <x:v>Para a opção escolhida com 150 L/s no Normal, usar 20/40/70%.</x:v>
      </x:c>
      <x:c r="Z41" s="14" t="str">
        <x:v>Plano de Gestão Proativa de Secas - Hidrossistema Castro.pdf</x:v>
      </x:c>
    </x:row>
    <x:row r="42">
      <x:c r="A42" s="14" t="n">
        <x:v>14</x:v>
      </x:c>
      <x:c r="B42" s="14" t="str">
        <x:v>Castro</x:v>
      </x:c>
      <x:c r="C42" s="14" t="str">
        <x:v>Possibilidade 1 / Cenário 1 – 150 L/s</x:v>
      </x:c>
      <x:c r="D42" s="14" t="n">
        <x:v>150</x:v>
      </x:c>
      <x:c r="E42" s="14" t="str">
        <x:v>VM2</x:v>
      </x:c>
      <x:c r="F42" s="14" t="str">
        <x:v>Seca</x:v>
      </x:c>
      <x:c r="G42" s="14" t="str">
        <x:v>40%</x:v>
      </x:c>
      <x:c r="H42" s="14" t="n">
        <x:v>90</x:v>
      </x:c>
      <x:c r="I42" s="105" t="n">
        <x:f>IF(OR(D42="",H42=""),"",(D42-H42)/D42*100)</x:f>
        <x:v>40</x:v>
      </x:c>
      <x:c r="J42" s="107" t="n">
        <x:v>40</x:v>
      </x:c>
      <x:c r="K42" s="14" t="str">
        <x:v>Percentual explícito do Cenário 1</x:v>
      </x:c>
      <x:c r="L42" s="93" t="n">
        <x:v>22</x:v>
      </x:c>
      <x:c r="M42" s="93" t="n">
        <x:v>21</x:v>
      </x:c>
      <x:c r="N42" s="93" t="n">
        <x:v>20</x:v>
      </x:c>
      <x:c r="O42" s="93" t="n">
        <x:v>19</x:v>
      </x:c>
      <x:c r="P42" s="93" t="n">
        <x:v>20</x:v>
      </x:c>
      <x:c r="Q42" s="93" t="n">
        <x:v>21</x:v>
      </x:c>
      <x:c r="R42" s="93" t="n">
        <x:v>29</x:v>
      </x:c>
      <x:c r="S42" s="93" t="n">
        <x:v>28</x:v>
      </x:c>
      <x:c r="T42" s="93" t="n">
        <x:v>27</x:v>
      </x:c>
      <x:c r="U42" s="93" t="n">
        <x:v>26</x:v>
      </x:c>
      <x:c r="V42" s="93" t="n">
        <x:v>24</x:v>
      </x:c>
      <x:c r="W42" s="93" t="n">
        <x:v>23</x:v>
      </x:c>
      <x:c r="X42" s="14" t="str">
        <x:v>p. 59</x:v>
      </x:c>
      <x:c r="Y42" s="14" t="str">
        <x:v>Para a opção escolhida com 150 L/s no Normal, usar 20/40/70%.</x:v>
      </x:c>
      <x:c r="Z42" s="14" t="str">
        <x:v>Plano de Gestão Proativa de Secas - Hidrossistema Castro.pdf</x:v>
      </x:c>
    </x:row>
    <x:row r="43">
      <x:c r="A43" s="14" t="n">
        <x:v>14</x:v>
      </x:c>
      <x:c r="B43" s="14" t="str">
        <x:v>Castro</x:v>
      </x:c>
      <x:c r="C43" s="14" t="str">
        <x:v>Possibilidade 1 / Cenário 1 – 150 L/s</x:v>
      </x:c>
      <x:c r="D43" s="14" t="n">
        <x:v>150</x:v>
      </x:c>
      <x:c r="E43" s="14" t="str">
        <x:v>VM3</x:v>
      </x:c>
      <x:c r="F43" s="14" t="str">
        <x:v>Seca Severa</x:v>
      </x:c>
      <x:c r="G43" s="14" t="str">
        <x:v>70%</x:v>
      </x:c>
      <x:c r="H43" s="14" t="n">
        <x:v>45</x:v>
      </x:c>
      <x:c r="I43" s="105" t="n">
        <x:f>IF(OR(D43="",H43=""),"",(D43-H43)/D43*100)</x:f>
        <x:v>70</x:v>
      </x:c>
      <x:c r="J43" s="107" t="n">
        <x:v>70</x:v>
      </x:c>
      <x:c r="K43" s="14" t="str">
        <x:v>Percentual explícito do Cenário 1</x:v>
      </x:c>
      <x:c r="L43" s="93" t="n">
        <x:v>12</x:v>
      </x:c>
      <x:c r="M43" s="93" t="n">
        <x:v>12</x:v>
      </x:c>
      <x:c r="N43" s="93" t="n">
        <x:v>11</x:v>
      </x:c>
      <x:c r="O43" s="93" t="n">
        <x:v>11</x:v>
      </x:c>
      <x:c r="P43" s="93" t="n">
        <x:v>11</x:v>
      </x:c>
      <x:c r="Q43" s="93" t="n">
        <x:v>13</x:v>
      </x:c>
      <x:c r="R43" s="93" t="n">
        <x:v>18</x:v>
      </x:c>
      <x:c r="S43" s="93" t="n">
        <x:v>17</x:v>
      </x:c>
      <x:c r="T43" s="93" t="n">
        <x:v>17</x:v>
      </x:c>
      <x:c r="U43" s="93" t="n">
        <x:v>16</x:v>
      </x:c>
      <x:c r="V43" s="93" t="n">
        <x:v>14</x:v>
      </x:c>
      <x:c r="W43" s="93" t="n">
        <x:v>13</x:v>
      </x:c>
      <x:c r="X43" s="14" t="str">
        <x:v>p. 59</x:v>
      </x:c>
      <x:c r="Y43" s="14" t="str">
        <x:v>Para a opção escolhida com 150 L/s no Normal, usar 20/40/70%.</x:v>
      </x:c>
      <x:c r="Z43" s="14" t="str">
        <x:v>Plano de Gestão Proativa de Secas - Hidrossistema Castro.pdf</x:v>
      </x:c>
    </x:row>
    <x:row r="44">
      <x:c r="A44" s="14" t="n">
        <x:v>15</x:v>
      </x:c>
      <x:c r="B44" s="14" t="str">
        <x:v>Forquilha</x:v>
      </x:c>
      <x:c r="C44" s="14" t="str">
        <x:v>Cenário 2</x:v>
      </x:c>
      <x:c r="D44" s="14" t="n">
        <x:v>120</x:v>
      </x:c>
      <x:c r="E44" s="14" t="str">
        <x:v>VM1</x:v>
      </x:c>
      <x:c r="F44" s="14" t="str">
        <x:v>Alerta</x:v>
      </x:c>
      <x:c r="G44" s="14" t="str">
        <x:v>Tipo I 0%; Tipo II 30%</x:v>
      </x:c>
      <x:c r="H44" s="14" t="n">
        <x:v>92</x:v>
      </x:c>
      <x:c r="I44" s="105" t="n">
        <x:f>IF(OR(D44="",H44=""),"",(D44-H44)/D44*100)</x:f>
        <x:v>23.333333333333332</x:v>
      </x:c>
      <x:c r="J44" s="107" t="n">
        <x:f>I44</x:f>
        <x:v>23.333333333333332</x:v>
      </x:c>
      <x:c r="K44" s="14" t="str">
        <x:v>Equivalência pela vazão final da figura</x:v>
      </x:c>
      <x:c r="L44" s="93" t="n">
        <x:v>17</x:v>
      </x:c>
      <x:c r="M44" s="93" t="n">
        <x:v>16</x:v>
      </x:c>
      <x:c r="N44" s="93" t="n">
        <x:v>15</x:v>
      </x:c>
      <x:c r="O44" s="93" t="n">
        <x:v>15</x:v>
      </x:c>
      <x:c r="P44" s="93" t="n">
        <x:v>17</x:v>
      </x:c>
      <x:c r="Q44" s="93" t="n">
        <x:v>17</x:v>
      </x:c>
      <x:c r="R44" s="93" t="n">
        <x:v>31</x:v>
      </x:c>
      <x:c r="S44" s="93" t="n">
        <x:v>29</x:v>
      </x:c>
      <x:c r="T44" s="93" t="n">
        <x:v>27</x:v>
      </x:c>
      <x:c r="U44" s="93" t="n">
        <x:v>24</x:v>
      </x:c>
      <x:c r="V44" s="93" t="n">
        <x:v>22</x:v>
      </x:c>
      <x:c r="W44" s="93" t="n">
        <x:v>19</x:v>
      </x:c>
      <x:c r="X44" s="14" t="str">
        <x:v>p. 58</x:v>
      </x:c>
      <x:c r="Y44" s="14" t="str">
        <x:v>Cenário 2/Atendimento 2. A figura final apresenta 120/92/56/20 L/s.</x:v>
      </x:c>
      <x:c r="Z44" s="14" t="str">
        <x:v>Plano de Gestão Proativa de Secas - Hidrossistema Forquilha.pdf</x:v>
      </x:c>
    </x:row>
    <x:row r="45">
      <x:c r="A45" s="14" t="n">
        <x:v>15</x:v>
      </x:c>
      <x:c r="B45" s="14" t="str">
        <x:v>Forquilha</x:v>
      </x:c>
      <x:c r="C45" s="14" t="str">
        <x:v>Cenário 2</x:v>
      </x:c>
      <x:c r="D45" s="14" t="n">
        <x:v>120</x:v>
      </x:c>
      <x:c r="E45" s="14" t="str">
        <x:v>VM2</x:v>
      </x:c>
      <x:c r="F45" s="14" t="str">
        <x:v>Seca</x:v>
      </x:c>
      <x:c r="G45" s="14" t="str">
        <x:v>Tipo I 30%; Tipo II 50%</x:v>
      </x:c>
      <x:c r="H45" s="14" t="n">
        <x:v>56</x:v>
      </x:c>
      <x:c r="I45" s="105" t="n">
        <x:f>IF(OR(D45="",H45=""),"",(D45-H45)/D45*100)</x:f>
        <x:v>53.333333333333336</x:v>
      </x:c>
      <x:c r="J45" s="107" t="n">
        <x:f>I45</x:f>
        <x:v>53.333333333333336</x:v>
      </x:c>
      <x:c r="K45" s="14" t="str">
        <x:v>Equivalência pela vazão final da figura</x:v>
      </x:c>
      <x:c r="L45" s="93" t="n">
        <x:v>11</x:v>
      </x:c>
      <x:c r="M45" s="93" t="n">
        <x:v>10</x:v>
      </x:c>
      <x:c r="N45" s="93" t="n">
        <x:v>9</x:v>
      </x:c>
      <x:c r="O45" s="93" t="n">
        <x:v>10</x:v>
      </x:c>
      <x:c r="P45" s="93" t="n">
        <x:v>11</x:v>
      </x:c>
      <x:c r="Q45" s="93" t="n">
        <x:v>12</x:v>
      </x:c>
      <x:c r="R45" s="93" t="n">
        <x:v>23</x:v>
      </x:c>
      <x:c r="S45" s="93" t="n">
        <x:v>21</x:v>
      </x:c>
      <x:c r="T45" s="93" t="n">
        <x:v>19</x:v>
      </x:c>
      <x:c r="U45" s="93" t="n">
        <x:v>17</x:v>
      </x:c>
      <x:c r="V45" s="93" t="n">
        <x:v>15</x:v>
      </x:c>
      <x:c r="W45" s="93" t="n">
        <x:v>13</x:v>
      </x:c>
      <x:c r="X45" s="14" t="str">
        <x:v>p. 58</x:v>
      </x:c>
      <x:c r="Y45" s="14" t="str">
        <x:v>Cenário 2/Atendimento 2. A figura final apresenta 120/92/56/20 L/s.</x:v>
      </x:c>
      <x:c r="Z45" s="14" t="str">
        <x:v>Plano de Gestão Proativa de Secas - Hidrossistema Forquilha.pdf</x:v>
      </x:c>
    </x:row>
    <x:row r="46">
      <x:c r="A46" s="14" t="n">
        <x:v>15</x:v>
      </x:c>
      <x:c r="B46" s="14" t="str">
        <x:v>Forquilha</x:v>
      </x:c>
      <x:c r="C46" s="14" t="str">
        <x:v>Cenário 2</x:v>
      </x:c>
      <x:c r="D46" s="14" t="n">
        <x:v>120</x:v>
      </x:c>
      <x:c r="E46" s="14" t="str">
        <x:v>VM3</x:v>
      </x:c>
      <x:c r="F46" s="14" t="str">
        <x:v>Seca Severa</x:v>
      </x:c>
      <x:c r="G46" s="14" t="str">
        <x:v>Tipo I 50%; Tipo II 100%</x:v>
      </x:c>
      <x:c r="H46" s="14" t="n">
        <x:v>20</x:v>
      </x:c>
      <x:c r="I46" s="105" t="n">
        <x:f>IF(OR(D46="",H46=""),"",(D46-H46)/D46*100)</x:f>
        <x:v>83.33333333333334</x:v>
      </x:c>
      <x:c r="J46" s="107" t="n">
        <x:f>I46</x:f>
        <x:v>83.33333333333334</x:v>
      </x:c>
      <x:c r="K46" s="14" t="str">
        <x:v>Equivalência pela vazão final da figura</x:v>
      </x:c>
      <x:c r="L46" s="93" t="n">
        <x:v>7</x:v>
      </x:c>
      <x:c r="M46" s="93" t="n">
        <x:v>6</x:v>
      </x:c>
      <x:c r="N46" s="93" t="n">
        <x:v>5</x:v>
      </x:c>
      <x:c r="O46" s="93" t="n">
        <x:v>6</x:v>
      </x:c>
      <x:c r="P46" s="93" t="n">
        <x:v>8</x:v>
      </x:c>
      <x:c r="Q46" s="93" t="n">
        <x:v>9</x:v>
      </x:c>
      <x:c r="R46" s="93" t="n">
        <x:v>17</x:v>
      </x:c>
      <x:c r="S46" s="93" t="n">
        <x:v>16</x:v>
      </x:c>
      <x:c r="T46" s="93" t="n">
        <x:v>14</x:v>
      </x:c>
      <x:c r="U46" s="93" t="n">
        <x:v>12</x:v>
      </x:c>
      <x:c r="V46" s="93" t="n">
        <x:v>10</x:v>
      </x:c>
      <x:c r="W46" s="93" t="n">
        <x:v>8</x:v>
      </x:c>
      <x:c r="X46" s="14" t="str">
        <x:v>p. 58</x:v>
      </x:c>
      <x:c r="Y46" s="14" t="str">
        <x:v>Cenário 2/Atendimento 2. A figura final apresenta 120/92/56/20 L/s.</x:v>
      </x:c>
      <x:c r="Z46" s="14" t="str">
        <x:v>Plano de Gestão Proativa de Secas - Hidrossistema Forquilha.pdf</x:v>
      </x:c>
    </x:row>
    <x:row r="47">
      <x:c r="A47" s="14" t="n">
        <x:v>16</x:v>
      </x:c>
      <x:c r="B47" s="14" t="str">
        <x:v>Jenipapo</x:v>
      </x:c>
      <x:c r="C47" s="14" t="str">
        <x:v>Cenário 2</x:v>
      </x:c>
      <x:c r="D47" s="14" t="n">
        <x:v>55</x:v>
      </x:c>
      <x:c r="E47" s="14" t="str">
        <x:v>VM1</x:v>
      </x:c>
      <x:c r="F47" s="14" t="str">
        <x:v>Alerta</x:v>
      </x:c>
      <x:c r="G47" s="14" t="str">
        <x:v>Tipo I 0%; Tipo II 0%</x:v>
      </x:c>
      <x:c r="H47" s="14" t="n">
        <x:v>55</x:v>
      </x:c>
      <x:c r="I47" s="105" t="n">
        <x:f>IF(OR(D47="",H47=""),"",(D47-H47)/D47*100)</x:f>
        <x:v>0</x:v>
      </x:c>
      <x:c r="J47" s="107" t="n">
        <x:f>I47</x:f>
        <x:v>0</x:v>
      </x:c>
      <x:c r="K47" s="14" t="str">
        <x:v>Equivalência pela vazão final da figura</x:v>
      </x:c>
      <x:c r="L47" s="93" t="n">
        <x:v>61</x:v>
      </x:c>
      <x:c r="M47" s="93" t="n">
        <x:v>58</x:v>
      </x:c>
      <x:c r="N47" s="93" t="n">
        <x:v>55</x:v>
      </x:c>
      <x:c r="O47" s="93" t="n">
        <x:v>55</x:v>
      </x:c>
      <x:c r="P47" s="93" t="n">
        <x:v>56</x:v>
      </x:c>
      <x:c r="Q47" s="93" t="n">
        <x:v>55</x:v>
      </x:c>
      <x:c r="R47" s="93" t="n">
        <x:v>79</x:v>
      </x:c>
      <x:c r="S47" s="93" t="n">
        <x:v>76</x:v>
      </x:c>
      <x:c r="T47" s="93" t="n">
        <x:v>73</x:v>
      </x:c>
      <x:c r="U47" s="93" t="n">
        <x:v>70</x:v>
      </x:c>
      <x:c r="V47" s="93" t="n">
        <x:v>67</x:v>
      </x:c>
      <x:c r="W47" s="93" t="n">
        <x:v>64</x:v>
      </x:c>
      <x:c r="X47" s="14" t="str">
        <x:v>p. 60</x:v>
      </x:c>
      <x:c r="Y47" s="14" t="str">
        <x:v>Cenário 2/Atendimento 2. A figura final apresenta 55/55/22/13 L/s.</x:v>
      </x:c>
      <x:c r="Z47" s="14" t="str">
        <x:v>Plano de Gestão Proativa de Secas - Hidrossistema Jenipapo.pdf</x:v>
      </x:c>
    </x:row>
    <x:row r="48">
      <x:c r="A48" s="14" t="n">
        <x:v>16</x:v>
      </x:c>
      <x:c r="B48" s="14" t="str">
        <x:v>Jenipapo</x:v>
      </x:c>
      <x:c r="C48" s="14" t="str">
        <x:v>Cenário 2</x:v>
      </x:c>
      <x:c r="D48" s="14" t="n">
        <x:v>55</x:v>
      </x:c>
      <x:c r="E48" s="14" t="str">
        <x:v>VM2</x:v>
      </x:c>
      <x:c r="F48" s="14" t="str">
        <x:v>Seca</x:v>
      </x:c>
      <x:c r="G48" s="14" t="str">
        <x:v>Tipo I 57%; Tipo II 70%</x:v>
      </x:c>
      <x:c r="H48" s="14" t="n">
        <x:v>22</x:v>
      </x:c>
      <x:c r="I48" s="105" t="n">
        <x:f>IF(OR(D48="",H48=""),"",(D48-H48)/D48*100)</x:f>
        <x:v>60</x:v>
      </x:c>
      <x:c r="J48" s="107" t="n">
        <x:f>I48</x:f>
        <x:v>60</x:v>
      </x:c>
      <x:c r="K48" s="14" t="str">
        <x:v>Equivalência pela vazão final da figura</x:v>
      </x:c>
      <x:c r="L48" s="93" t="n">
        <x:v>55</x:v>
      </x:c>
      <x:c r="M48" s="93" t="n">
        <x:v>52</x:v>
      </x:c>
      <x:c r="N48" s="93" t="n">
        <x:v>50</x:v>
      </x:c>
      <x:c r="O48" s="93" t="n">
        <x:v>49</x:v>
      </x:c>
      <x:c r="P48" s="93" t="n">
        <x:v>50</x:v>
      </x:c>
      <x:c r="Q48" s="93" t="n">
        <x:v>50</x:v>
      </x:c>
      <x:c r="R48" s="93" t="n">
        <x:v>73</x:v>
      </x:c>
      <x:c r="S48" s="93" t="n">
        <x:v>71</x:v>
      </x:c>
      <x:c r="T48" s="93" t="n">
        <x:v>68</x:v>
      </x:c>
      <x:c r="U48" s="93" t="n">
        <x:v>65</x:v>
      </x:c>
      <x:c r="V48" s="93" t="n">
        <x:v>61</x:v>
      </x:c>
      <x:c r="W48" s="93" t="n">
        <x:v>58</x:v>
      </x:c>
      <x:c r="X48" s="14" t="str">
        <x:v>p. 60</x:v>
      </x:c>
      <x:c r="Y48" s="14" t="str">
        <x:v>Cenário 2/Atendimento 2. A figura final apresenta 55/55/22/13 L/s.</x:v>
      </x:c>
      <x:c r="Z48" s="14" t="str">
        <x:v>Plano de Gestão Proativa de Secas - Hidrossistema Jenipapo.pdf</x:v>
      </x:c>
    </x:row>
    <x:row r="49">
      <x:c r="A49" s="14" t="n">
        <x:v>16</x:v>
      </x:c>
      <x:c r="B49" s="14" t="str">
        <x:v>Jenipapo</x:v>
      </x:c>
      <x:c r="C49" s="14" t="str">
        <x:v>Cenário 2</x:v>
      </x:c>
      <x:c r="D49" s="14" t="n">
        <x:v>55</x:v>
      </x:c>
      <x:c r="E49" s="14" t="str">
        <x:v>VM3</x:v>
      </x:c>
      <x:c r="F49" s="14" t="str">
        <x:v>Seca Severa</x:v>
      </x:c>
      <x:c r="G49" s="14" t="str">
        <x:v>Tipo I 70%; Tipo II 100%</x:v>
      </x:c>
      <x:c r="H49" s="14" t="n">
        <x:v>13</x:v>
      </x:c>
      <x:c r="I49" s="105" t="n">
        <x:f>IF(OR(D49="",H49=""),"",(D49-H49)/D49*100)</x:f>
        <x:v>76.36363636363637</x:v>
      </x:c>
      <x:c r="J49" s="107" t="n">
        <x:f>I49</x:f>
        <x:v>76.36363636363637</x:v>
      </x:c>
      <x:c r="K49" s="14" t="str">
        <x:v>Equivalência pela vazão final da figura</x:v>
      </x:c>
      <x:c r="L49" s="93" t="n">
        <x:v>26</x:v>
      </x:c>
      <x:c r="M49" s="93" t="n">
        <x:v>23</x:v>
      </x:c>
      <x:c r="N49" s="93" t="n">
        <x:v>21</x:v>
      </x:c>
      <x:c r="O49" s="93" t="n">
        <x:v>20</x:v>
      </x:c>
      <x:c r="P49" s="93" t="n">
        <x:v>21</x:v>
      </x:c>
      <x:c r="Q49" s="93" t="n">
        <x:v>21</x:v>
      </x:c>
      <x:c r="R49" s="93" t="n">
        <x:v>43</x:v>
      </x:c>
      <x:c r="S49" s="93" t="n">
        <x:v>41</x:v>
      </x:c>
      <x:c r="T49" s="93" t="n">
        <x:v>38</x:v>
      </x:c>
      <x:c r="U49" s="93" t="n">
        <x:v>35</x:v>
      </x:c>
      <x:c r="V49" s="93" t="n">
        <x:v>32</x:v>
      </x:c>
      <x:c r="W49" s="93" t="n">
        <x:v>29</x:v>
      </x:c>
      <x:c r="X49" s="14" t="str">
        <x:v>p. 60</x:v>
      </x:c>
      <x:c r="Y49" s="14" t="str">
        <x:v>Cenário 2/Atendimento 2. A figura final apresenta 55/55/22/13 L/s.</x:v>
      </x:c>
      <x:c r="Z49" s="14" t="str">
        <x:v>Plano de Gestão Proativa de Secas - Hidrossistema Jenipapo.pdf</x:v>
      </x:c>
    </x:row>
    <x:row r="50">
      <x:c r="A50" s="14" t="n">
        <x:v>17</x:v>
      </x:c>
      <x:c r="B50" s="14" t="str">
        <x:v>Joaquim Távora (Feiticeiro)</x:v>
      </x:c>
      <x:c r="C50" s="14" t="str">
        <x:v>Cenário 1 – 105 L/s</x:v>
      </x:c>
      <x:c r="D50" s="14" t="n">
        <x:v>105</x:v>
      </x:c>
      <x:c r="E50" s="14" t="str">
        <x:v>VM1</x:v>
      </x:c>
      <x:c r="F50" s="14" t="str">
        <x:v>Alerta</x:v>
      </x:c>
      <x:c r="G50" s="14" t="str">
        <x:v>Tipo II 20%</x:v>
      </x:c>
      <x:c r="H50" s="14" t="n">
        <x:v>94</x:v>
      </x:c>
      <x:c r="I50" s="105" t="n">
        <x:f>IF(OR(D50="",H50=""),"",(D50-H50)/D50*100)</x:f>
        <x:v>10.476190476190476</x:v>
      </x:c>
      <x:c r="J50" s="107" t="n">
        <x:f>I50</x:f>
        <x:v>10.476190476190476</x:v>
      </x:c>
      <x:c r="K50" s="14" t="str">
        <x:v>Equivalência pela vazão final da figura</x:v>
      </x:c>
      <x:c r="L50" s="93" t="n">
        <x:v>12</x:v>
      </x:c>
      <x:c r="M50" s="93" t="n">
        <x:v>11</x:v>
      </x:c>
      <x:c r="N50" s="93" t="n">
        <x:v>10</x:v>
      </x:c>
      <x:c r="O50" s="93" t="n">
        <x:v>11</x:v>
      </x:c>
      <x:c r="P50" s="93" t="n">
        <x:v>13</x:v>
      </x:c>
      <x:c r="Q50" s="93" t="n">
        <x:v>14</x:v>
      </x:c>
      <x:c r="R50" s="93" t="n">
        <x:v>19</x:v>
      </x:c>
      <x:c r="S50" s="93" t="n">
        <x:v>18</x:v>
      </x:c>
      <x:c r="T50" s="93" t="n">
        <x:v>16</x:v>
      </x:c>
      <x:c r="U50" s="93" t="n">
        <x:v>15</x:v>
      </x:c>
      <x:c r="V50" s="93" t="n">
        <x:v>14</x:v>
      </x:c>
      <x:c r="W50" s="93" t="n">
        <x:v>13</x:v>
      </x:c>
      <x:c r="X50" s="14" t="str">
        <x:v>p. 93</x:v>
      </x:c>
      <x:c r="Y50" s="14" t="str">
        <x:v>O cenário é descrito como 105 L/s no Normal; a própria figura mostra rótulo 'Normal = 103 L/s'. Os equivalentes usam a demanda-base de 105 L/s.</x:v>
      </x:c>
      <x:c r="Z50" s="14" t="str">
        <x:v>Plano de Gestão Proativa de Secas - Hidrossistema Joaquim Távora Feiticeiro.pdf</x:v>
      </x:c>
    </x:row>
    <x:row r="51">
      <x:c r="A51" s="14" t="n">
        <x:v>17</x:v>
      </x:c>
      <x:c r="B51" s="14" t="str">
        <x:v>Joaquim Távora (Feiticeiro)</x:v>
      </x:c>
      <x:c r="C51" s="14" t="str">
        <x:v>Cenário 1 – 105 L/s</x:v>
      </x:c>
      <x:c r="D51" s="14" t="n">
        <x:v>105</x:v>
      </x:c>
      <x:c r="E51" s="14" t="str">
        <x:v>VM2</x:v>
      </x:c>
      <x:c r="F51" s="14" t="str">
        <x:v>Seca</x:v>
      </x:c>
      <x:c r="G51" s="14" t="str">
        <x:v>Tipo II suspensa</x:v>
      </x:c>
      <x:c r="H51" s="14" t="n">
        <x:v>77</x:v>
      </x:c>
      <x:c r="I51" s="105" t="n">
        <x:f>IF(OR(D51="",H51=""),"",(D51-H51)/D51*100)</x:f>
        <x:v>26.666666666666668</x:v>
      </x:c>
      <x:c r="J51" s="107" t="n">
        <x:f>I51</x:f>
        <x:v>26.666666666666668</x:v>
      </x:c>
      <x:c r="K51" s="14" t="str">
        <x:v>Equivalência pela vazão final da figura</x:v>
      </x:c>
      <x:c r="L51" s="93" t="n">
        <x:v>8</x:v>
      </x:c>
      <x:c r="M51" s="93" t="n">
        <x:v>7</x:v>
      </x:c>
      <x:c r="N51" s="93" t="n">
        <x:v>7</x:v>
      </x:c>
      <x:c r="O51" s="93" t="n">
        <x:v>8</x:v>
      </x:c>
      <x:c r="P51" s="93" t="n">
        <x:v>10</x:v>
      </x:c>
      <x:c r="Q51" s="93" t="n">
        <x:v>10</x:v>
      </x:c>
      <x:c r="R51" s="93" t="n">
        <x:v>13</x:v>
      </x:c>
      <x:c r="S51" s="93" t="n">
        <x:v>12</x:v>
      </x:c>
      <x:c r="T51" s="93" t="n">
        <x:v>11</x:v>
      </x:c>
      <x:c r="U51" s="93" t="n">
        <x:v>10</x:v>
      </x:c>
      <x:c r="V51" s="93" t="n">
        <x:v>9</x:v>
      </x:c>
      <x:c r="W51" s="93" t="n">
        <x:v>8</x:v>
      </x:c>
      <x:c r="X51" s="14" t="str">
        <x:v>p. 93</x:v>
      </x:c>
      <x:c r="Y51" s="14" t="str">
        <x:v>O cenário é descrito como 105 L/s no Normal; a própria figura mostra rótulo 'Normal = 103 L/s'. Os equivalentes usam a demanda-base de 105 L/s.</x:v>
      </x:c>
      <x:c r="Z51" s="14" t="str">
        <x:v>Plano de Gestão Proativa de Secas - Hidrossistema Joaquim Távora Feiticeiro.pdf</x:v>
      </x:c>
    </x:row>
    <x:row r="52">
      <x:c r="A52" s="14" t="n">
        <x:v>17</x:v>
      </x:c>
      <x:c r="B52" s="14" t="str">
        <x:v>Joaquim Távora (Feiticeiro)</x:v>
      </x:c>
      <x:c r="C52" s="14" t="str">
        <x:v>Cenário 1 – 105 L/s</x:v>
      </x:c>
      <x:c r="D52" s="14" t="n">
        <x:v>105</x:v>
      </x:c>
      <x:c r="E52" s="14" t="str">
        <x:v>VM3</x:v>
      </x:c>
      <x:c r="F52" s="14" t="str">
        <x:v>Seca Severa</x:v>
      </x:c>
      <x:c r="G52" s="14" t="str">
        <x:v>Tipo II suspensa</x:v>
      </x:c>
      <x:c r="H52" s="14" t="n">
        <x:v>37</x:v>
      </x:c>
      <x:c r="I52" s="105" t="n">
        <x:f>IF(OR(D52="",H52=""),"",(D52-H52)/D52*100)</x:f>
        <x:v>64.76190476190476</x:v>
      </x:c>
      <x:c r="J52" s="107" t="n">
        <x:f>I52</x:f>
        <x:v>64.76190476190476</x:v>
      </x:c>
      <x:c r="K52" s="14" t="str">
        <x:v>Equivalência pela vazão final da figura</x:v>
      </x:c>
      <x:c r="L52" s="93" t="n">
        <x:v>6</x:v>
      </x:c>
      <x:c r="M52" s="93" t="n">
        <x:v>6</x:v>
      </x:c>
      <x:c r="N52" s="93" t="n">
        <x:v>6</x:v>
      </x:c>
      <x:c r="O52" s="93" t="n">
        <x:v>7</x:v>
      </x:c>
      <x:c r="P52" s="93" t="n">
        <x:v>9</x:v>
      </x:c>
      <x:c r="Q52" s="93" t="n">
        <x:v>9</x:v>
      </x:c>
      <x:c r="R52" s="93" t="n">
        <x:v>11</x:v>
      </x:c>
      <x:c r="S52" s="93" t="n">
        <x:v>11</x:v>
      </x:c>
      <x:c r="T52" s="93" t="n">
        <x:v>10</x:v>
      </x:c>
      <x:c r="U52" s="93" t="n">
        <x:v>9</x:v>
      </x:c>
      <x:c r="V52" s="93" t="n">
        <x:v>8</x:v>
      </x:c>
      <x:c r="W52" s="93" t="n">
        <x:v>7</x:v>
      </x:c>
      <x:c r="X52" s="14" t="str">
        <x:v>p. 93</x:v>
      </x:c>
      <x:c r="Y52" s="14" t="str">
        <x:v>O cenário é descrito como 105 L/s no Normal; a própria figura mostra rótulo 'Normal = 103 L/s'. Os equivalentes usam a demanda-base de 105 L/s.</x:v>
      </x:c>
      <x:c r="Z52" s="14" t="str">
        <x:v>Plano de Gestão Proativa de Secas - Hidrossistema Joaquim Távora Feiticeiro.pdf</x:v>
      </x:c>
    </x:row>
    <x:row r="53">
      <x:c r="A53" s="14" t="n">
        <x:v>18</x:v>
      </x:c>
      <x:c r="B53" s="14" t="str">
        <x:v>Mundaú</x:v>
      </x:c>
      <x:c r="C53" s="14" t="str">
        <x:v>Cenário 1</x:v>
      </x:c>
      <x:c r="D53" s="14" t="n">
        <x:v>250</x:v>
      </x:c>
      <x:c r="E53" s="14" t="str">
        <x:v>VM1</x:v>
      </x:c>
      <x:c r="F53" s="14" t="str">
        <x:v>Alerta</x:v>
      </x:c>
      <x:c r="G53" s="14" t="str">
        <x:v>0%</x:v>
      </x:c>
      <x:c r="H53" s="14" t="n">
        <x:v>250</x:v>
      </x:c>
      <x:c r="I53" s="105" t="n">
        <x:f>IF(OR(D53="",H53=""),"",(D53-H53)/D53*100)</x:f>
        <x:v>0</x:v>
      </x:c>
      <x:c r="J53" s="107" t="n">
        <x:v>0</x:v>
      </x:c>
      <x:c r="K53" s="14" t="str">
        <x:v>Percentual explícito do PGPS</x:v>
      </x:c>
      <x:c r="L53" s="93" t="n">
        <x:v>55</x:v>
      </x:c>
      <x:c r="M53" s="93" t="n">
        <x:v>52</x:v>
      </x:c>
      <x:c r="N53" s="93" t="n">
        <x:v>50</x:v>
      </x:c>
      <x:c r="O53" s="93" t="n">
        <x:v>51</x:v>
      </x:c>
      <x:c r="P53" s="93" t="n">
        <x:v>54</x:v>
      </x:c>
      <x:c r="Q53" s="93" t="n">
        <x:v>79</x:v>
      </x:c>
      <x:c r="R53" s="93" t="n">
        <x:v>78</x:v>
      </x:c>
      <x:c r="S53" s="93" t="n">
        <x:v>75</x:v>
      </x:c>
      <x:c r="T53" s="93" t="n">
        <x:v>71</x:v>
      </x:c>
      <x:c r="U53" s="93" t="n">
        <x:v>67</x:v>
      </x:c>
      <x:c r="V53" s="93" t="n">
        <x:v>63</x:v>
      </x:c>
      <x:c r="W53" s="93" t="n">
        <x:v>59</x:v>
      </x:c>
      <x:c r="X53" s="14" t="str">
        <x:v>p. 58</x:v>
      </x:c>
      <x:c r="Y53" s="14" t="str">
        <x:v>Cenário 1. Normal e Alerta formam uma zona sem racionamento.</x:v>
      </x:c>
      <x:c r="Z53" s="14" t="str">
        <x:v>Plano de Gestão Proativa de Secas - Hidrossistema Mundaú.pdf</x:v>
      </x:c>
    </x:row>
    <x:row r="54">
      <x:c r="A54" s="14" t="n">
        <x:v>18</x:v>
      </x:c>
      <x:c r="B54" s="14" t="str">
        <x:v>Mundaú</x:v>
      </x:c>
      <x:c r="C54" s="14" t="str">
        <x:v>Cenário 1</x:v>
      </x:c>
      <x:c r="D54" s="14" t="n">
        <x:v>250</x:v>
      </x:c>
      <x:c r="E54" s="14" t="str">
        <x:v>VM2</x:v>
      </x:c>
      <x:c r="F54" s="14" t="str">
        <x:v>Seca</x:v>
      </x:c>
      <x:c r="G54" s="14" t="str">
        <x:v>50%</x:v>
      </x:c>
      <x:c r="H54" s="14" t="n">
        <x:v>125</x:v>
      </x:c>
      <x:c r="I54" s="105" t="n">
        <x:f>IF(OR(D54="",H54=""),"",(D54-H54)/D54*100)</x:f>
        <x:v>50</x:v>
      </x:c>
      <x:c r="J54" s="107" t="n">
        <x:v>50</x:v>
      </x:c>
      <x:c r="K54" s="14" t="str">
        <x:v>Percentual explícito do PGPS</x:v>
      </x:c>
      <x:c r="L54" s="93" t="n">
        <x:v>35</x:v>
      </x:c>
      <x:c r="M54" s="93" t="n">
        <x:v>32</x:v>
      </x:c>
      <x:c r="N54" s="93" t="n">
        <x:v>30</x:v>
      </x:c>
      <x:c r="O54" s="93" t="n">
        <x:v>31</x:v>
      </x:c>
      <x:c r="P54" s="93" t="n">
        <x:v>35</x:v>
      </x:c>
      <x:c r="Q54" s="93" t="n">
        <x:v>58</x:v>
      </x:c>
      <x:c r="R54" s="93" t="n">
        <x:v>57</x:v>
      </x:c>
      <x:c r="S54" s="93" t="n">
        <x:v>54</x:v>
      </x:c>
      <x:c r="T54" s="93" t="n">
        <x:v>50</x:v>
      </x:c>
      <x:c r="U54" s="93" t="n">
        <x:v>47</x:v>
      </x:c>
      <x:c r="V54" s="93" t="n">
        <x:v>43</x:v>
      </x:c>
      <x:c r="W54" s="93" t="n">
        <x:v>39</x:v>
      </x:c>
      <x:c r="X54" s="14" t="str">
        <x:v>p. 58</x:v>
      </x:c>
      <x:c r="Y54" s="14" t="str">
        <x:v>Cenário 1. Normal e Alerta formam uma zona sem racionamento.</x:v>
      </x:c>
      <x:c r="Z54" s="14" t="str">
        <x:v>Plano de Gestão Proativa de Secas - Hidrossistema Mundaú.pdf</x:v>
      </x:c>
    </x:row>
    <x:row r="55">
      <x:c r="A55" s="14" t="n">
        <x:v>18</x:v>
      </x:c>
      <x:c r="B55" s="14" t="str">
        <x:v>Mundaú</x:v>
      </x:c>
      <x:c r="C55" s="14" t="str">
        <x:v>Cenário 1</x:v>
      </x:c>
      <x:c r="D55" s="14" t="n">
        <x:v>250</x:v>
      </x:c>
      <x:c r="E55" s="14" t="str">
        <x:v>VM3</x:v>
      </x:c>
      <x:c r="F55" s="14" t="str">
        <x:v>Seca Severa</x:v>
      </x:c>
      <x:c r="G55" s="14" t="str">
        <x:v>70%</x:v>
      </x:c>
      <x:c r="H55" s="14" t="n">
        <x:v>75</x:v>
      </x:c>
      <x:c r="I55" s="105" t="n">
        <x:f>IF(OR(D55="",H55=""),"",(D55-H55)/D55*100)</x:f>
        <x:v>70</x:v>
      </x:c>
      <x:c r="J55" s="107" t="n">
        <x:v>70</x:v>
      </x:c>
      <x:c r="K55" s="14" t="str">
        <x:v>Percentual explícito do PGPS</x:v>
      </x:c>
      <x:c r="L55" s="93" t="n">
        <x:v>21</x:v>
      </x:c>
      <x:c r="M55" s="93" t="n">
        <x:v>18</x:v>
      </x:c>
      <x:c r="N55" s="93" t="n">
        <x:v>16</x:v>
      </x:c>
      <x:c r="O55" s="93" t="n">
        <x:v>17</x:v>
      </x:c>
      <x:c r="P55" s="93" t="n">
        <x:v>21</x:v>
      </x:c>
      <x:c r="Q55" s="93" t="n">
        <x:v>43</x:v>
      </x:c>
      <x:c r="R55" s="93" t="n">
        <x:v>42</x:v>
      </x:c>
      <x:c r="S55" s="93" t="n">
        <x:v>39</x:v>
      </x:c>
      <x:c r="T55" s="93" t="n">
        <x:v>36</x:v>
      </x:c>
      <x:c r="U55" s="93" t="n">
        <x:v>32</x:v>
      </x:c>
      <x:c r="V55" s="93" t="n">
        <x:v>28</x:v>
      </x:c>
      <x:c r="W55" s="93" t="n">
        <x:v>25</x:v>
      </x:c>
      <x:c r="X55" s="14" t="str">
        <x:v>p. 58</x:v>
      </x:c>
      <x:c r="Y55" s="14" t="str">
        <x:v>Cenário 1. Normal e Alerta formam uma zona sem racionamento.</x:v>
      </x:c>
      <x:c r="Z55" s="14" t="str">
        <x:v>Plano de Gestão Proativa de Secas - Hidrossistema Mundaú.pdf</x:v>
      </x:c>
    </x:row>
    <x:row r="56">
      <x:c r="A56" s="14" t="n">
        <x:v>19</x:v>
      </x:c>
      <x:c r="B56" s="14" t="str">
        <x:v>Olho D’Água</x:v>
      </x:c>
      <x:c r="C56" s="14" t="str">
        <x:v>Cenário A (figura final nomeia Cenário 1)</x:v>
      </x:c>
      <x:c r="D56" s="14" t="n">
        <x:v>100</x:v>
      </x:c>
      <x:c r="E56" s="14" t="str">
        <x:v>VM1</x:v>
      </x:c>
      <x:c r="F56" s="14" t="str">
        <x:v>Alerta</x:v>
      </x:c>
      <x:c r="G56" s="14" t="str">
        <x:v>Tipo I 0%; Tipo II 10%</x:v>
      </x:c>
      <x:c r="H56" s="14" t="n">
        <x:v>95</x:v>
      </x:c>
      <x:c r="I56" s="105" t="n">
        <x:f>IF(OR(D56="",H56=""),"",(D56-H56)/D56*100)</x:f>
        <x:v>5</x:v>
      </x:c>
      <x:c r="J56" s="107" t="n">
        <x:f>I56</x:f>
        <x:v>5</x:v>
      </x:c>
      <x:c r="K56" s="14" t="str">
        <x:v>Equivalência pela vazão final da figura</x:v>
      </x:c>
      <x:c r="L56" s="93" t="n">
        <x:v>33</x:v>
      </x:c>
      <x:c r="M56" s="93" t="n">
        <x:v>30</x:v>
      </x:c>
      <x:c r="N56" s="93" t="n">
        <x:v>29</x:v>
      </x:c>
      <x:c r="O56" s="93" t="n">
        <x:v>29</x:v>
      </x:c>
      <x:c r="P56" s="93" t="n">
        <x:v>30</x:v>
      </x:c>
      <x:c r="Q56" s="93" t="n">
        <x:v>29</x:v>
      </x:c>
      <x:c r="R56" s="93" t="n">
        <x:v>50</x:v>
      </x:c>
      <x:c r="S56" s="93" t="n">
        <x:v>47</x:v>
      </x:c>
      <x:c r="T56" s="93" t="n">
        <x:v>44</x:v>
      </x:c>
      <x:c r="U56" s="93" t="n">
        <x:v>41</x:v>
      </x:c>
      <x:c r="V56" s="93" t="n">
        <x:v>38</x:v>
      </x:c>
      <x:c r="W56" s="93" t="n">
        <x:v>35</x:v>
      </x:c>
      <x:c r="X56" s="14" t="str">
        <x:v>p. 100</x:v>
      </x:c>
      <x:c r="Y56" s="14" t="str">
        <x:v>Cenário A. A figura final apresenta 100/95/71/41 L/s.</x:v>
      </x:c>
      <x:c r="Z56" s="14" t="str">
        <x:v>Plano de Gestão Proativa de Secas - Hidrossistema Olho D’Água.pdf</x:v>
      </x:c>
    </x:row>
    <x:row r="57">
      <x:c r="A57" s="14" t="n">
        <x:v>19</x:v>
      </x:c>
      <x:c r="B57" s="14" t="str">
        <x:v>Olho D’Água</x:v>
      </x:c>
      <x:c r="C57" s="14" t="str">
        <x:v>Cenário A (figura final nomeia Cenário 1)</x:v>
      </x:c>
      <x:c r="D57" s="14" t="n">
        <x:v>100</x:v>
      </x:c>
      <x:c r="E57" s="14" t="str">
        <x:v>VM2</x:v>
      </x:c>
      <x:c r="F57" s="14" t="str">
        <x:v>Seca</x:v>
      </x:c>
      <x:c r="G57" s="14" t="str">
        <x:v>Tipo I 5%; Tipo II 50%</x:v>
      </x:c>
      <x:c r="H57" s="14" t="n">
        <x:v>71</x:v>
      </x:c>
      <x:c r="I57" s="105" t="n">
        <x:f>IF(OR(D57="",H57=""),"",(D57-H57)/D57*100)</x:f>
        <x:v>28.999999999999996</x:v>
      </x:c>
      <x:c r="J57" s="107" t="n">
        <x:f>I57</x:f>
        <x:v>28.999999999999996</x:v>
      </x:c>
      <x:c r="K57" s="14" t="str">
        <x:v>Equivalência pela vazão final da figura</x:v>
      </x:c>
      <x:c r="L57" s="93" t="n">
        <x:v>15</x:v>
      </x:c>
      <x:c r="M57" s="93" t="n">
        <x:v>13</x:v>
      </x:c>
      <x:c r="N57" s="93" t="n">
        <x:v>12</x:v>
      </x:c>
      <x:c r="O57" s="93" t="n">
        <x:v>12</x:v>
      </x:c>
      <x:c r="P57" s="93" t="n">
        <x:v>13</x:v>
      </x:c>
      <x:c r="Q57" s="93" t="n">
        <x:v>13</x:v>
      </x:c>
      <x:c r="R57" s="93" t="n">
        <x:v>30</x:v>
      </x:c>
      <x:c r="S57" s="93" t="n">
        <x:v>27</x:v>
      </x:c>
      <x:c r="T57" s="93" t="n">
        <x:v>25</x:v>
      </x:c>
      <x:c r="U57" s="93" t="n">
        <x:v>22</x:v>
      </x:c>
      <x:c r="V57" s="93" t="n">
        <x:v>19</x:v>
      </x:c>
      <x:c r="W57" s="93" t="n">
        <x:v>17</x:v>
      </x:c>
      <x:c r="X57" s="14" t="str">
        <x:v>p. 100</x:v>
      </x:c>
      <x:c r="Y57" s="14" t="str">
        <x:v>Cenário A. A figura final apresenta 100/95/71/41 L/s.</x:v>
      </x:c>
      <x:c r="Z57" s="14" t="str">
        <x:v>Plano de Gestão Proativa de Secas - Hidrossistema Olho D’Água.pdf</x:v>
      </x:c>
    </x:row>
    <x:row r="58">
      <x:c r="A58" s="14" t="n">
        <x:v>19</x:v>
      </x:c>
      <x:c r="B58" s="14" t="str">
        <x:v>Olho D’Água</x:v>
      </x:c>
      <x:c r="C58" s="14" t="str">
        <x:v>Cenário A (figura final nomeia Cenário 1)</x:v>
      </x:c>
      <x:c r="D58" s="14" t="n">
        <x:v>100</x:v>
      </x:c>
      <x:c r="E58" s="14" t="str">
        <x:v>VM3</x:v>
      </x:c>
      <x:c r="F58" s="14" t="str">
        <x:v>Seca Severa</x:v>
      </x:c>
      <x:c r="G58" s="14" t="str">
        <x:v>Tipo I 10%; Tipo II 100%</x:v>
      </x:c>
      <x:c r="H58" s="14" t="n">
        <x:v>41</x:v>
      </x:c>
      <x:c r="I58" s="105" t="n">
        <x:f>IF(OR(D58="",H58=""),"",(D58-H58)/D58*100)</x:f>
        <x:v>59</x:v>
      </x:c>
      <x:c r="J58" s="107" t="n">
        <x:f>I58</x:f>
        <x:v>59</x:v>
      </x:c>
      <x:c r="K58" s="14" t="str">
        <x:v>Equivalência pela vazão final da figura</x:v>
      </x:c>
      <x:c r="L58" s="93" t="n">
        <x:v>7</x:v>
      </x:c>
      <x:c r="M58" s="93" t="n">
        <x:v>5</x:v>
      </x:c>
      <x:c r="N58" s="93" t="n">
        <x:v>4</x:v>
      </x:c>
      <x:c r="O58" s="93" t="n">
        <x:v>5</x:v>
      </x:c>
      <x:c r="P58" s="93" t="n">
        <x:v>6</x:v>
      </x:c>
      <x:c r="Q58" s="93" t="n">
        <x:v>5</x:v>
      </x:c>
      <x:c r="R58" s="93" t="n">
        <x:v>20</x:v>
      </x:c>
      <x:c r="S58" s="93" t="n">
        <x:v>18</x:v>
      </x:c>
      <x:c r="T58" s="93" t="n">
        <x:v>15</x:v>
      </x:c>
      <x:c r="U58" s="93" t="n">
        <x:v>13</x:v>
      </x:c>
      <x:c r="V58" s="93" t="n">
        <x:v>10</x:v>
      </x:c>
      <x:c r="W58" s="93" t="n">
        <x:v>8</x:v>
      </x:c>
      <x:c r="X58" s="14" t="str">
        <x:v>p. 100</x:v>
      </x:c>
      <x:c r="Y58" s="14" t="str">
        <x:v>Cenário A. A figura final apresenta 100/95/71/41 L/s.</x:v>
      </x:c>
      <x:c r="Z58" s="14" t="str">
        <x:v>Plano de Gestão Proativa de Secas - Hidrossistema Olho D’Água.pdf</x:v>
      </x:c>
    </x:row>
    <x:row r="59">
      <x:c r="A59" s="14" t="n">
        <x:v>20</x:v>
      </x:c>
      <x:c r="B59" s="14" t="str">
        <x:v>Pesqueiro</x:v>
      </x:c>
      <x:c r="C59" s="14" t="str">
        <x:v>Cenário 2</x:v>
      </x:c>
      <x:c r="D59" s="14" t="n">
        <x:v>33</x:v>
      </x:c>
      <x:c r="E59" s="14" t="str">
        <x:v>VM1</x:v>
      </x:c>
      <x:c r="F59" s="14" t="str">
        <x:v>Alerta</x:v>
      </x:c>
      <x:c r="G59" s="14" t="str">
        <x:v>Irrigação 25%</x:v>
      </x:c>
      <x:c r="H59" s="14" t="n">
        <x:v>30</x:v>
      </x:c>
      <x:c r="I59" s="105" t="n">
        <x:f>IF(OR(D59="",H59=""),"",(D59-H59)/D59*100)</x:f>
        <x:v>9.090909090909092</x:v>
      </x:c>
      <x:c r="J59" s="107" t="n">
        <x:f>I59</x:f>
        <x:v>9.090909090909092</x:v>
      </x:c>
      <x:c r="K59" s="14" t="str">
        <x:v>Equivalência pela vazão final do Cenário 2</x:v>
      </x:c>
      <x:c r="L59" s="93" t="n">
        <x:v>28</x:v>
      </x:c>
      <x:c r="M59" s="93" t="n">
        <x:v>27</x:v>
      </x:c>
      <x:c r="N59" s="93" t="n">
        <x:v>25</x:v>
      </x:c>
      <x:c r="O59" s="93" t="n">
        <x:v>25</x:v>
      </x:c>
      <x:c r="P59" s="93" t="n">
        <x:v>26</x:v>
      </x:c>
      <x:c r="Q59" s="93" t="n">
        <x:v>28</x:v>
      </x:c>
      <x:c r="R59" s="93" t="n">
        <x:v>43</x:v>
      </x:c>
      <x:c r="S59" s="93" t="n">
        <x:v>41</x:v>
      </x:c>
      <x:c r="T59" s="93" t="n">
        <x:v>39</x:v>
      </x:c>
      <x:c r="U59" s="93" t="n">
        <x:v>36</x:v>
      </x:c>
      <x:c r="V59" s="93" t="n">
        <x:v>33</x:v>
      </x:c>
      <x:c r="W59" s="93" t="n">
        <x:v>31</x:v>
      </x:c>
      <x:c r="X59" s="14" t="str">
        <x:v>p. 52</x:v>
      </x:c>
      <x:c r="Y59" s="14" t="str">
        <x:v>Cenário 2 escolhido. A figura correspondente apresenta 33/30/26/14 L/s.</x:v>
      </x:c>
      <x:c r="Z59" s="14" t="str">
        <x:v>Plano de Gestão Proativa de Secas - Hidrossistema Pesqueiro.pdf</x:v>
      </x:c>
    </x:row>
    <x:row r="60">
      <x:c r="A60" s="14" t="n">
        <x:v>20</x:v>
      </x:c>
      <x:c r="B60" s="14" t="str">
        <x:v>Pesqueiro</x:v>
      </x:c>
      <x:c r="C60" s="14" t="str">
        <x:v>Cenário 2</x:v>
      </x:c>
      <x:c r="D60" s="14" t="n">
        <x:v>33</x:v>
      </x:c>
      <x:c r="E60" s="14" t="str">
        <x:v>VM2</x:v>
      </x:c>
      <x:c r="F60" s="14" t="str">
        <x:v>Seca</x:v>
      </x:c>
      <x:c r="G60" s="14" t="str">
        <x:v>Irrigação 50%</x:v>
      </x:c>
      <x:c r="H60" s="14" t="n">
        <x:v>26</x:v>
      </x:c>
      <x:c r="I60" s="105" t="n">
        <x:f>IF(OR(D60="",H60=""),"",(D60-H60)/D60*100)</x:f>
        <x:v>21.21212121212121</x:v>
      </x:c>
      <x:c r="J60" s="107" t="n">
        <x:f>I60</x:f>
        <x:v>21.21212121212121</x:v>
      </x:c>
      <x:c r="K60" s="14" t="str">
        <x:v>Equivalência pela vazão final do Cenário 2</x:v>
      </x:c>
      <x:c r="L60" s="93" t="n">
        <x:v>17</x:v>
      </x:c>
      <x:c r="M60" s="93" t="n">
        <x:v>16</x:v>
      </x:c>
      <x:c r="N60" s="93" t="n">
        <x:v>15</x:v>
      </x:c>
      <x:c r="O60" s="93" t="n">
        <x:v>15</x:v>
      </x:c>
      <x:c r="P60" s="93" t="n">
        <x:v>16</x:v>
      </x:c>
      <x:c r="Q60" s="93" t="n">
        <x:v>18</x:v>
      </x:c>
      <x:c r="R60" s="93" t="n">
        <x:v>28</x:v>
      </x:c>
      <x:c r="S60" s="93" t="n">
        <x:v>27</x:v>
      </x:c>
      <x:c r="T60" s="93" t="n">
        <x:v>25</x:v>
      </x:c>
      <x:c r="U60" s="93" t="n">
        <x:v>23</x:v>
      </x:c>
      <x:c r="V60" s="93" t="n">
        <x:v>21</x:v>
      </x:c>
      <x:c r="W60" s="93" t="n">
        <x:v>19</x:v>
      </x:c>
      <x:c r="X60" s="14" t="str">
        <x:v>p. 52</x:v>
      </x:c>
      <x:c r="Y60" s="14" t="str">
        <x:v>Cenário 2 escolhido. A figura correspondente apresenta 33/30/26/14 L/s.</x:v>
      </x:c>
      <x:c r="Z60" s="14" t="str">
        <x:v>Plano de Gestão Proativa de Secas - Hidrossistema Pesqueiro.pdf</x:v>
      </x:c>
    </x:row>
    <x:row r="61">
      <x:c r="A61" s="14" t="n">
        <x:v>20</x:v>
      </x:c>
      <x:c r="B61" s="14" t="str">
        <x:v>Pesqueiro</x:v>
      </x:c>
      <x:c r="C61" s="14" t="str">
        <x:v>Cenário 2</x:v>
      </x:c>
      <x:c r="D61" s="14" t="n">
        <x:v>33</x:v>
      </x:c>
      <x:c r="E61" s="14" t="str">
        <x:v>VM3</x:v>
      </x:c>
      <x:c r="F61" s="14" t="str">
        <x:v>Seca Severa</x:v>
      </x:c>
      <x:c r="G61" s="14" t="str">
        <x:v>Irrigação 100%; consumo humano 30%</x:v>
      </x:c>
      <x:c r="H61" s="14" t="n">
        <x:v>14</x:v>
      </x:c>
      <x:c r="I61" s="105" t="n">
        <x:f>IF(OR(D61="",H61=""),"",(D61-H61)/D61*100)</x:f>
        <x:v>57.57575757575758</x:v>
      </x:c>
      <x:c r="J61" s="107" t="n">
        <x:f>I61</x:f>
        <x:v>57.57575757575758</x:v>
      </x:c>
      <x:c r="K61" s="14" t="str">
        <x:v>Equivalência pela vazão final do Cenário 2</x:v>
      </x:c>
      <x:c r="L61" s="93" t="n">
        <x:v>7</x:v>
      </x:c>
      <x:c r="M61" s="93" t="n">
        <x:v>6</x:v>
      </x:c>
      <x:c r="N61" s="93" t="n">
        <x:v>6</x:v>
      </x:c>
      <x:c r="O61" s="93" t="n">
        <x:v>6</x:v>
      </x:c>
      <x:c r="P61" s="93" t="n">
        <x:v>7</x:v>
      </x:c>
      <x:c r="Q61" s="93" t="n">
        <x:v>9</x:v>
      </x:c>
      <x:c r="R61" s="93" t="n">
        <x:v>15</x:v>
      </x:c>
      <x:c r="S61" s="93" t="n">
        <x:v>15</x:v>
      </x:c>
      <x:c r="T61" s="93" t="n">
        <x:v>13</x:v>
      </x:c>
      <x:c r="U61" s="93" t="n">
        <x:v>12</x:v>
      </x:c>
      <x:c r="V61" s="93" t="n">
        <x:v>10</x:v>
      </x:c>
      <x:c r="W61" s="93" t="n">
        <x:v>9</x:v>
      </x:c>
      <x:c r="X61" s="14" t="str">
        <x:v>p. 52</x:v>
      </x:c>
      <x:c r="Y61" s="14" t="str">
        <x:v>Cenário 2 escolhido. A figura correspondente apresenta 33/30/26/14 L/s.</x:v>
      </x:c>
      <x:c r="Z61" s="14" t="str">
        <x:v>Plano de Gestão Proativa de Secas - Hidrossistema Pesqueiro.pdf</x:v>
      </x:c>
    </x:row>
    <x:row r="62">
      <x:c r="A62" s="14" t="n">
        <x:v>21</x:v>
      </x:c>
      <x:c r="B62" s="14" t="str">
        <x:v>Poço Verde</x:v>
      </x:c>
      <x:c r="C62" s="14" t="str">
        <x:v>Cenário 2</x:v>
      </x:c>
      <x:c r="D62" s="14" t="n">
        <x:v>105</x:v>
      </x:c>
      <x:c r="E62" s="14" t="str">
        <x:v>VM1</x:v>
      </x:c>
      <x:c r="F62" s="14" t="str">
        <x:v>Alerta</x:v>
      </x:c>
      <x:c r="G62" s="14" t="str">
        <x:v>23%</x:v>
      </x:c>
      <x:c r="H62" s="14" t="n">
        <x:v>81</x:v>
      </x:c>
      <x:c r="I62" s="105" t="n">
        <x:f>IF(OR(D62="",H62=""),"",(D62-H62)/D62*100)</x:f>
        <x:v>22.857142857142858</x:v>
      </x:c>
      <x:c r="J62" s="107" t="n">
        <x:v>23</x:v>
      </x:c>
      <x:c r="K62" s="14" t="str">
        <x:v>Percentual explícito do Atendimento 2</x:v>
      </x:c>
      <x:c r="L62" s="93" t="n">
        <x:v>31</x:v>
      </x:c>
      <x:c r="M62" s="93" t="n">
        <x:v>27</x:v>
      </x:c>
      <x:c r="N62" s="93" t="n">
        <x:v>24</x:v>
      </x:c>
      <x:c r="O62" s="93" t="n">
        <x:v>27</x:v>
      </x:c>
      <x:c r="P62" s="93" t="n">
        <x:v>32</x:v>
      </x:c>
      <x:c r="Q62" s="93" t="n">
        <x:v>33</x:v>
      </x:c>
      <x:c r="R62" s="93" t="n">
        <x:v>69</x:v>
      </x:c>
      <x:c r="S62" s="93" t="n">
        <x:v>64</x:v>
      </x:c>
      <x:c r="T62" s="93" t="n">
        <x:v>57</x:v>
      </x:c>
      <x:c r="U62" s="93" t="n">
        <x:v>50</x:v>
      </x:c>
      <x:c r="V62" s="93" t="n">
        <x:v>43</x:v>
      </x:c>
      <x:c r="W62" s="93" t="n">
        <x:v>37</x:v>
      </x:c>
      <x:c r="X62" s="14" t="str">
        <x:v>p. 59</x:v>
      </x:c>
      <x:c r="Y62" s="14" t="str">
        <x:v>O cenário escolhido utiliza o Atendimento 2; as vazões 105/81/32/21 L/s são compatíveis com arredondamento.</x:v>
      </x:c>
      <x:c r="Z62" s="14" t="str">
        <x:v>Plano de Gestão Proativa de Secas - Hidrossistema Poço Verde.pdf</x:v>
      </x:c>
    </x:row>
    <x:row r="63">
      <x:c r="A63" s="14" t="n">
        <x:v>21</x:v>
      </x:c>
      <x:c r="B63" s="14" t="str">
        <x:v>Poço Verde</x:v>
      </x:c>
      <x:c r="C63" s="14" t="str">
        <x:v>Cenário 2</x:v>
      </x:c>
      <x:c r="D63" s="14" t="n">
        <x:v>105</x:v>
      </x:c>
      <x:c r="E63" s="14" t="str">
        <x:v>VM2</x:v>
      </x:c>
      <x:c r="F63" s="14" t="str">
        <x:v>Seca</x:v>
      </x:c>
      <x:c r="G63" s="14" t="str">
        <x:v>70%</x:v>
      </x:c>
      <x:c r="H63" s="14" t="n">
        <x:v>32</x:v>
      </x:c>
      <x:c r="I63" s="105" t="n">
        <x:f>IF(OR(D63="",H63=""),"",(D63-H63)/D63*100)</x:f>
        <x:v>69.52380952380952</x:v>
      </x:c>
      <x:c r="J63" s="107" t="n">
        <x:v>70</x:v>
      </x:c>
      <x:c r="K63" s="14" t="str">
        <x:v>Percentual explícito do Atendimento 2</x:v>
      </x:c>
      <x:c r="L63" s="93" t="n">
        <x:v>24</x:v>
      </x:c>
      <x:c r="M63" s="93" t="n">
        <x:v>20</x:v>
      </x:c>
      <x:c r="N63" s="93" t="n">
        <x:v>18</x:v>
      </x:c>
      <x:c r="O63" s="93" t="n">
        <x:v>20</x:v>
      </x:c>
      <x:c r="P63" s="93" t="n">
        <x:v>26</x:v>
      </x:c>
      <x:c r="Q63" s="93" t="n">
        <x:v>27</x:v>
      </x:c>
      <x:c r="R63" s="93" t="n">
        <x:v>59</x:v>
      </x:c>
      <x:c r="S63" s="93" t="n">
        <x:v>54</x:v>
      </x:c>
      <x:c r="T63" s="93" t="n">
        <x:v>48</x:v>
      </x:c>
      <x:c r="U63" s="93" t="n">
        <x:v>42</x:v>
      </x:c>
      <x:c r="V63" s="93" t="n">
        <x:v>35</x:v>
      </x:c>
      <x:c r="W63" s="93" t="n">
        <x:v>29</x:v>
      </x:c>
      <x:c r="X63" s="14" t="str">
        <x:v>p. 59</x:v>
      </x:c>
      <x:c r="Y63" s="14" t="str">
        <x:v>O cenário escolhido utiliza o Atendimento 2; as vazões 105/81/32/21 L/s são compatíveis com arredondamento.</x:v>
      </x:c>
      <x:c r="Z63" s="14" t="str">
        <x:v>Plano de Gestão Proativa de Secas - Hidrossistema Poço Verde.pdf</x:v>
      </x:c>
    </x:row>
    <x:row r="64">
      <x:c r="A64" s="14" t="n">
        <x:v>21</x:v>
      </x:c>
      <x:c r="B64" s="14" t="str">
        <x:v>Poço Verde</x:v>
      </x:c>
      <x:c r="C64" s="14" t="str">
        <x:v>Cenário 2</x:v>
      </x:c>
      <x:c r="D64" s="14" t="n">
        <x:v>105</x:v>
      </x:c>
      <x:c r="E64" s="14" t="str">
        <x:v>VM3</x:v>
      </x:c>
      <x:c r="F64" s="14" t="str">
        <x:v>Seca Severa</x:v>
      </x:c>
      <x:c r="G64" s="14" t="str">
        <x:v>80%</x:v>
      </x:c>
      <x:c r="H64" s="14" t="n">
        <x:v>21</x:v>
      </x:c>
      <x:c r="I64" s="105" t="n">
        <x:f>IF(OR(D64="",H64=""),"",(D64-H64)/D64*100)</x:f>
        <x:v>80</x:v>
      </x:c>
      <x:c r="J64" s="107" t="n">
        <x:v>80</x:v>
      </x:c>
      <x:c r="K64" s="14" t="str">
        <x:v>Percentual explícito do Atendimento 2</x:v>
      </x:c>
      <x:c r="L64" s="93" t="n">
        <x:v>11</x:v>
      </x:c>
      <x:c r="M64" s="93" t="n">
        <x:v>8</x:v>
      </x:c>
      <x:c r="N64" s="93" t="n">
        <x:v>7</x:v>
      </x:c>
      <x:c r="O64" s="93" t="n">
        <x:v>9</x:v>
      </x:c>
      <x:c r="P64" s="93" t="n">
        <x:v>16</x:v>
      </x:c>
      <x:c r="Q64" s="93" t="n">
        <x:v>17</x:v>
      </x:c>
      <x:c r="R64" s="93" t="n">
        <x:v>40</x:v>
      </x:c>
      <x:c r="S64" s="93" t="n">
        <x:v>35</x:v>
      </x:c>
      <x:c r="T64" s="93" t="n">
        <x:v>30</x:v>
      </x:c>
      <x:c r="U64" s="93" t="n">
        <x:v>25</x:v>
      </x:c>
      <x:c r="V64" s="93" t="n">
        <x:v>20</x:v>
      </x:c>
      <x:c r="W64" s="93" t="n">
        <x:v>15</x:v>
      </x:c>
      <x:c r="X64" s="14" t="str">
        <x:v>p. 59</x:v>
      </x:c>
      <x:c r="Y64" s="14" t="str">
        <x:v>O cenário escolhido utiliza o Atendimento 2; as vazões 105/81/32/21 L/s são compatíveis com arredondamento.</x:v>
      </x:c>
      <x:c r="Z64" s="14" t="str">
        <x:v>Plano de Gestão Proativa de Secas - Hidrossistema Poço Verde.pdf</x:v>
      </x:c>
    </x:row>
    <x:row r="65">
      <x:c r="A65" s="14" t="n">
        <x:v>22</x:v>
      </x:c>
      <x:c r="B65" s="14" t="str">
        <x:v>Rosário</x:v>
      </x:c>
      <x:c r="C65" s="14" t="str">
        <x:v>Cenário A (figura final nomeia Cenário 1)</x:v>
      </x:c>
      <x:c r="D65" s="14" t="n">
        <x:v>350</x:v>
      </x:c>
      <x:c r="E65" s="14" t="str">
        <x:v>VM1</x:v>
      </x:c>
      <x:c r="F65" s="14" t="str">
        <x:v>Alerta</x:v>
      </x:c>
      <x:c r="G65" s="14" t="str">
        <x:v>Tipo I 0%; Tipo II 40%</x:v>
      </x:c>
      <x:c r="H65" s="14" t="n">
        <x:v>200</x:v>
      </x:c>
      <x:c r="I65" s="105" t="n">
        <x:f>IF(OR(D65="",H65=""),"",(D65-H65)/D65*100)</x:f>
        <x:v>42.857142857142854</x:v>
      </x:c>
      <x:c r="J65" s="107" t="n">
        <x:f>I65</x:f>
        <x:v>42.857142857142854</x:v>
      </x:c>
      <x:c r="K65" s="14" t="str">
        <x:v>Equivalência pela vazão final da figura</x:v>
      </x:c>
      <x:c r="L65" s="93" t="n">
        <x:v>26</x:v>
      </x:c>
      <x:c r="M65" s="93" t="n">
        <x:v>24</x:v>
      </x:c>
      <x:c r="N65" s="93" t="n">
        <x:v>22</x:v>
      </x:c>
      <x:c r="O65" s="93" t="n">
        <x:v>26</x:v>
      </x:c>
      <x:c r="P65" s="93" t="n">
        <x:v>30</x:v>
      </x:c>
      <x:c r="Q65" s="93" t="n">
        <x:v>29</x:v>
      </x:c>
      <x:c r="R65" s="93" t="n">
        <x:v>50</x:v>
      </x:c>
      <x:c r="S65" s="93" t="n">
        <x:v>46</x:v>
      </x:c>
      <x:c r="T65" s="93" t="n">
        <x:v>42</x:v>
      </x:c>
      <x:c r="U65" s="93" t="n">
        <x:v>37</x:v>
      </x:c>
      <x:c r="V65" s="93" t="n">
        <x:v>33</x:v>
      </x:c>
      <x:c r="W65" s="93" t="n">
        <x:v>30</x:v>
      </x:c>
      <x:c r="X65" s="14" t="str">
        <x:v>p. 100</x:v>
      </x:c>
      <x:c r="Y65" s="14" t="str">
        <x:v>Cenário A. A figura final apresenta 350/200/120/40 L/s.</x:v>
      </x:c>
      <x:c r="Z65" s="14" t="str">
        <x:v>Plano de Gestão Proativa de Secas - Hidrossistema Rosário.pdf</x:v>
      </x:c>
    </x:row>
    <x:row r="66">
      <x:c r="A66" s="14" t="n">
        <x:v>22</x:v>
      </x:c>
      <x:c r="B66" s="14" t="str">
        <x:v>Rosário</x:v>
      </x:c>
      <x:c r="C66" s="14" t="str">
        <x:v>Cenário A (figura final nomeia Cenário 1)</x:v>
      </x:c>
      <x:c r="D66" s="14" t="n">
        <x:v>350</x:v>
      </x:c>
      <x:c r="E66" s="14" t="str">
        <x:v>VM2</x:v>
      </x:c>
      <x:c r="F66" s="14" t="str">
        <x:v>Seca</x:v>
      </x:c>
      <x:c r="G66" s="14" t="str">
        <x:v>Tipo I 0%; Tipo II 60%</x:v>
      </x:c>
      <x:c r="H66" s="14" t="n">
        <x:v>120</x:v>
      </x:c>
      <x:c r="I66" s="105" t="n">
        <x:f>IF(OR(D66="",H66=""),"",(D66-H66)/D66*100)</x:f>
        <x:v>65.71428571428571</x:v>
      </x:c>
      <x:c r="J66" s="107" t="n">
        <x:f>I66</x:f>
        <x:v>65.71428571428571</x:v>
      </x:c>
      <x:c r="K66" s="14" t="str">
        <x:v>Equivalência pela vazão final da figura</x:v>
      </x:c>
      <x:c r="L66" s="93" t="n">
        <x:v>13</x:v>
      </x:c>
      <x:c r="M66" s="93" t="n">
        <x:v>11</x:v>
      </x:c>
      <x:c r="N66" s="93" t="n">
        <x:v>10</x:v>
      </x:c>
      <x:c r="O66" s="93" t="n">
        <x:v>14</x:v>
      </x:c>
      <x:c r="P66" s="93" t="n">
        <x:v>19</x:v>
      </x:c>
      <x:c r="Q66" s="93" t="n">
        <x:v>19</x:v>
      </x:c>
      <x:c r="R66" s="93" t="n">
        <x:v>34</x:v>
      </x:c>
      <x:c r="S66" s="93" t="n">
        <x:v>31</x:v>
      </x:c>
      <x:c r="T66" s="93" t="n">
        <x:v>27</x:v>
      </x:c>
      <x:c r="U66" s="93" t="n">
        <x:v>23</x:v>
      </x:c>
      <x:c r="V66" s="93" t="n">
        <x:v>20</x:v>
      </x:c>
      <x:c r="W66" s="93" t="n">
        <x:v>16</x:v>
      </x:c>
      <x:c r="X66" s="14" t="str">
        <x:v>p. 100</x:v>
      </x:c>
      <x:c r="Y66" s="14" t="str">
        <x:v>Cenário A. A figura final apresenta 350/200/120/40 L/s.</x:v>
      </x:c>
      <x:c r="Z66" s="14" t="str">
        <x:v>Plano de Gestão Proativa de Secas - Hidrossistema Rosário.pdf</x:v>
      </x:c>
    </x:row>
    <x:row r="67">
      <x:c r="A67" s="14" t="n">
        <x:v>22</x:v>
      </x:c>
      <x:c r="B67" s="14" t="str">
        <x:v>Rosário</x:v>
      </x:c>
      <x:c r="C67" s="14" t="str">
        <x:v>Cenário A (figura final nomeia Cenário 1)</x:v>
      </x:c>
      <x:c r="D67" s="14" t="n">
        <x:v>350</x:v>
      </x:c>
      <x:c r="E67" s="14" t="str">
        <x:v>VM3</x:v>
      </x:c>
      <x:c r="F67" s="14" t="str">
        <x:v>Seca Severa</x:v>
      </x:c>
      <x:c r="G67" s="14" t="str">
        <x:v>Tipo I 10%; Tipo II 100%</x:v>
      </x:c>
      <x:c r="H67" s="14" t="n">
        <x:v>40</x:v>
      </x:c>
      <x:c r="I67" s="105" t="n">
        <x:f>IF(OR(D67="",H67=""),"",(D67-H67)/D67*100)</x:f>
        <x:v>88.57142857142857</x:v>
      </x:c>
      <x:c r="J67" s="107" t="n">
        <x:f>I67</x:f>
        <x:v>88.57142857142857</x:v>
      </x:c>
      <x:c r="K67" s="14" t="str">
        <x:v>Equivalência pela vazão final da figura</x:v>
      </x:c>
      <x:c r="L67" s="93" t="n">
        <x:v>8</x:v>
      </x:c>
      <x:c r="M67" s="93" t="n">
        <x:v>6</x:v>
      </x:c>
      <x:c r="N67" s="93" t="n">
        <x:v>5</x:v>
      </x:c>
      <x:c r="O67" s="93" t="n">
        <x:v>9</x:v>
      </x:c>
      <x:c r="P67" s="93" t="n">
        <x:v>13</x:v>
      </x:c>
      <x:c r="Q67" s="93" t="n">
        <x:v>13</x:v>
      </x:c>
      <x:c r="R67" s="93" t="n">
        <x:v>27</x:v>
      </x:c>
      <x:c r="S67" s="93" t="n">
        <x:v>23</x:v>
      </x:c>
      <x:c r="T67" s="93" t="n">
        <x:v>20</x:v>
      </x:c>
      <x:c r="U67" s="93" t="n">
        <x:v>16</x:v>
      </x:c>
      <x:c r="V67" s="93" t="n">
        <x:v>13</x:v>
      </x:c>
      <x:c r="W67" s="93" t="n">
        <x:v>10</x:v>
      </x:c>
      <x:c r="X67" s="14" t="str">
        <x:v>p. 100</x:v>
      </x:c>
      <x:c r="Y67" s="14" t="str">
        <x:v>Cenário A. A figura final apresenta 350/200/120/40 L/s.</x:v>
      </x:c>
      <x:c r="Z67" s="14" t="str">
        <x:v>Plano de Gestão Proativa de Secas - Hidrossistema Rosário.pdf</x:v>
      </x:c>
    </x:row>
    <x:row r="68">
      <x:c r="A68" s="14" t="n">
        <x:v>23</x:v>
      </x:c>
      <x:c r="B68" s="14" t="str">
        <x:v>Santo Antônio de Russas</x:v>
      </x:c>
      <x:c r="C68" s="14" t="str">
        <x:v>Cenário 2 – 112 L/s</x:v>
      </x:c>
      <x:c r="D68" s="14" t="n">
        <x:v>112</x:v>
      </x:c>
      <x:c r="E68" s="14" t="str">
        <x:v>VM1</x:v>
      </x:c>
      <x:c r="F68" s="14" t="str">
        <x:v>Alerta</x:v>
      </x:c>
      <x:c r="G68" s="14" t="str">
        <x:v>Tipo II 20%</x:v>
      </x:c>
      <x:c r="H68" s="14" t="n">
        <x:v>90</x:v>
      </x:c>
      <x:c r="I68" s="105" t="n">
        <x:f>IF(OR(D68="",H68=""),"",(D68-H68)/D68*100)</x:f>
        <x:v>19.642857142857142</x:v>
      </x:c>
      <x:c r="J68" s="107" t="n">
        <x:f>I68</x:f>
        <x:v>19.642857142857142</x:v>
      </x:c>
      <x:c r="K68" s="14" t="str">
        <x:v>Equivalência pela vazão final da figura</x:v>
      </x:c>
      <x:c r="L68" s="93" t="n">
        <x:v>39</x:v>
      </x:c>
      <x:c r="M68" s="93" t="n">
        <x:v>35</x:v>
      </x:c>
      <x:c r="N68" s="93" t="n">
        <x:v>32</x:v>
      </x:c>
      <x:c r="O68" s="93" t="n">
        <x:v>33</x:v>
      </x:c>
      <x:c r="P68" s="93" t="n">
        <x:v>42</x:v>
      </x:c>
      <x:c r="Q68" s="93" t="n">
        <x:v>45</x:v>
      </x:c>
      <x:c r="R68" s="93" t="n">
        <x:v>72</x:v>
      </x:c>
      <x:c r="S68" s="93" t="n">
        <x:v>68</x:v>
      </x:c>
      <x:c r="T68" s="93" t="n">
        <x:v>62</x:v>
      </x:c>
      <x:c r="U68" s="93" t="n">
        <x:v>56</x:v>
      </x:c>
      <x:c r="V68" s="93" t="n">
        <x:v>50</x:v>
      </x:c>
      <x:c r="W68" s="93" t="n">
        <x:v>44</x:v>
      </x:c>
      <x:c r="X68" s="14" t="str">
        <x:v>p. 68</x:v>
      </x:c>
      <x:c r="Y68" s="14" t="str">
        <x:v>Cenário 2 escolhido, Q normal 112 L/s. A legenda da figura contém inconsistência de numeração do cenário.</x:v>
      </x:c>
      <x:c r="Z68" s="14" t="str">
        <x:v>Plano de Gestão Proativa de Secas - Hidrossistema Santo Antônio de Russas.pdf</x:v>
      </x:c>
    </x:row>
    <x:row r="69">
      <x:c r="A69" s="14" t="n">
        <x:v>23</x:v>
      </x:c>
      <x:c r="B69" s="14" t="str">
        <x:v>Santo Antônio de Russas</x:v>
      </x:c>
      <x:c r="C69" s="14" t="str">
        <x:v>Cenário 2 – 112 L/s</x:v>
      </x:c>
      <x:c r="D69" s="14" t="n">
        <x:v>112</x:v>
      </x:c>
      <x:c r="E69" s="14" t="str">
        <x:v>VM2</x:v>
      </x:c>
      <x:c r="F69" s="14" t="str">
        <x:v>Seca</x:v>
      </x:c>
      <x:c r="G69" s="14" t="str">
        <x:v>Tipo II 100%</x:v>
      </x:c>
      <x:c r="H69" s="14" t="n">
        <x:v>56</x:v>
      </x:c>
      <x:c r="I69" s="105" t="n">
        <x:f>IF(OR(D69="",H69=""),"",(D69-H69)/D69*100)</x:f>
        <x:v>50</x:v>
      </x:c>
      <x:c r="J69" s="107" t="n">
        <x:f>I69</x:f>
        <x:v>50</x:v>
      </x:c>
      <x:c r="K69" s="14" t="str">
        <x:v>Equivalência pela vazão final da figura</x:v>
      </x:c>
      <x:c r="L69" s="93" t="n">
        <x:v>33</x:v>
      </x:c>
      <x:c r="M69" s="93" t="n">
        <x:v>29</x:v>
      </x:c>
      <x:c r="N69" s="93" t="n">
        <x:v>27</x:v>
      </x:c>
      <x:c r="O69" s="93" t="n">
        <x:v>27</x:v>
      </x:c>
      <x:c r="P69" s="93" t="n">
        <x:v>36</x:v>
      </x:c>
      <x:c r="Q69" s="93" t="n">
        <x:v>40</x:v>
      </x:c>
      <x:c r="R69" s="93" t="n">
        <x:v>63</x:v>
      </x:c>
      <x:c r="S69" s="93" t="n">
        <x:v>59</x:v>
      </x:c>
      <x:c r="T69" s="93" t="n">
        <x:v>54</x:v>
      </x:c>
      <x:c r="U69" s="93" t="n">
        <x:v>48</x:v>
      </x:c>
      <x:c r="V69" s="93" t="n">
        <x:v>43</x:v>
      </x:c>
      <x:c r="W69" s="93" t="n">
        <x:v>38</x:v>
      </x:c>
      <x:c r="X69" s="14" t="str">
        <x:v>p. 68</x:v>
      </x:c>
      <x:c r="Y69" s="14" t="str">
        <x:v>Cenário 2 escolhido, Q normal 112 L/s. A legenda da figura contém inconsistência de numeração do cenário.</x:v>
      </x:c>
      <x:c r="Z69" s="14" t="str">
        <x:v>Plano de Gestão Proativa de Secas - Hidrossistema Santo Antônio de Russas.pdf</x:v>
      </x:c>
    </x:row>
    <x:row r="70">
      <x:c r="A70" s="14" t="n">
        <x:v>23</x:v>
      </x:c>
      <x:c r="B70" s="14" t="str">
        <x:v>Santo Antônio de Russas</x:v>
      </x:c>
      <x:c r="C70" s="14" t="str">
        <x:v>Cenário 2 – 112 L/s</x:v>
      </x:c>
      <x:c r="D70" s="14" t="n">
        <x:v>112</x:v>
      </x:c>
      <x:c r="E70" s="14" t="str">
        <x:v>VM3</x:v>
      </x:c>
      <x:c r="F70" s="14" t="str">
        <x:v>Seca Severa</x:v>
      </x:c>
      <x:c r="G70" s="14" t="str">
        <x:v>Tipo II 100%</x:v>
      </x:c>
      <x:c r="H70" s="14" t="n">
        <x:v>11</x:v>
      </x:c>
      <x:c r="I70" s="105" t="n">
        <x:f>IF(OR(D70="",H70=""),"",(D70-H70)/D70*100)</x:f>
        <x:v>90.17857142857143</x:v>
      </x:c>
      <x:c r="J70" s="107" t="n">
        <x:f>I70</x:f>
        <x:v>90.17857142857143</x:v>
      </x:c>
      <x:c r="K70" s="14" t="str">
        <x:v>Equivalência pela vazão final da figura</x:v>
      </x:c>
      <x:c r="L70" s="93" t="n">
        <x:v>17</x:v>
      </x:c>
      <x:c r="M70" s="93" t="n">
        <x:v>15</x:v>
      </x:c>
      <x:c r="N70" s="93" t="n">
        <x:v>13</x:v>
      </x:c>
      <x:c r="O70" s="93" t="n">
        <x:v>14</x:v>
      </x:c>
      <x:c r="P70" s="93" t="n">
        <x:v>23</x:v>
      </x:c>
      <x:c r="Q70" s="93" t="n">
        <x:v>27</x:v>
      </x:c>
      <x:c r="R70" s="93" t="n">
        <x:v>40</x:v>
      </x:c>
      <x:c r="S70" s="93" t="n">
        <x:v>37</x:v>
      </x:c>
      <x:c r="T70" s="93" t="n">
        <x:v>33</x:v>
      </x:c>
      <x:c r="U70" s="93" t="n">
        <x:v>29</x:v>
      </x:c>
      <x:c r="V70" s="93" t="n">
        <x:v>25</x:v>
      </x:c>
      <x:c r="W70" s="93" t="n">
        <x:v>21</x:v>
      </x:c>
      <x:c r="X70" s="14" t="str">
        <x:v>p. 68</x:v>
      </x:c>
      <x:c r="Y70" s="14" t="str">
        <x:v>Cenário 2 escolhido, Q normal 112 L/s. A legenda da figura contém inconsistência de numeração do cenário.</x:v>
      </x:c>
      <x:c r="Z70" s="14" t="str">
        <x:v>Plano de Gestão Proativa de Secas - Hidrossistema Santo Antônio de Russas.pdf</x:v>
      </x:c>
    </x:row>
    <x:row r="71">
      <x:c r="A71" s="14" t="n">
        <x:v>24</x:v>
      </x:c>
      <x:c r="B71" s="14" t="str">
        <x:v>São José II</x:v>
      </x:c>
      <x:c r="C71" s="14" t="str">
        <x:v>Cenário A</x:v>
      </x:c>
      <x:c r="D71" s="14" t="n">
        <x:v>105</x:v>
      </x:c>
      <x:c r="E71" s="14" t="str">
        <x:v>VM1</x:v>
      </x:c>
      <x:c r="F71" s="14" t="str">
        <x:v>Alerta</x:v>
      </x:c>
      <x:c r="G71" s="14" t="str">
        <x:v>Tipo I 0%; Tipo II 17%</x:v>
      </x:c>
      <x:c r="H71" s="14" t="n">
        <x:v>90</x:v>
      </x:c>
      <x:c r="I71" s="105" t="n">
        <x:f>IF(OR(D71="",H71=""),"",(D71-H71)/D71*100)</x:f>
        <x:v>14.285714285714285</x:v>
      </x:c>
      <x:c r="J71" s="107" t="n">
        <x:f>I71</x:f>
        <x:v>14.285714285714285</x:v>
      </x:c>
      <x:c r="K71" s="14" t="str">
        <x:v>Equivalência pela vazão final da figura</x:v>
      </x:c>
      <x:c r="L71" s="93" t="n">
        <x:v>23</x:v>
      </x:c>
      <x:c r="M71" s="93" t="n">
        <x:v>20</x:v>
      </x:c>
      <x:c r="N71" s="93" t="n">
        <x:v>19</x:v>
      </x:c>
      <x:c r="O71" s="93" t="n">
        <x:v>22</x:v>
      </x:c>
      <x:c r="P71" s="93" t="n">
        <x:v>28</x:v>
      </x:c>
      <x:c r="Q71" s="93" t="n">
        <x:v>31</x:v>
      </x:c>
      <x:c r="R71" s="93" t="n">
        <x:v>48</x:v>
      </x:c>
      <x:c r="S71" s="93" t="n">
        <x:v>44</x:v>
      </x:c>
      <x:c r="T71" s="93" t="n">
        <x:v>39</x:v>
      </x:c>
      <x:c r="U71" s="93" t="n">
        <x:v>35</x:v>
      </x:c>
      <x:c r="V71" s="93" t="n">
        <x:v>31</x:v>
      </x:c>
      <x:c r="W71" s="93" t="n">
        <x:v>27</x:v>
      </x:c>
      <x:c r="X71" s="14" t="str">
        <x:v>p. 86</x:v>
      </x:c>
      <x:c r="Y71" s="14" t="str">
        <x:v>Cenário A. A figura final apresenta 105/90/76/17 L/s.</x:v>
      </x:c>
      <x:c r="Z71" s="14" t="str">
        <x:v>Plano de Gestão Proativa de Secas - Hidrossistema Sâo José II.pdf</x:v>
      </x:c>
    </x:row>
    <x:row r="72">
      <x:c r="A72" s="14" t="n">
        <x:v>24</x:v>
      </x:c>
      <x:c r="B72" s="14" t="str">
        <x:v>São José II</x:v>
      </x:c>
      <x:c r="C72" s="14" t="str">
        <x:v>Cenário A</x:v>
      </x:c>
      <x:c r="D72" s="14" t="n">
        <x:v>105</x:v>
      </x:c>
      <x:c r="E72" s="14" t="str">
        <x:v>VM2</x:v>
      </x:c>
      <x:c r="F72" s="14" t="str">
        <x:v>Seca</x:v>
      </x:c>
      <x:c r="G72" s="14" t="str">
        <x:v>Tipo I 0%; Tipo II 33%</x:v>
      </x:c>
      <x:c r="H72" s="14" t="n">
        <x:v>76</x:v>
      </x:c>
      <x:c r="I72" s="105" t="n">
        <x:f>IF(OR(D72="",H72=""),"",(D72-H72)/D72*100)</x:f>
        <x:v>27.61904761904762</x:v>
      </x:c>
      <x:c r="J72" s="107" t="n">
        <x:f>I72</x:f>
        <x:v>27.61904761904762</x:v>
      </x:c>
      <x:c r="K72" s="14" t="str">
        <x:v>Equivalência pela vazão final da figura</x:v>
      </x:c>
      <x:c r="L72" s="93" t="n">
        <x:v>9</x:v>
      </x:c>
      <x:c r="M72" s="93" t="n">
        <x:v>7</x:v>
      </x:c>
      <x:c r="N72" s="93" t="n">
        <x:v>6</x:v>
      </x:c>
      <x:c r="O72" s="93" t="n">
        <x:v>10</x:v>
      </x:c>
      <x:c r="P72" s="93" t="n">
        <x:v>16</x:v>
      </x:c>
      <x:c r="Q72" s="93" t="n">
        <x:v>19</x:v>
      </x:c>
      <x:c r="R72" s="93" t="n">
        <x:v>30</x:v>
      </x:c>
      <x:c r="S72" s="93" t="n">
        <x:v>27</x:v>
      </x:c>
      <x:c r="T72" s="93" t="n">
        <x:v>23</x:v>
      </x:c>
      <x:c r="U72" s="93" t="n">
        <x:v>19</x:v>
      </x:c>
      <x:c r="V72" s="93" t="n">
        <x:v>16</x:v>
      </x:c>
      <x:c r="W72" s="93" t="n">
        <x:v>12</x:v>
      </x:c>
      <x:c r="X72" s="14" t="str">
        <x:v>p. 86</x:v>
      </x:c>
      <x:c r="Y72" s="14" t="str">
        <x:v>Cenário A. A figura final apresenta 105/90/76/17 L/s.</x:v>
      </x:c>
      <x:c r="Z72" s="14" t="str">
        <x:v>Plano de Gestão Proativa de Secas - Hidrossistema Sâo José II.pdf</x:v>
      </x:c>
    </x:row>
    <x:row r="73">
      <x:c r="A73" s="14" t="n">
        <x:v>24</x:v>
      </x:c>
      <x:c r="B73" s="14" t="str">
        <x:v>São José II</x:v>
      </x:c>
      <x:c r="C73" s="14" t="str">
        <x:v>Cenário A</x:v>
      </x:c>
      <x:c r="D73" s="14" t="n">
        <x:v>105</x:v>
      </x:c>
      <x:c r="E73" s="14" t="str">
        <x:v>VM3</x:v>
      </x:c>
      <x:c r="F73" s="14" t="str">
        <x:v>Seca Severa</x:v>
      </x:c>
      <x:c r="G73" s="14" t="str">
        <x:v>Tipo I 10%; Tipo II 100%</x:v>
      </x:c>
      <x:c r="H73" s="14" t="n">
        <x:v>17</x:v>
      </x:c>
      <x:c r="I73" s="105" t="n">
        <x:f>IF(OR(D73="",H73=""),"",(D73-H73)/D73*100)</x:f>
        <x:v>83.80952380952381</x:v>
      </x:c>
      <x:c r="J73" s="107" t="n">
        <x:f>I73</x:f>
        <x:v>83.80952380952381</x:v>
      </x:c>
      <x:c r="K73" s="14" t="str">
        <x:v>Equivalência pela vazão final da figura</x:v>
      </x:c>
      <x:c r="L73" s="93" t="n">
        <x:v>8</x:v>
      </x:c>
      <x:c r="M73" s="93" t="n">
        <x:v>6</x:v>
      </x:c>
      <x:c r="N73" s="93" t="n">
        <x:v>5</x:v>
      </x:c>
      <x:c r="O73" s="93" t="n">
        <x:v>9</x:v>
      </x:c>
      <x:c r="P73" s="93" t="n">
        <x:v>15</x:v>
      </x:c>
      <x:c r="Q73" s="93" t="n">
        <x:v>18</x:v>
      </x:c>
      <x:c r="R73" s="93" t="n">
        <x:v>28</x:v>
      </x:c>
      <x:c r="S73" s="93" t="n">
        <x:v>25</x:v>
      </x:c>
      <x:c r="T73" s="93" t="n">
        <x:v>21</x:v>
      </x:c>
      <x:c r="U73" s="93" t="n">
        <x:v>18</x:v>
      </x:c>
      <x:c r="V73" s="93" t="n">
        <x:v>14</x:v>
      </x:c>
      <x:c r="W73" s="93" t="n">
        <x:v>11</x:v>
      </x:c>
      <x:c r="X73" s="14" t="str">
        <x:v>p. 86</x:v>
      </x:c>
      <x:c r="Y73" s="14" t="str">
        <x:v>Cenário A. A figura final apresenta 105/90/76/17 L/s.</x:v>
      </x:c>
      <x:c r="Z73" s="14" t="str">
        <x:v>Plano de Gestão Proativa de Secas - Hidrossistema Sâo José II.pdf</x:v>
      </x:c>
    </x:row>
    <x:row r="74">
      <x:c r="A74" s="14" t="n">
        <x:v>25</x:v>
      </x:c>
      <x:c r="B74" s="14" t="str">
        <x:v>Umari</x:v>
      </x:c>
      <x:c r="C74" s="14" t="str">
        <x:v>Cenário B</x:v>
      </x:c>
      <x:c r="D74" s="14" t="n">
        <x:v>65</x:v>
      </x:c>
      <x:c r="E74" s="14" t="str">
        <x:v>VM1</x:v>
      </x:c>
      <x:c r="F74" s="14" t="str">
        <x:v>Alerta</x:v>
      </x:c>
      <x:c r="G74" s="14" t="str">
        <x:v>Regra setorial do cenário escolhido</x:v>
      </x:c>
      <x:c r="H74" s="14" t="n">
        <x:v>62</x:v>
      </x:c>
      <x:c r="I74" s="105" t="n">
        <x:f>IF(OR(D74="",H74=""),"",(D74-H74)/D74*100)</x:f>
        <x:v>4.615384615384616</x:v>
      </x:c>
      <x:c r="J74" s="107" t="n">
        <x:f>I74</x:f>
        <x:v>4.615384615384616</x:v>
      </x:c>
      <x:c r="K74" s="14" t="str">
        <x:v>Equivalência pela vazão final da figura</x:v>
      </x:c>
      <x:c r="L74" s="93" t="n">
        <x:v>39</x:v>
      </x:c>
      <x:c r="M74" s="93" t="n">
        <x:v>37</x:v>
      </x:c>
      <x:c r="N74" s="93" t="n">
        <x:v>37</x:v>
      </x:c>
      <x:c r="O74" s="93" t="n">
        <x:v>42</x:v>
      </x:c>
      <x:c r="P74" s="93" t="n">
        <x:v>54</x:v>
      </x:c>
      <x:c r="Q74" s="93" t="n">
        <x:v>61</x:v>
      </x:c>
      <x:c r="R74" s="93" t="n">
        <x:v>59</x:v>
      </x:c>
      <x:c r="S74" s="93" t="n">
        <x:v>57</x:v>
      </x:c>
      <x:c r="T74" s="93" t="n">
        <x:v>53</x:v>
      </x:c>
      <x:c r="U74" s="93" t="n">
        <x:v>50</x:v>
      </x:c>
      <x:c r="V74" s="93" t="n">
        <x:v>46</x:v>
      </x:c>
      <x:c r="W74" s="93" t="n">
        <x:v>42</x:v>
      </x:c>
      <x:c r="X74" s="14" t="str">
        <x:v>p. 86</x:v>
      </x:c>
      <x:c r="Y74" s="14" t="str">
        <x:v>Cenário B. A figura final apresenta 65/62/60/45 L/s; usar os percentuais equivalentes para o simulador de demanda agregada.</x:v>
      </x:c>
      <x:c r="Z74" s="14" t="str">
        <x:v>Plano de Gestão Proativa de Secas - Hidrossistema Umari.pdf</x:v>
      </x:c>
    </x:row>
    <x:row r="75">
      <x:c r="A75" s="14" t="n">
        <x:v>25</x:v>
      </x:c>
      <x:c r="B75" s="14" t="str">
        <x:v>Umari</x:v>
      </x:c>
      <x:c r="C75" s="14" t="str">
        <x:v>Cenário B</x:v>
      </x:c>
      <x:c r="D75" s="14" t="n">
        <x:v>65</x:v>
      </x:c>
      <x:c r="E75" s="14" t="str">
        <x:v>VM2</x:v>
      </x:c>
      <x:c r="F75" s="14" t="str">
        <x:v>Seca</x:v>
      </x:c>
      <x:c r="G75" s="14" t="str">
        <x:v>Regra setorial do cenário escolhido</x:v>
      </x:c>
      <x:c r="H75" s="14" t="n">
        <x:v>60</x:v>
      </x:c>
      <x:c r="I75" s="105" t="n">
        <x:f>IF(OR(D75="",H75=""),"",(D75-H75)/D75*100)</x:f>
        <x:v>7.6923076923076925</x:v>
      </x:c>
      <x:c r="J75" s="107" t="n">
        <x:f>I75</x:f>
        <x:v>7.6923076923076925</x:v>
      </x:c>
      <x:c r="K75" s="14" t="str">
        <x:v>Equivalência pela vazão final da figura</x:v>
      </x:c>
      <x:c r="L75" s="93" t="n">
        <x:v>31</x:v>
      </x:c>
      <x:c r="M75" s="93" t="n">
        <x:v>30</x:v>
      </x:c>
      <x:c r="N75" s="93" t="n">
        <x:v>30</x:v>
      </x:c>
      <x:c r="O75" s="93" t="n">
        <x:v>35</x:v>
      </x:c>
      <x:c r="P75" s="93" t="n">
        <x:v>47</x:v>
      </x:c>
      <x:c r="Q75" s="93" t="n">
        <x:v>52</x:v>
      </x:c>
      <x:c r="R75" s="93" t="n">
        <x:v>50</x:v>
      </x:c>
      <x:c r="S75" s="93" t="n">
        <x:v>48</x:v>
      </x:c>
      <x:c r="T75" s="93" t="n">
        <x:v>45</x:v>
      </x:c>
      <x:c r="U75" s="93" t="n">
        <x:v>41</x:v>
      </x:c>
      <x:c r="V75" s="93" t="n">
        <x:v>38</x:v>
      </x:c>
      <x:c r="W75" s="93" t="n">
        <x:v>34</x:v>
      </x:c>
      <x:c r="X75" s="14" t="str">
        <x:v>p. 86</x:v>
      </x:c>
      <x:c r="Y75" s="14" t="str">
        <x:v>Cenário B. A figura final apresenta 65/62/60/45 L/s; usar os percentuais equivalentes para o simulador de demanda agregada.</x:v>
      </x:c>
      <x:c r="Z75" s="14" t="str">
        <x:v>Plano de Gestão Proativa de Secas - Hidrossistema Umari.pdf</x:v>
      </x:c>
    </x:row>
    <x:row r="76">
      <x:c r="A76" s="14" t="n">
        <x:v>25</x:v>
      </x:c>
      <x:c r="B76" s="14" t="str">
        <x:v>Umari</x:v>
      </x:c>
      <x:c r="C76" s="14" t="str">
        <x:v>Cenário B</x:v>
      </x:c>
      <x:c r="D76" s="14" t="n">
        <x:v>65</x:v>
      </x:c>
      <x:c r="E76" s="14" t="str">
        <x:v>VM3</x:v>
      </x:c>
      <x:c r="F76" s="14" t="str">
        <x:v>Seca Severa</x:v>
      </x:c>
      <x:c r="G76" s="14" t="str">
        <x:v>Regra setorial do cenário escolhido</x:v>
      </x:c>
      <x:c r="H76" s="14" t="n">
        <x:v>45</x:v>
      </x:c>
      <x:c r="I76" s="105" t="n">
        <x:f>IF(OR(D76="",H76=""),"",(D76-H76)/D76*100)</x:f>
        <x:v>30.76923076923077</x:v>
      </x:c>
      <x:c r="J76" s="107" t="n">
        <x:f>I76</x:f>
        <x:v>30.76923076923077</x:v>
      </x:c>
      <x:c r="K76" s="14" t="str">
        <x:v>Equivalência pela vazão final da figura</x:v>
      </x:c>
      <x:c r="L76" s="93" t="n">
        <x:v>16</x:v>
      </x:c>
      <x:c r="M76" s="93" t="n">
        <x:v>15</x:v>
      </x:c>
      <x:c r="N76" s="93" t="n">
        <x:v>16</x:v>
      </x:c>
      <x:c r="O76" s="93" t="n">
        <x:v>21</x:v>
      </x:c>
      <x:c r="P76" s="93" t="n">
        <x:v>33</x:v>
      </x:c>
      <x:c r="Q76" s="93" t="n">
        <x:v>33</x:v>
      </x:c>
      <x:c r="R76" s="93" t="n">
        <x:v>31</x:v>
      </x:c>
      <x:c r="S76" s="93" t="n">
        <x:v>30</x:v>
      </x:c>
      <x:c r="T76" s="93" t="n">
        <x:v>27</x:v>
      </x:c>
      <x:c r="U76" s="93" t="n">
        <x:v>24</x:v>
      </x:c>
      <x:c r="V76" s="93" t="n">
        <x:v>21</x:v>
      </x:c>
      <x:c r="W76" s="93" t="n">
        <x:v>19</x:v>
      </x:c>
      <x:c r="X76" s="14" t="str">
        <x:v>p. 86</x:v>
      </x:c>
      <x:c r="Y76" s="14" t="str">
        <x:v>Cenário B. A figura final apresenta 65/62/60/45 L/s; usar os percentuais equivalentes para o simulador de demanda agregada.</x:v>
      </x:c>
      <x:c r="Z76" s="14" t="str">
        <x:v>Plano de Gestão Proativa de Secas - Hidrossistema Umari.pdf</x:v>
      </x:c>
    </x:row>
    <x:row r="78">
      <x:c r="A78" s="111" t="str">
        <x:v>COMO USAR: acima da VM1 o estado é Normal. Para VM1, VM2 e VM3, digite no simulador o valor da coluna verde 'Racionamento recomendado no simulador (%)'. Quando o PGPS usa um único percentual, o valor oficial foi preservado. Quando o PGPS separa classes de demanda, o percentual recomendado é a equivalência calculada a partir da vazão mostrada na figura final do cenário escolhido. A regra original permanece documentada na coluna G.</x:v>
      </x:c>
      <x:c r="B78" s="111"/>
      <x:c r="C78" s="111"/>
      <x:c r="D78" s="111"/>
      <x:c r="E78" s="111"/>
      <x:c r="F78" s="111"/>
      <x:c r="G78" s="111"/>
      <x:c r="H78" s="111"/>
      <x:c r="I78" s="111"/>
      <x:c r="J78" s="111"/>
      <x:c r="K78" s="111"/>
      <x:c r="L78" s="111"/>
      <x:c r="M78" s="111"/>
      <x:c r="N78" s="111"/>
      <x:c r="O78" s="111"/>
      <x:c r="P78" s="111"/>
      <x:c r="Q78" s="111"/>
      <x:c r="R78" s="111"/>
      <x:c r="S78" s="111"/>
      <x:c r="T78" s="111"/>
      <x:c r="U78" s="111"/>
      <x:c r="V78" s="111"/>
      <x:c r="W78" s="111"/>
      <x:c r="X78" s="111"/>
      <x:c r="Y78" s="111"/>
      <x:c r="Z78" s="111"/>
    </x:row>
    <x:row r="79">
      <x:c r="A79" s="111"/>
      <x:c r="B79" s="111"/>
      <x:c r="C79" s="111"/>
      <x:c r="D79" s="111"/>
      <x:c r="E79" s="111"/>
      <x:c r="F79" s="111"/>
      <x:c r="G79" s="111"/>
      <x:c r="H79" s="111"/>
      <x:c r="I79" s="111"/>
      <x:c r="J79" s="111"/>
      <x:c r="K79" s="111"/>
      <x:c r="L79" s="111"/>
      <x:c r="M79" s="111"/>
      <x:c r="N79" s="111"/>
      <x:c r="O79" s="111"/>
      <x:c r="P79" s="111"/>
      <x:c r="Q79" s="111"/>
      <x:c r="R79" s="111"/>
      <x:c r="S79" s="111"/>
      <x:c r="T79" s="111"/>
      <x:c r="U79" s="111"/>
      <x:c r="V79" s="111"/>
      <x:c r="W79" s="111"/>
      <x:c r="X79" s="111"/>
      <x:c r="Y79" s="111"/>
      <x:c r="Z79" s="111"/>
    </x:row>
    <x:row r="80">
      <x:c r="A80" s="111"/>
      <x:c r="B80" s="111"/>
      <x:c r="C80" s="111"/>
      <x:c r="D80" s="111"/>
      <x:c r="E80" s="111"/>
      <x:c r="F80" s="111"/>
      <x:c r="G80" s="111"/>
      <x:c r="H80" s="111"/>
      <x:c r="I80" s="111"/>
      <x:c r="J80" s="111"/>
      <x:c r="K80" s="111"/>
      <x:c r="L80" s="111"/>
      <x:c r="M80" s="111"/>
      <x:c r="N80" s="111"/>
      <x:c r="O80" s="111"/>
      <x:c r="P80" s="111"/>
      <x:c r="Q80" s="111"/>
      <x:c r="R80" s="111"/>
      <x:c r="S80" s="111"/>
      <x:c r="T80" s="111"/>
      <x:c r="U80" s="111"/>
      <x:c r="V80" s="111"/>
      <x:c r="W80" s="111"/>
      <x:c r="X80" s="111"/>
      <x:c r="Y80" s="111"/>
      <x:c r="Z80" s="111"/>
    </x:row>
    <x:row r="81">
      <x:c r="A81" s="111"/>
      <x:c r="B81" s="111"/>
      <x:c r="C81" s="111"/>
      <x:c r="D81" s="111"/>
      <x:c r="E81" s="111"/>
      <x:c r="F81" s="111"/>
      <x:c r="G81" s="111"/>
      <x:c r="H81" s="111"/>
      <x:c r="I81" s="111"/>
      <x:c r="J81" s="111"/>
      <x:c r="K81" s="111"/>
      <x:c r="L81" s="111"/>
      <x:c r="M81" s="111"/>
      <x:c r="N81" s="111"/>
      <x:c r="O81" s="111"/>
      <x:c r="P81" s="111"/>
      <x:c r="Q81" s="111"/>
      <x:c r="R81" s="111"/>
      <x:c r="S81" s="111"/>
      <x:c r="T81" s="111"/>
      <x:c r="U81" s="111"/>
      <x:c r="V81" s="111"/>
      <x:c r="W81" s="111"/>
      <x:c r="X81" s="111"/>
      <x:c r="Y81" s="111"/>
      <x:c r="Z81" s="111"/>
    </x:row>
  </x:sheetData>
  <x:mergeCells>
    <x:mergeCell ref="A78:Z81"/>
  </x:mergeCells>
  <x:conditionalFormatting sqref="A2:Z76">
    <x:cfRule type="expression" dxfId="9" priority="1">
      <x:formula>$E2="VM1"</x:formula>
    </x:cfRule>
    <x:cfRule type="expression" dxfId="10" priority="2">
      <x:formula>$E2="VM2"</x:formula>
    </x:cfRule>
    <x:cfRule type="expression" dxfId="11" priority="3">
      <x:formula>$E2="VM3"</x:formula>
    </x:cfRule>
  </x:conditionalFormatting>
  <x:pageMargins left="0.7" right="0.7" top="0.75" bottom="0.75" header="0.3" footer="0.3"/>
</x:worksheet>
</file>